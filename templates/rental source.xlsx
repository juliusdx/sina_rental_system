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My Drive\Sina\rental_system\templates\"/>
    </mc:Choice>
  </mc:AlternateContent>
  <xr:revisionPtr revIDLastSave="0" documentId="13_ncr:1_{5BD9BACA-1689-4CFB-88E1-9260D469D5C2}" xr6:coauthVersionLast="47" xr6:coauthVersionMax="47" xr10:uidLastSave="{00000000-0000-0000-0000-000000000000}"/>
  <bookViews>
    <workbookView xWindow="27045" yWindow="0" windowWidth="24660" windowHeight="20985" xr2:uid="{00000000-000D-0000-FFFF-FFFF00000000}"/>
  </bookViews>
  <sheets>
    <sheet name="Rental Income" sheetId="1" r:id="rId1"/>
  </sheets>
  <definedNames>
    <definedName name="_xlnm._FilterDatabase" localSheetId="0" hidden="1">'Rental Income'!$A$1:$FY$5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0" i="1" l="1"/>
  <c r="CU119" i="1"/>
  <c r="CI119" i="1"/>
  <c r="BK119" i="1"/>
  <c r="K119" i="1"/>
  <c r="K117" i="1"/>
  <c r="K116" i="1"/>
  <c r="K115" i="1"/>
  <c r="K114" i="1"/>
  <c r="K113" i="1"/>
  <c r="K112" i="1"/>
  <c r="K111" i="1"/>
  <c r="BK110" i="1"/>
  <c r="K110" i="1"/>
  <c r="K109" i="1"/>
  <c r="BK108" i="1"/>
  <c r="K108" i="1"/>
  <c r="DK107" i="1"/>
  <c r="CM107" i="1"/>
  <c r="BP107" i="1"/>
  <c r="K107" i="1"/>
  <c r="DK106" i="1"/>
  <c r="CM106" i="1"/>
  <c r="BP106" i="1"/>
  <c r="K106" i="1"/>
  <c r="K105" i="1"/>
  <c r="K104" i="1"/>
  <c r="K103" i="1"/>
  <c r="K102" i="1"/>
  <c r="BM101" i="1"/>
  <c r="K101" i="1"/>
  <c r="BM100" i="1"/>
  <c r="K100" i="1"/>
  <c r="BM99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DE81" i="1"/>
  <c r="DD81" i="1"/>
  <c r="DC81" i="1"/>
  <c r="DB81" i="1"/>
  <c r="DA81" i="1"/>
  <c r="CZ81" i="1"/>
  <c r="CY81" i="1"/>
  <c r="CX81" i="1"/>
  <c r="CW81" i="1"/>
  <c r="CV81" i="1"/>
  <c r="CU81" i="1"/>
  <c r="CT81" i="1"/>
  <c r="CS81" i="1"/>
  <c r="CR81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DE80" i="1"/>
  <c r="DD80" i="1"/>
  <c r="DC80" i="1"/>
  <c r="DB80" i="1"/>
  <c r="DA80" i="1"/>
  <c r="CZ80" i="1"/>
  <c r="CY80" i="1"/>
  <c r="CX80" i="1"/>
  <c r="CW80" i="1"/>
  <c r="CV80" i="1"/>
  <c r="CU80" i="1"/>
  <c r="CT80" i="1"/>
  <c r="CS80" i="1"/>
  <c r="CR80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DE79" i="1"/>
  <c r="CS79" i="1"/>
  <c r="BT79" i="1"/>
  <c r="CR77" i="1"/>
  <c r="CF77" i="1"/>
  <c r="BS77" i="1"/>
  <c r="BM76" i="1"/>
  <c r="BN76" i="1" s="1"/>
  <c r="BO76" i="1" s="1"/>
  <c r="BP76" i="1" s="1"/>
  <c r="BQ76" i="1" s="1"/>
  <c r="BR76" i="1" s="1"/>
  <c r="BS76" i="1" s="1"/>
  <c r="BI76" i="1"/>
  <c r="AG76" i="1"/>
  <c r="AI76" i="1" s="1"/>
  <c r="Y76" i="1"/>
  <c r="K76" i="1"/>
  <c r="BM75" i="1"/>
  <c r="BN75" i="1" s="1"/>
  <c r="BO75" i="1" s="1"/>
  <c r="BP75" i="1" s="1"/>
  <c r="BQ75" i="1" s="1"/>
  <c r="BR75" i="1" s="1"/>
  <c r="BS75" i="1" s="1"/>
  <c r="BI75" i="1"/>
  <c r="AG75" i="1"/>
  <c r="AI75" i="1" s="1"/>
  <c r="Y75" i="1"/>
  <c r="K75" i="1"/>
  <c r="BM74" i="1"/>
  <c r="BN74" i="1" s="1"/>
  <c r="BO74" i="1" s="1"/>
  <c r="BP74" i="1" s="1"/>
  <c r="BQ74" i="1" s="1"/>
  <c r="BR74" i="1" s="1"/>
  <c r="BS74" i="1" s="1"/>
  <c r="BI74" i="1"/>
  <c r="AG74" i="1"/>
  <c r="AI74" i="1" s="1"/>
  <c r="Y74" i="1"/>
  <c r="K74" i="1"/>
  <c r="BM73" i="1"/>
  <c r="BN73" i="1" s="1"/>
  <c r="BO73" i="1" s="1"/>
  <c r="BP73" i="1" s="1"/>
  <c r="BQ73" i="1" s="1"/>
  <c r="BR73" i="1" s="1"/>
  <c r="BS73" i="1" s="1"/>
  <c r="BI73" i="1"/>
  <c r="AI73" i="1"/>
  <c r="AG73" i="1"/>
  <c r="Y73" i="1"/>
  <c r="K73" i="1"/>
  <c r="BM72" i="1"/>
  <c r="BN72" i="1" s="1"/>
  <c r="BO72" i="1" s="1"/>
  <c r="BP72" i="1" s="1"/>
  <c r="BQ72" i="1" s="1"/>
  <c r="BR72" i="1" s="1"/>
  <c r="BS72" i="1" s="1"/>
  <c r="BI72" i="1"/>
  <c r="AG72" i="1"/>
  <c r="AI72" i="1" s="1"/>
  <c r="Y72" i="1"/>
  <c r="K72" i="1"/>
  <c r="BM71" i="1"/>
  <c r="BN71" i="1" s="1"/>
  <c r="BO71" i="1" s="1"/>
  <c r="BP71" i="1" s="1"/>
  <c r="BQ71" i="1" s="1"/>
  <c r="BR71" i="1" s="1"/>
  <c r="BS71" i="1" s="1"/>
  <c r="BI71" i="1"/>
  <c r="AG71" i="1"/>
  <c r="AI71" i="1" s="1"/>
  <c r="Y71" i="1"/>
  <c r="K71" i="1"/>
  <c r="BF70" i="1"/>
  <c r="BG70" i="1" s="1"/>
  <c r="BI70" i="1" s="1"/>
  <c r="BJ70" i="1" s="1"/>
  <c r="BK70" i="1" s="1"/>
  <c r="BL70" i="1" s="1"/>
  <c r="BM70" i="1" s="1"/>
  <c r="BN70" i="1" s="1"/>
  <c r="BO70" i="1" s="1"/>
  <c r="BP70" i="1" s="1"/>
  <c r="BQ70" i="1" s="1"/>
  <c r="BR70" i="1" s="1"/>
  <c r="BS70" i="1" s="1"/>
  <c r="BT70" i="1" s="1"/>
  <c r="BC70" i="1"/>
  <c r="BD70" i="1" s="1"/>
  <c r="BE70" i="1" s="1"/>
  <c r="K70" i="1"/>
  <c r="BJ69" i="1"/>
  <c r="BK69" i="1" s="1"/>
  <c r="BL69" i="1" s="1"/>
  <c r="BM69" i="1" s="1"/>
  <c r="BN69" i="1" s="1"/>
  <c r="BO69" i="1" s="1"/>
  <c r="BC69" i="1"/>
  <c r="BD69" i="1" s="1"/>
  <c r="BE69" i="1" s="1"/>
  <c r="BF69" i="1" s="1"/>
  <c r="BG69" i="1" s="1"/>
  <c r="K69" i="1"/>
  <c r="BK68" i="1"/>
  <c r="BL68" i="1" s="1"/>
  <c r="BM68" i="1" s="1"/>
  <c r="BN68" i="1" s="1"/>
  <c r="BO68" i="1" s="1"/>
  <c r="BJ68" i="1"/>
  <c r="BF68" i="1"/>
  <c r="BG68" i="1" s="1"/>
  <c r="BC68" i="1"/>
  <c r="BD68" i="1" s="1"/>
  <c r="BE68" i="1" s="1"/>
  <c r="K68" i="1"/>
  <c r="BN66" i="1"/>
  <c r="BA66" i="1"/>
  <c r="K66" i="1"/>
  <c r="BN65" i="1"/>
  <c r="BA65" i="1"/>
  <c r="K65" i="1"/>
  <c r="K64" i="1"/>
  <c r="K63" i="1"/>
  <c r="Y62" i="1"/>
  <c r="Z62" i="1" s="1"/>
  <c r="AA62" i="1" s="1"/>
  <c r="AB62" i="1" s="1"/>
  <c r="AC62" i="1" s="1"/>
  <c r="AD62" i="1" s="1"/>
  <c r="AE62" i="1" s="1"/>
  <c r="AF62" i="1" s="1"/>
  <c r="AG62" i="1" s="1"/>
  <c r="V62" i="1"/>
  <c r="W62" i="1" s="1"/>
  <c r="X62" i="1" s="1"/>
  <c r="P62" i="1"/>
  <c r="Q62" i="1" s="1"/>
  <c r="R62" i="1" s="1"/>
  <c r="S62" i="1" s="1"/>
  <c r="T62" i="1" s="1"/>
  <c r="O62" i="1"/>
  <c r="K62" i="1"/>
  <c r="O61" i="1"/>
  <c r="P61" i="1" s="1"/>
  <c r="Q61" i="1" s="1"/>
  <c r="R61" i="1" s="1"/>
  <c r="S61" i="1" s="1"/>
  <c r="T61" i="1" s="1"/>
  <c r="V61" i="1" s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K61" i="1"/>
  <c r="O60" i="1"/>
  <c r="P60" i="1" s="1"/>
  <c r="Q60" i="1" s="1"/>
  <c r="R60" i="1" s="1"/>
  <c r="S60" i="1" s="1"/>
  <c r="T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K60" i="1"/>
  <c r="BT59" i="1"/>
  <c r="K59" i="1"/>
  <c r="P58" i="1"/>
  <c r="Q58" i="1" s="1"/>
  <c r="R58" i="1" s="1"/>
  <c r="S58" i="1" s="1"/>
  <c r="T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I58" i="1" s="1"/>
  <c r="AJ58" i="1" s="1"/>
  <c r="AK58" i="1" s="1"/>
  <c r="AL58" i="1" s="1"/>
  <c r="K58" i="1"/>
  <c r="AZ57" i="1"/>
  <c r="K57" i="1"/>
  <c r="AS56" i="1"/>
  <c r="AT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BG56" i="1" s="1"/>
  <c r="BI56" i="1" s="1"/>
  <c r="BJ56" i="1" s="1"/>
  <c r="BK56" i="1" s="1"/>
  <c r="BL56" i="1" s="1"/>
  <c r="BM56" i="1" s="1"/>
  <c r="BN56" i="1" s="1"/>
  <c r="BO56" i="1" s="1"/>
  <c r="BP56" i="1" s="1"/>
  <c r="BQ56" i="1" s="1"/>
  <c r="BR56" i="1" s="1"/>
  <c r="BS56" i="1" s="1"/>
  <c r="BT56" i="1" s="1"/>
  <c r="K56" i="1"/>
  <c r="BN55" i="1"/>
  <c r="BO55" i="1" s="1"/>
  <c r="BP55" i="1" s="1"/>
  <c r="BQ55" i="1" s="1"/>
  <c r="BR55" i="1" s="1"/>
  <c r="BS55" i="1" s="1"/>
  <c r="BT55" i="1" s="1"/>
  <c r="K55" i="1"/>
  <c r="CU54" i="1"/>
  <c r="BJ54" i="1"/>
  <c r="V54" i="1"/>
  <c r="T54" i="1"/>
  <c r="S54" i="1"/>
  <c r="R54" i="1"/>
  <c r="Q54" i="1"/>
  <c r="P54" i="1"/>
  <c r="O54" i="1"/>
  <c r="N54" i="1"/>
  <c r="M54" i="1"/>
  <c r="L54" i="1"/>
  <c r="K54" i="1"/>
  <c r="CU53" i="1"/>
  <c r="BJ53" i="1"/>
  <c r="V53" i="1"/>
  <c r="T53" i="1"/>
  <c r="S53" i="1"/>
  <c r="R53" i="1"/>
  <c r="Q53" i="1"/>
  <c r="P53" i="1"/>
  <c r="O53" i="1"/>
  <c r="N53" i="1"/>
  <c r="M53" i="1"/>
  <c r="L53" i="1"/>
  <c r="K53" i="1"/>
  <c r="CU52" i="1"/>
  <c r="BJ52" i="1"/>
  <c r="V52" i="1"/>
  <c r="T52" i="1"/>
  <c r="S52" i="1"/>
  <c r="R52" i="1"/>
  <c r="Q52" i="1"/>
  <c r="P52" i="1"/>
  <c r="O52" i="1"/>
  <c r="N52" i="1"/>
  <c r="M52" i="1"/>
  <c r="L52" i="1"/>
  <c r="K52" i="1"/>
  <c r="CU51" i="1"/>
  <c r="BJ51" i="1"/>
  <c r="V51" i="1"/>
  <c r="T51" i="1"/>
  <c r="S51" i="1"/>
  <c r="R51" i="1"/>
  <c r="Q51" i="1"/>
  <c r="P51" i="1"/>
  <c r="O51" i="1"/>
  <c r="N51" i="1"/>
  <c r="M51" i="1"/>
  <c r="L51" i="1"/>
  <c r="K51" i="1"/>
  <c r="CU50" i="1"/>
  <c r="BJ50" i="1"/>
  <c r="V50" i="1"/>
  <c r="T50" i="1"/>
  <c r="S50" i="1"/>
  <c r="R50" i="1"/>
  <c r="Q50" i="1"/>
  <c r="P50" i="1"/>
  <c r="O50" i="1"/>
  <c r="N50" i="1"/>
  <c r="M50" i="1"/>
  <c r="L50" i="1"/>
  <c r="K50" i="1"/>
  <c r="M49" i="1"/>
  <c r="N49" i="1" s="1"/>
  <c r="O49" i="1" s="1"/>
  <c r="P49" i="1" s="1"/>
  <c r="Q49" i="1" s="1"/>
  <c r="R49" i="1" s="1"/>
  <c r="S49" i="1" s="1"/>
  <c r="T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K49" i="1"/>
  <c r="BB48" i="1"/>
  <c r="BC48" i="1" s="1"/>
  <c r="BD48" i="1" s="1"/>
  <c r="BE48" i="1" s="1"/>
  <c r="BF48" i="1" s="1"/>
  <c r="BG48" i="1" s="1"/>
  <c r="BI48" i="1" s="1"/>
  <c r="BJ48" i="1" s="1"/>
  <c r="M48" i="1"/>
  <c r="N48" i="1" s="1"/>
  <c r="O48" i="1" s="1"/>
  <c r="K48" i="1"/>
  <c r="BN47" i="1"/>
  <c r="BO47" i="1" s="1"/>
  <c r="BP47" i="1" s="1"/>
  <c r="BQ47" i="1" s="1"/>
  <c r="BR47" i="1" s="1"/>
  <c r="BS47" i="1" s="1"/>
  <c r="BT47" i="1" s="1"/>
  <c r="S47" i="1"/>
  <c r="T47" i="1" s="1"/>
  <c r="V47" i="1" s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I47" i="1" s="1"/>
  <c r="AJ47" i="1" s="1"/>
  <c r="AK47" i="1" s="1"/>
  <c r="AL47" i="1" s="1"/>
  <c r="AM47" i="1" s="1"/>
  <c r="M47" i="1"/>
  <c r="N47" i="1" s="1"/>
  <c r="O47" i="1" s="1"/>
  <c r="P47" i="1" s="1"/>
  <c r="Q47" i="1" s="1"/>
  <c r="K47" i="1"/>
  <c r="K46" i="1"/>
  <c r="W45" i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BG45" i="1" s="1"/>
  <c r="BI45" i="1" s="1"/>
  <c r="BJ45" i="1" s="1"/>
  <c r="BK45" i="1" s="1"/>
  <c r="BL45" i="1" s="1"/>
  <c r="BM45" i="1" s="1"/>
  <c r="BN45" i="1" s="1"/>
  <c r="BO45" i="1" s="1"/>
  <c r="BP45" i="1" s="1"/>
  <c r="BQ45" i="1" s="1"/>
  <c r="BR45" i="1" s="1"/>
  <c r="BS45" i="1" s="1"/>
  <c r="BT45" i="1" s="1"/>
  <c r="K45" i="1"/>
  <c r="AQ44" i="1"/>
  <c r="AR44" i="1" s="1"/>
  <c r="AS44" i="1" s="1"/>
  <c r="AT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BG44" i="1" s="1"/>
  <c r="BI44" i="1" s="1"/>
  <c r="BJ44" i="1" s="1"/>
  <c r="BK44" i="1" s="1"/>
  <c r="BL44" i="1" s="1"/>
  <c r="BM44" i="1" s="1"/>
  <c r="BN44" i="1" s="1"/>
  <c r="BO44" i="1" s="1"/>
  <c r="BP44" i="1" s="1"/>
  <c r="BQ44" i="1" s="1"/>
  <c r="BR44" i="1" s="1"/>
  <c r="BS44" i="1" s="1"/>
  <c r="BT44" i="1" s="1"/>
  <c r="AP44" i="1"/>
  <c r="AA44" i="1"/>
  <c r="AB44" i="1" s="1"/>
  <c r="K44" i="1"/>
  <c r="M43" i="1"/>
  <c r="N43" i="1" s="1"/>
  <c r="O43" i="1" s="1"/>
  <c r="P43" i="1" s="1"/>
  <c r="Q43" i="1" s="1"/>
  <c r="R43" i="1" s="1"/>
  <c r="S43" i="1" s="1"/>
  <c r="T43" i="1" s="1"/>
  <c r="V43" i="1" s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G43" i="1" s="1"/>
  <c r="BI43" i="1" s="1"/>
  <c r="BJ43" i="1" s="1"/>
  <c r="BK43" i="1" s="1"/>
  <c r="BL43" i="1" s="1"/>
  <c r="BM43" i="1" s="1"/>
  <c r="BN43" i="1" s="1"/>
  <c r="BO43" i="1" s="1"/>
  <c r="BP43" i="1" s="1"/>
  <c r="BQ43" i="1" s="1"/>
  <c r="BR43" i="1" s="1"/>
  <c r="BS43" i="1" s="1"/>
  <c r="BT43" i="1" s="1"/>
  <c r="K43" i="1"/>
  <c r="AP42" i="1"/>
  <c r="AQ42" i="1" s="1"/>
  <c r="AR42" i="1" s="1"/>
  <c r="AS42" i="1" s="1"/>
  <c r="AT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BG42" i="1" s="1"/>
  <c r="BI42" i="1" s="1"/>
  <c r="BJ42" i="1" s="1"/>
  <c r="BK42" i="1" s="1"/>
  <c r="BL42" i="1" s="1"/>
  <c r="BM42" i="1" s="1"/>
  <c r="BN42" i="1" s="1"/>
  <c r="BO42" i="1" s="1"/>
  <c r="BP42" i="1" s="1"/>
  <c r="BQ42" i="1" s="1"/>
  <c r="BR42" i="1" s="1"/>
  <c r="BS42" i="1" s="1"/>
  <c r="BT42" i="1" s="1"/>
  <c r="M42" i="1"/>
  <c r="N42" i="1" s="1"/>
  <c r="O42" i="1" s="1"/>
  <c r="P42" i="1" s="1"/>
  <c r="Q42" i="1" s="1"/>
  <c r="R42" i="1" s="1"/>
  <c r="S42" i="1" s="1"/>
  <c r="T42" i="1" s="1"/>
  <c r="V42" i="1" s="1"/>
  <c r="W42" i="1" s="1"/>
  <c r="X42" i="1" s="1"/>
  <c r="Y42" i="1" s="1"/>
  <c r="Z42" i="1" s="1"/>
  <c r="AA42" i="1" s="1"/>
  <c r="AB42" i="1" s="1"/>
  <c r="K42" i="1"/>
  <c r="R41" i="1"/>
  <c r="S41" i="1" s="1"/>
  <c r="T41" i="1" s="1"/>
  <c r="V41" i="1" s="1"/>
  <c r="W41" i="1" s="1"/>
  <c r="X41" i="1" s="1"/>
  <c r="Y41" i="1" s="1"/>
  <c r="Z41" i="1" s="1"/>
  <c r="K41" i="1"/>
  <c r="AX39" i="1"/>
  <c r="AY39" i="1" s="1"/>
  <c r="M39" i="1"/>
  <c r="N39" i="1" s="1"/>
  <c r="O39" i="1" s="1"/>
  <c r="P39" i="1" s="1"/>
  <c r="Q39" i="1" s="1"/>
  <c r="R39" i="1" s="1"/>
  <c r="S39" i="1" s="1"/>
  <c r="T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I39" i="1" s="1"/>
  <c r="AJ39" i="1" s="1"/>
  <c r="K39" i="1"/>
  <c r="K38" i="1"/>
  <c r="AP37" i="1"/>
  <c r="AQ37" i="1" s="1"/>
  <c r="Y37" i="1"/>
  <c r="Z37" i="1" s="1"/>
  <c r="AA37" i="1" s="1"/>
  <c r="AB37" i="1" s="1"/>
  <c r="K37" i="1"/>
  <c r="K36" i="1"/>
  <c r="K35" i="1"/>
  <c r="AY34" i="1"/>
  <c r="AZ34" i="1" s="1"/>
  <c r="BA34" i="1" s="1"/>
  <c r="BB34" i="1" s="1"/>
  <c r="BC34" i="1" s="1"/>
  <c r="BD34" i="1" s="1"/>
  <c r="BE34" i="1" s="1"/>
  <c r="BF34" i="1" s="1"/>
  <c r="BG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AX34" i="1"/>
  <c r="K34" i="1"/>
  <c r="BR33" i="1"/>
  <c r="BS33" i="1" s="1"/>
  <c r="BT33" i="1" s="1"/>
  <c r="BO33" i="1"/>
  <c r="BP33" i="1" s="1"/>
  <c r="BQ33" i="1" s="1"/>
  <c r="BM33" i="1"/>
  <c r="BN33" i="1" s="1"/>
  <c r="K33" i="1"/>
  <c r="AP32" i="1"/>
  <c r="AQ32" i="1" s="1"/>
  <c r="AR32" i="1" s="1"/>
  <c r="AS32" i="1" s="1"/>
  <c r="AT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BG32" i="1" s="1"/>
  <c r="BI32" i="1" s="1"/>
  <c r="BJ32" i="1" s="1"/>
  <c r="BK32" i="1" s="1"/>
  <c r="BL32" i="1" s="1"/>
  <c r="BM32" i="1" s="1"/>
  <c r="BN32" i="1" s="1"/>
  <c r="BO32" i="1" s="1"/>
  <c r="BP32" i="1" s="1"/>
  <c r="BQ32" i="1" s="1"/>
  <c r="BR32" i="1" s="1"/>
  <c r="BS32" i="1" s="1"/>
  <c r="BT32" i="1" s="1"/>
  <c r="O32" i="1"/>
  <c r="P32" i="1" s="1"/>
  <c r="Q32" i="1" s="1"/>
  <c r="R32" i="1" s="1"/>
  <c r="S32" i="1" s="1"/>
  <c r="T32" i="1" s="1"/>
  <c r="V32" i="1" s="1"/>
  <c r="W32" i="1" s="1"/>
  <c r="X32" i="1" s="1"/>
  <c r="Y32" i="1" s="1"/>
  <c r="Z32" i="1" s="1"/>
  <c r="AA32" i="1" s="1"/>
  <c r="AB32" i="1" s="1"/>
  <c r="M32" i="1"/>
  <c r="N32" i="1" s="1"/>
  <c r="K32" i="1"/>
  <c r="K31" i="1"/>
  <c r="CE30" i="1"/>
  <c r="BR30" i="1"/>
  <c r="AR30" i="1"/>
  <c r="AE30" i="1"/>
  <c r="S30" i="1"/>
  <c r="T30" i="1" s="1"/>
  <c r="V30" i="1" s="1"/>
  <c r="W30" i="1" s="1"/>
  <c r="X30" i="1" s="1"/>
  <c r="Y30" i="1" s="1"/>
  <c r="Z30" i="1" s="1"/>
  <c r="AA30" i="1" s="1"/>
  <c r="AB30" i="1" s="1"/>
  <c r="AC30" i="1" s="1"/>
  <c r="AD30" i="1" s="1"/>
  <c r="R30" i="1"/>
  <c r="K30" i="1"/>
  <c r="BC28" i="1"/>
  <c r="BD28" i="1" s="1"/>
  <c r="BE28" i="1" s="1"/>
  <c r="BF28" i="1" s="1"/>
  <c r="BG28" i="1" s="1"/>
  <c r="BI28" i="1" s="1"/>
  <c r="BJ28" i="1" s="1"/>
  <c r="BK28" i="1" s="1"/>
  <c r="BL28" i="1" s="1"/>
  <c r="BM28" i="1" s="1"/>
  <c r="BN28" i="1" s="1"/>
  <c r="BO28" i="1" s="1"/>
  <c r="BP28" i="1" s="1"/>
  <c r="BQ28" i="1" s="1"/>
  <c r="BR28" i="1" s="1"/>
  <c r="BS28" i="1" s="1"/>
  <c r="BT28" i="1" s="1"/>
  <c r="AE28" i="1"/>
  <c r="AF28" i="1" s="1"/>
  <c r="AG28" i="1" s="1"/>
  <c r="AI28" i="1" s="1"/>
  <c r="AJ28" i="1" s="1"/>
  <c r="AK28" i="1" s="1"/>
  <c r="AL28" i="1" s="1"/>
  <c r="AM28" i="1" s="1"/>
  <c r="AN28" i="1" s="1"/>
  <c r="AO28" i="1" s="1"/>
  <c r="AD28" i="1"/>
  <c r="K28" i="1"/>
  <c r="DK27" i="1"/>
  <c r="CM27" i="1"/>
  <c r="BO27" i="1"/>
  <c r="K27" i="1"/>
  <c r="K26" i="1"/>
  <c r="BS25" i="1"/>
  <c r="BT25" i="1" s="1"/>
  <c r="K25" i="1"/>
  <c r="BQ24" i="1"/>
  <c r="BP24" i="1"/>
  <c r="BO24" i="1"/>
  <c r="M24" i="1"/>
  <c r="N24" i="1" s="1"/>
  <c r="O24" i="1" s="1"/>
  <c r="P24" i="1" s="1"/>
  <c r="Q24" i="1" s="1"/>
  <c r="R24" i="1" s="1"/>
  <c r="S24" i="1" s="1"/>
  <c r="T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I24" i="1" s="1"/>
  <c r="AJ24" i="1" s="1"/>
  <c r="AK24" i="1" s="1"/>
  <c r="AL24" i="1" s="1"/>
  <c r="AM24" i="1" s="1"/>
  <c r="AN24" i="1" s="1"/>
  <c r="K24" i="1"/>
  <c r="BQ23" i="1"/>
  <c r="BP23" i="1"/>
  <c r="BO23" i="1"/>
  <c r="R23" i="1"/>
  <c r="S23" i="1" s="1"/>
  <c r="T23" i="1" s="1"/>
  <c r="V23" i="1" s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I23" i="1" s="1"/>
  <c r="AJ23" i="1" s="1"/>
  <c r="AK23" i="1" s="1"/>
  <c r="AL23" i="1" s="1"/>
  <c r="AM23" i="1" s="1"/>
  <c r="AN23" i="1" s="1"/>
  <c r="K23" i="1"/>
  <c r="BM22" i="1"/>
  <c r="BN22" i="1" s="1"/>
  <c r="BO22" i="1" s="1"/>
  <c r="BP22" i="1" s="1"/>
  <c r="BQ22" i="1" s="1"/>
  <c r="BR22" i="1" s="1"/>
  <c r="BS22" i="1" s="1"/>
  <c r="BT22" i="1" s="1"/>
  <c r="BV22" i="1" s="1"/>
  <c r="BW22" i="1" s="1"/>
  <c r="BX22" i="1" s="1"/>
  <c r="BG22" i="1"/>
  <c r="BI22" i="1" s="1"/>
  <c r="BJ22" i="1" s="1"/>
  <c r="BK22" i="1" s="1"/>
  <c r="Z22" i="1"/>
  <c r="AA22" i="1" s="1"/>
  <c r="AB22" i="1" s="1"/>
  <c r="AC22" i="1" s="1"/>
  <c r="AD22" i="1" s="1"/>
  <c r="AE22" i="1" s="1"/>
  <c r="AF22" i="1" s="1"/>
  <c r="AG22" i="1" s="1"/>
  <c r="L22" i="1"/>
  <c r="K22" i="1"/>
  <c r="BN21" i="1"/>
  <c r="BO21" i="1" s="1"/>
  <c r="BP21" i="1" s="1"/>
  <c r="BQ21" i="1" s="1"/>
  <c r="BR21" i="1" s="1"/>
  <c r="BS21" i="1" s="1"/>
  <c r="BT21" i="1" s="1"/>
  <c r="BV21" i="1" s="1"/>
  <c r="BW21" i="1" s="1"/>
  <c r="BX21" i="1" s="1"/>
  <c r="BM21" i="1"/>
  <c r="BJ21" i="1"/>
  <c r="BK21" i="1" s="1"/>
  <c r="BI21" i="1"/>
  <c r="BG21" i="1"/>
  <c r="Z21" i="1"/>
  <c r="AA21" i="1" s="1"/>
  <c r="AB21" i="1" s="1"/>
  <c r="AC21" i="1" s="1"/>
  <c r="AD21" i="1" s="1"/>
  <c r="AE21" i="1" s="1"/>
  <c r="AF21" i="1" s="1"/>
  <c r="AG21" i="1" s="1"/>
  <c r="L21" i="1"/>
  <c r="K21" i="1"/>
  <c r="Z20" i="1"/>
  <c r="K20" i="1"/>
  <c r="BQ19" i="1"/>
  <c r="BR19" i="1" s="1"/>
  <c r="BS19" i="1" s="1"/>
  <c r="BT19" i="1" s="1"/>
  <c r="K19" i="1"/>
  <c r="BG17" i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K17" i="1"/>
  <c r="CN16" i="1"/>
  <c r="CB16" i="1"/>
  <c r="BO16" i="1"/>
  <c r="BB16" i="1"/>
  <c r="K16" i="1"/>
  <c r="BG15" i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K15" i="1"/>
  <c r="BR14" i="1"/>
  <c r="R14" i="1"/>
  <c r="M14" i="1"/>
  <c r="K14" i="1"/>
  <c r="K13" i="1"/>
  <c r="BI12" i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G12" i="1"/>
  <c r="K12" i="1"/>
  <c r="BG11" i="1"/>
  <c r="BI11" i="1" s="1"/>
  <c r="K11" i="1"/>
  <c r="FR10" i="1"/>
  <c r="DJ10" i="1"/>
  <c r="AZ10" i="1"/>
  <c r="K10" i="1"/>
  <c r="K9" i="1"/>
  <c r="BD8" i="1"/>
  <c r="BE8" i="1" s="1"/>
  <c r="BF8" i="1" s="1"/>
  <c r="BG8" i="1" s="1"/>
  <c r="BI8" i="1" s="1"/>
  <c r="BJ8" i="1" s="1"/>
  <c r="BK8" i="1" s="1"/>
  <c r="BL8" i="1" s="1"/>
  <c r="BM8" i="1" s="1"/>
  <c r="BN8" i="1" s="1"/>
  <c r="BO8" i="1" s="1"/>
  <c r="BP8" i="1" s="1"/>
  <c r="BQ8" i="1" s="1"/>
  <c r="BR8" i="1" s="1"/>
  <c r="BS8" i="1" s="1"/>
  <c r="BT8" i="1" s="1"/>
  <c r="K8" i="1"/>
  <c r="BD7" i="1"/>
  <c r="BE7" i="1" s="1"/>
  <c r="BF7" i="1" s="1"/>
  <c r="BG7" i="1" s="1"/>
  <c r="BI7" i="1" s="1"/>
  <c r="K7" i="1"/>
  <c r="BH6" i="1"/>
  <c r="W5" i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I5" i="1" s="1"/>
  <c r="K5" i="1"/>
  <c r="AJ5" i="1" l="1"/>
  <c r="BH7" i="1"/>
  <c r="BJ7" i="1"/>
  <c r="BK7" i="1" s="1"/>
  <c r="BL7" i="1" s="1"/>
  <c r="BM7" i="1" s="1"/>
  <c r="BN7" i="1" s="1"/>
  <c r="BO7" i="1" s="1"/>
  <c r="BP7" i="1" s="1"/>
  <c r="BQ7" i="1" s="1"/>
  <c r="BR7" i="1" s="1"/>
  <c r="BS7" i="1" s="1"/>
  <c r="BT7" i="1" s="1"/>
  <c r="AK5" i="1" l="1"/>
  <c r="AL5" i="1" l="1"/>
  <c r="AM5" i="1" l="1"/>
  <c r="AN5" i="1" l="1"/>
  <c r="AO5" i="1" l="1"/>
  <c r="AP5" i="1" l="1"/>
  <c r="AQ5" i="1" l="1"/>
  <c r="AR5" i="1" l="1"/>
  <c r="AS5" i="1" l="1"/>
  <c r="AT5" i="1" l="1"/>
  <c r="AV5" i="1" l="1"/>
  <c r="AW5" i="1" l="1"/>
  <c r="AX5" i="1" l="1"/>
  <c r="AY5" i="1" l="1"/>
  <c r="AZ5" i="1" l="1"/>
  <c r="BA5" i="1" l="1"/>
  <c r="BB5" i="1" l="1"/>
  <c r="BC5" i="1" l="1"/>
  <c r="BD5" i="1" l="1"/>
  <c r="BE5" i="1" l="1"/>
  <c r="BF5" i="1" l="1"/>
  <c r="BG5" i="1" l="1"/>
  <c r="BI5" i="1" l="1"/>
  <c r="BJ5" i="1" l="1"/>
  <c r="BH5" i="1"/>
  <c r="BK5" i="1" l="1"/>
  <c r="BL5" i="1" l="1"/>
  <c r="BM5" i="1" l="1"/>
  <c r="BN5" i="1" l="1"/>
  <c r="BO5" i="1" l="1"/>
  <c r="BP5" i="1" l="1"/>
  <c r="BQ5" i="1" l="1"/>
  <c r="BR5" i="1" l="1"/>
  <c r="BS5" i="1" l="1"/>
  <c r="BT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20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TZN:
30% waiver granted
</t>
        </r>
      </text>
    </comment>
  </commentList>
</comments>
</file>

<file path=xl/sharedStrings.xml><?xml version="1.0" encoding="utf-8"?>
<sst xmlns="http://schemas.openxmlformats.org/spreadsheetml/2006/main" count="555" uniqueCount="223">
  <si>
    <t>SINAR PEMBANGUNAN SDN BHD</t>
  </si>
  <si>
    <t>RENT LISTING</t>
  </si>
  <si>
    <t>AS AT 1ST OCTOBER 2025</t>
  </si>
  <si>
    <t>Deposits</t>
  </si>
  <si>
    <t>Account Code</t>
  </si>
  <si>
    <t>project</t>
  </si>
  <si>
    <t>floor</t>
  </si>
  <si>
    <t>lot</t>
  </si>
  <si>
    <t>Agreement status</t>
  </si>
  <si>
    <t>Tenant Name</t>
  </si>
  <si>
    <t>Security</t>
  </si>
  <si>
    <t>Utility</t>
  </si>
  <si>
    <t>MISC</t>
  </si>
  <si>
    <t>Total</t>
  </si>
  <si>
    <t>3060/L03</t>
  </si>
  <si>
    <t>lapsed</t>
  </si>
  <si>
    <t>LUYANG PARKING SDN BHD</t>
  </si>
  <si>
    <t>LEM/B7-3</t>
  </si>
  <si>
    <t>LEMB</t>
  </si>
  <si>
    <t>ADRIANA AZMI LU</t>
  </si>
  <si>
    <t>SUR/SH13-1-0</t>
  </si>
  <si>
    <t>SUR</t>
  </si>
  <si>
    <t>CHAMPION UNITED TRADING SDN BHD</t>
  </si>
  <si>
    <t>3060/G01</t>
  </si>
  <si>
    <t>active</t>
  </si>
  <si>
    <t>GERBANG ALAF RESTAURANTS SDN BHD</t>
  </si>
  <si>
    <t>3060/G02</t>
  </si>
  <si>
    <t>GTP NETWORK SDN. BHD.</t>
  </si>
  <si>
    <t>SUR/SH13-6-0</t>
  </si>
  <si>
    <t>LEN SU KHIONG @ ALBERT LEN</t>
  </si>
  <si>
    <t>SUR/SH13-7-0</t>
  </si>
  <si>
    <t>LIAW CHEE HENG</t>
  </si>
  <si>
    <t>3060/M09</t>
  </si>
  <si>
    <t>MARKMAJU (SABAH) SDN BHD</t>
  </si>
  <si>
    <t>3060/Q01</t>
  </si>
  <si>
    <t>QSR STORES SDN BHD</t>
  </si>
  <si>
    <t>SUR/SH13-5-0</t>
  </si>
  <si>
    <t>TAIWAN BUDDHIST TZU-CHI FOUNDATION MALAYSIA</t>
  </si>
  <si>
    <t>KC2/1-3-8B</t>
  </si>
  <si>
    <t>KC</t>
  </si>
  <si>
    <t>TMY TAXATION SERVICES SDN BHD</t>
  </si>
  <si>
    <t>KC2/1-3-7B</t>
  </si>
  <si>
    <t>WTW PROPERTY SERVICE (SABAH) SDN BHD</t>
  </si>
  <si>
    <t xml:space="preserve"> </t>
  </si>
  <si>
    <t>LAT/3-3A</t>
  </si>
  <si>
    <t>LAT 6</t>
  </si>
  <si>
    <t>3F</t>
  </si>
  <si>
    <t>3A</t>
  </si>
  <si>
    <t>A1 REVENUE SDN BHD</t>
  </si>
  <si>
    <t>LAT/0-2</t>
  </si>
  <si>
    <t>GF</t>
  </si>
  <si>
    <t>ACME SMILE SDN BHD</t>
  </si>
  <si>
    <t>LAT/1-3</t>
  </si>
  <si>
    <t>1F</t>
  </si>
  <si>
    <t xml:space="preserve">CAMBRIDGE ENGLISH FOR LIFE </t>
  </si>
  <si>
    <t>LAT/1-2</t>
  </si>
  <si>
    <t xml:space="preserve">CAMBRIDGE ENGLISH FOR LIFE SDN BHD  </t>
  </si>
  <si>
    <t>LAT/0-5</t>
  </si>
  <si>
    <t>DESTINY RICHWELL SDN BHD</t>
  </si>
  <si>
    <t>LAT/1-5</t>
  </si>
  <si>
    <t>LAT/1-1</t>
  </si>
  <si>
    <t>FOONG HON KIAT</t>
  </si>
  <si>
    <t>LAT/1-3A</t>
  </si>
  <si>
    <t>HO YEE WUN</t>
  </si>
  <si>
    <t>LAT/0-7*</t>
  </si>
  <si>
    <t>JOSHUA LEE CHEE KEN</t>
  </si>
  <si>
    <t>LAT/2-3A</t>
  </si>
  <si>
    <t>2F</t>
  </si>
  <si>
    <t>SA PRESTIGE SDN BHD</t>
  </si>
  <si>
    <t>MP1/B-0-6</t>
  </si>
  <si>
    <t>MP1</t>
  </si>
  <si>
    <t xml:space="preserve">7-ELEVEN MALAYSIA SDN BHD </t>
  </si>
  <si>
    <t>MP1/B-0-11 &amp; B-1-11</t>
  </si>
  <si>
    <t>G&amp;1F</t>
  </si>
  <si>
    <t>ALPHA BORNEO VENTURE SDN BHD</t>
  </si>
  <si>
    <t>MP1/B-0-5 &amp; B-1-5</t>
  </si>
  <si>
    <t>MOHD HAIDIR BIN HASSAN</t>
  </si>
  <si>
    <t>MP1/B-1-7</t>
  </si>
  <si>
    <t>RUTINAH BINTI TUOH</t>
  </si>
  <si>
    <t>MP1/B-0-10</t>
  </si>
  <si>
    <t>SHYLYN MARTIN</t>
  </si>
  <si>
    <t>MP1/B-0-8</t>
  </si>
  <si>
    <t>TAN KEE PING &amp; JASPER FONG SENG FEI &amp; LU WUI KIAT</t>
  </si>
  <si>
    <t>MP1/B-1-8</t>
  </si>
  <si>
    <t>MP1/B-0-4</t>
  </si>
  <si>
    <t>TETAP LAYAN SDN BHD</t>
  </si>
  <si>
    <t>MP1/B-0-7</t>
  </si>
  <si>
    <t>TT HERITAGE SDN BHD</t>
  </si>
  <si>
    <t>MP1/B-1-6</t>
  </si>
  <si>
    <t>YWG GOLD CAPITAL SDN BHD</t>
  </si>
  <si>
    <t>MP2/E-0-9</t>
  </si>
  <si>
    <t>MP2</t>
  </si>
  <si>
    <t>MP2/F-0-6 &amp; F-1-6</t>
  </si>
  <si>
    <t>CHONG HAN PINH TRADING AS CML (KK) ENTERPRISE</t>
  </si>
  <si>
    <t>MP2/G-1-8</t>
  </si>
  <si>
    <t>CHUA CHOON WAH</t>
  </si>
  <si>
    <t>MP2/E-0-8</t>
  </si>
  <si>
    <t>HARWIND BIN AMINUDIN</t>
  </si>
  <si>
    <t>MP2/G-0-8</t>
  </si>
  <si>
    <t>KEDAI KOPI PIN WEI @ NGU SIEW KING</t>
  </si>
  <si>
    <t>MP2/G-1-12</t>
  </si>
  <si>
    <t>KLINIK PERGIGIAN BAKTI SDN BHD</t>
  </si>
  <si>
    <t>MP2/E-0-3</t>
  </si>
  <si>
    <t>LAUTI BINTI KIAU</t>
  </si>
  <si>
    <t>MP2/G-1-9</t>
  </si>
  <si>
    <t>LEE CHEE KIEN</t>
  </si>
  <si>
    <t>MP2/H-1-5</t>
  </si>
  <si>
    <t>LEVISTO BIN MALAWIT</t>
  </si>
  <si>
    <t>MP2/H-0-1</t>
  </si>
  <si>
    <t>MR D.I.Y (EM) SDN BHD</t>
  </si>
  <si>
    <t>MP2/H-0-2</t>
  </si>
  <si>
    <t>MP2/H-0-3 &amp; H-1-3</t>
  </si>
  <si>
    <t>MP2/H-0-4 &amp; H-1-4</t>
  </si>
  <si>
    <t>MP2/H-0-5</t>
  </si>
  <si>
    <t>MP2/E-0-4</t>
  </si>
  <si>
    <t>NURSEYA BINTI WARIS</t>
  </si>
  <si>
    <t>MP2/E-1-4</t>
  </si>
  <si>
    <t>MP2/E-1-8</t>
  </si>
  <si>
    <t>PAU &amp; CHERYL TRADING SDN BHD</t>
  </si>
  <si>
    <t>MP2/E-1-9</t>
  </si>
  <si>
    <t>SATULOGAT JAYA SDN. BHD.</t>
  </si>
  <si>
    <t>MP2/G-0-9</t>
  </si>
  <si>
    <t>SUTRIANI BINTI SHAMSUDDIN</t>
  </si>
  <si>
    <t>MP2/F-0-3 &amp; F-1-3</t>
  </si>
  <si>
    <t>TCT TRADING SDN BHD</t>
  </si>
  <si>
    <t>MP2/F-0-5 &amp; F-1-5</t>
  </si>
  <si>
    <t>MP2/F-0-4 &amp; F-1-4</t>
  </si>
  <si>
    <t xml:space="preserve">TCT TRADING SDN BHD </t>
  </si>
  <si>
    <t>MP2/H-1-1</t>
  </si>
  <si>
    <t>TEAMWAY LEARNING SDN BHD</t>
  </si>
  <si>
    <t>MP2/H-1-2</t>
  </si>
  <si>
    <t>MP2/G-0-12</t>
  </si>
  <si>
    <t>WATSON'S PERSONAL CARE STORES SDN BHD</t>
  </si>
  <si>
    <t>MP2/G-0-11</t>
  </si>
  <si>
    <t xml:space="preserve">WATSON'S PERSONAL CARE STORES SDN BHD </t>
  </si>
  <si>
    <t>KKUP2/A-16-8</t>
  </si>
  <si>
    <t>P2-A</t>
  </si>
  <si>
    <t>16F</t>
  </si>
  <si>
    <t>EASTWIND GLOBAL SDN BHD</t>
  </si>
  <si>
    <t>KKUP2/A-18-8</t>
  </si>
  <si>
    <t>18F</t>
  </si>
  <si>
    <t>KKUP2/A-23A-8</t>
  </si>
  <si>
    <t>23AF</t>
  </si>
  <si>
    <t>KKUP2/A-23A-3</t>
  </si>
  <si>
    <t>EASTWIND GLOBAL SDN. BHD.</t>
  </si>
  <si>
    <t>KKUP2/A-23A-5</t>
  </si>
  <si>
    <t>KKUP2/A-23A-9</t>
  </si>
  <si>
    <t>KKUP2/A-23A-10</t>
  </si>
  <si>
    <t>KKUP2/A-23A-11</t>
  </si>
  <si>
    <t>KKUP2/A-23A-13</t>
  </si>
  <si>
    <t>KKUP2/A-23A-12 (L)</t>
  </si>
  <si>
    <t>NI, CHU YING</t>
  </si>
  <si>
    <t>KKUP2/A-25-3 (L)</t>
  </si>
  <si>
    <t>25f</t>
  </si>
  <si>
    <t>MOHD. SHAZWAN BIN ZULKAPLI</t>
  </si>
  <si>
    <t>KKUP2/B-18-15 (L)</t>
  </si>
  <si>
    <t>P2-B</t>
  </si>
  <si>
    <t>CHEE KIM FUNG</t>
  </si>
  <si>
    <t>KKUP2/B-12-1 (L2)</t>
  </si>
  <si>
    <t>12F</t>
  </si>
  <si>
    <t>LIAW YUN QI (TRADING AS PARTNERS IN THE NAME AND STYLE OF TIMBER PLUS)</t>
  </si>
  <si>
    <t>KKUP2/B-12-1 (L1)</t>
  </si>
  <si>
    <t>IAN CHIN ZHENG YU (TRADING AS PARTNERS IN THE NAME AND STYLE OF TIMBER PLUS)</t>
  </si>
  <si>
    <t>KKUP2/C-0-17</t>
  </si>
  <si>
    <t>P2 SHOPS</t>
  </si>
  <si>
    <t>A1 RECIPE SDN BHD</t>
  </si>
  <si>
    <t>KKUP2/C-0-1</t>
  </si>
  <si>
    <t>BLUE SHUTTLE SDN BHD</t>
  </si>
  <si>
    <t>KKUP2/C-0-2</t>
  </si>
  <si>
    <t>KKUP2/C-0-3</t>
  </si>
  <si>
    <t>KKUP2/C-0-3A</t>
  </si>
  <si>
    <t>KKUP2/C-0-5</t>
  </si>
  <si>
    <t>KKUP2/C-0-6</t>
  </si>
  <si>
    <t>KKUP2/C-1-8</t>
  </si>
  <si>
    <t>BORNEO WELLNESS REFLEXOLOGY SDN BHD</t>
  </si>
  <si>
    <t>KKUP2/C-1-9</t>
  </si>
  <si>
    <t>KKUP2/C-0-7</t>
  </si>
  <si>
    <t>CHARLSTON PETER</t>
  </si>
  <si>
    <t>KKUP2/C-0-7-AP</t>
  </si>
  <si>
    <t>GF(AP)</t>
  </si>
  <si>
    <t>KKUP2/C-0-8</t>
  </si>
  <si>
    <t>KKUP2/C-0-8-AP</t>
  </si>
  <si>
    <t>KKUP2/C-0-12</t>
  </si>
  <si>
    <t>CHIN VUI KHEN</t>
  </si>
  <si>
    <t>KKUP2/C-2-1</t>
  </si>
  <si>
    <t>KKUP2/C-2-2</t>
  </si>
  <si>
    <t>KKUP2/C-0-18</t>
  </si>
  <si>
    <t>GEMUK SEAFOOD RESTAURANT SDN BHD</t>
  </si>
  <si>
    <t>KKUP2/C-0-19</t>
  </si>
  <si>
    <t>KKUP2/C-0-20</t>
  </si>
  <si>
    <t>KKUP2/C-1-13</t>
  </si>
  <si>
    <t>HEAVENLY DENTAL CARE SDN BHD</t>
  </si>
  <si>
    <t>KKUP2/C-1-13A</t>
  </si>
  <si>
    <t>13A</t>
  </si>
  <si>
    <t>IMOLIVER MARKETING SDN BHD</t>
  </si>
  <si>
    <t>KKUP2/C-1-10</t>
  </si>
  <si>
    <t>KAREN LIEW SEH YEE</t>
  </si>
  <si>
    <t>KKUP2/C-1-11</t>
  </si>
  <si>
    <t>KKUP2/C-1-1</t>
  </si>
  <si>
    <t>KEKAL BERSATU SDN BHD</t>
  </si>
  <si>
    <t>KKUP2/C-1-2</t>
  </si>
  <si>
    <t>KKUP2/C-0-10</t>
  </si>
  <si>
    <t>KOPI PING CAFÉ SDN BHD</t>
  </si>
  <si>
    <t>KKUP2/C-0-10-AP</t>
  </si>
  <si>
    <t>KKUP2/C-0-9</t>
  </si>
  <si>
    <t>KKUP2/C-0-9-AP</t>
  </si>
  <si>
    <t>KKUP2/C-0-16</t>
  </si>
  <si>
    <t>KOTA KINABALU CONFECTIONERY (M) SDN BHD</t>
  </si>
  <si>
    <t>KKUP2/C-0-16-AP</t>
  </si>
  <si>
    <t>KKUP2/C-0-13A</t>
  </si>
  <si>
    <t>MULTI-BAKE SDN BHD</t>
  </si>
  <si>
    <t>KKUP2/C-0-13A-AP</t>
  </si>
  <si>
    <t>KKUP2/C-0-15</t>
  </si>
  <si>
    <t>ORANGE CONVENIENT STORE SDN BHD</t>
  </si>
  <si>
    <t>KKUP2/C-0-13</t>
  </si>
  <si>
    <t>SIAU YEN LEONG</t>
  </si>
  <si>
    <t>KKUP2/C-0-13-AP</t>
  </si>
  <si>
    <t>KKUP2/C-1-12</t>
  </si>
  <si>
    <t>SMART SAFARI SDN BHD</t>
  </si>
  <si>
    <t>KKUP2/C-0-11</t>
  </si>
  <si>
    <t>ZUSPRESSO (M) SDN BHD</t>
  </si>
  <si>
    <t>Ex-tenants</t>
  </si>
  <si>
    <t>Rent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</si>
</sst>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1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434343"/>
      <name val="Calibri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FF0000"/>
      <name val="Calibri"/>
    </font>
    <font>
      <sz val="11"/>
      <color rgb="FF000000"/>
      <name val="Calibri"/>
    </font>
    <font>
      <sz val="10"/>
      <color rgb="FF434343"/>
      <name val="Arial"/>
      <scheme val="minor"/>
    </font>
    <font>
      <b/>
      <u/>
      <sz val="11"/>
      <color rgb="FF7F7F7F"/>
      <name val="Calibri"/>
    </font>
    <font>
      <sz val="11"/>
      <color rgb="FFD8D8D8"/>
      <name val="Calibri"/>
    </font>
    <font>
      <b/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43" fontId="2" fillId="0" borderId="0" xfId="0" applyNumberFormat="1" applyFont="1"/>
    <xf numFmtId="43" fontId="3" fillId="0" borderId="0" xfId="0" applyNumberFormat="1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43" fontId="5" fillId="0" borderId="0" xfId="0" applyNumberFormat="1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6" fillId="0" borderId="0" xfId="0" applyFont="1"/>
    <xf numFmtId="43" fontId="3" fillId="0" borderId="0" xfId="0" applyNumberFormat="1" applyFont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43" fontId="2" fillId="2" borderId="0" xfId="0" applyNumberFormat="1" applyFont="1" applyFill="1"/>
    <xf numFmtId="43" fontId="3" fillId="2" borderId="0" xfId="0" applyNumberFormat="1" applyFont="1" applyFill="1"/>
    <xf numFmtId="164" fontId="3" fillId="2" borderId="0" xfId="0" applyNumberFormat="1" applyFont="1" applyFill="1"/>
    <xf numFmtId="164" fontId="5" fillId="2" borderId="0" xfId="0" applyNumberFormat="1" applyFont="1" applyFill="1"/>
    <xf numFmtId="43" fontId="2" fillId="3" borderId="0" xfId="0" applyNumberFormat="1" applyFont="1" applyFill="1"/>
    <xf numFmtId="43" fontId="3" fillId="3" borderId="0" xfId="0" applyNumberFormat="1" applyFont="1" applyFill="1"/>
    <xf numFmtId="164" fontId="3" fillId="3" borderId="0" xfId="0" applyNumberFormat="1" applyFont="1" applyFill="1"/>
    <xf numFmtId="164" fontId="5" fillId="3" borderId="0" xfId="0" applyNumberFormat="1" applyFont="1" applyFill="1"/>
    <xf numFmtId="0" fontId="7" fillId="0" borderId="0" xfId="0" applyFont="1"/>
    <xf numFmtId="0" fontId="3" fillId="4" borderId="0" xfId="0" applyFont="1" applyFill="1"/>
    <xf numFmtId="0" fontId="9" fillId="0" borderId="0" xfId="0" applyFont="1"/>
    <xf numFmtId="0" fontId="9" fillId="0" borderId="0" xfId="0" applyFont="1" applyAlignment="1">
      <alignment horizontal="right"/>
    </xf>
    <xf numFmtId="43" fontId="9" fillId="0" borderId="0" xfId="0" applyNumberFormat="1" applyFont="1"/>
    <xf numFmtId="164" fontId="9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left"/>
    </xf>
    <xf numFmtId="43" fontId="2" fillId="0" borderId="0" xfId="0" applyNumberFormat="1" applyFont="1" applyAlignment="1">
      <alignment horizontal="center"/>
    </xf>
    <xf numFmtId="0" fontId="0" fillId="0" borderId="0" xfId="0"/>
    <xf numFmtId="0" fontId="4" fillId="3" borderId="0" xfId="0" applyFont="1" applyFill="1"/>
    <xf numFmtId="0" fontId="8" fillId="3" borderId="0" xfId="0" applyFont="1" applyFill="1" applyAlignment="1">
      <alignment horizontal="left"/>
    </xf>
    <xf numFmtId="0" fontId="1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FY1198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J5" sqref="J5:J120"/>
    </sheetView>
  </sheetViews>
  <sheetFormatPr defaultColWidth="12.5703125" defaultRowHeight="15.75" customHeight="1" outlineLevelCol="1" x14ac:dyDescent="0.2"/>
  <cols>
    <col min="1" max="1" width="21.85546875" customWidth="1"/>
    <col min="2" max="2" width="8.28515625" customWidth="1"/>
    <col min="3" max="3" width="6.140625" customWidth="1"/>
    <col min="4" max="4" width="3.85546875" customWidth="1"/>
    <col min="5" max="5" width="14.140625" customWidth="1"/>
    <col min="6" max="6" width="11.28515625" customWidth="1"/>
    <col min="7" max="7" width="11.140625" customWidth="1"/>
    <col min="8" max="11" width="13.42578125" customWidth="1"/>
    <col min="12" max="20" width="11.140625" hidden="1" customWidth="1" outlineLevel="1"/>
    <col min="21" max="21" width="3.7109375" customWidth="1" collapsed="1"/>
    <col min="22" max="32" width="11.140625" hidden="1" customWidth="1" outlineLevel="1"/>
    <col min="33" max="33" width="11.5703125" hidden="1" customWidth="1" outlineLevel="1"/>
    <col min="34" max="34" width="3.7109375" customWidth="1" collapsed="1"/>
    <col min="35" max="37" width="11.140625" hidden="1" customWidth="1" outlineLevel="1"/>
    <col min="38" max="46" width="11.5703125" hidden="1" customWidth="1" outlineLevel="1"/>
    <col min="47" max="47" width="3.7109375" customWidth="1" collapsed="1"/>
    <col min="48" max="50" width="11.140625" hidden="1" customWidth="1" outlineLevel="1"/>
    <col min="51" max="59" width="11.5703125" hidden="1" customWidth="1" outlineLevel="1"/>
    <col min="60" max="60" width="3.85546875" customWidth="1" collapsed="1"/>
    <col min="61" max="62" width="11.140625" customWidth="1" outlineLevel="1"/>
    <col min="63" max="69" width="11.5703125" customWidth="1" outlineLevel="1"/>
    <col min="70" max="70" width="11.7109375" customWidth="1" outlineLevel="1"/>
    <col min="71" max="72" width="11.5703125" customWidth="1" outlineLevel="1"/>
    <col min="73" max="73" width="2.85546875" customWidth="1"/>
    <col min="74" max="181" width="11.140625" customWidth="1"/>
  </cols>
  <sheetData>
    <row r="1" spans="1:181" ht="15.75" customHeight="1" x14ac:dyDescent="0.25">
      <c r="A1" s="1" t="s">
        <v>0</v>
      </c>
      <c r="B1" s="1"/>
      <c r="C1" s="1"/>
      <c r="D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4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4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4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</row>
    <row r="2" spans="1:181" ht="15.75" customHeight="1" x14ac:dyDescent="0.25">
      <c r="A2" s="1" t="s">
        <v>1</v>
      </c>
      <c r="B2" s="1"/>
      <c r="C2" s="1"/>
      <c r="D2" s="1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4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4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4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4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</row>
    <row r="3" spans="1:181" ht="15.75" customHeight="1" x14ac:dyDescent="0.25">
      <c r="A3" s="1" t="s">
        <v>2</v>
      </c>
      <c r="B3" s="1"/>
      <c r="C3" s="1"/>
      <c r="D3" s="1"/>
      <c r="G3" s="37" t="s">
        <v>3</v>
      </c>
      <c r="H3" s="38"/>
      <c r="I3" s="38"/>
      <c r="J3" s="38"/>
      <c r="K3" s="38"/>
      <c r="L3" s="3"/>
      <c r="M3" s="3"/>
      <c r="N3" s="3"/>
      <c r="O3" s="3"/>
      <c r="P3" s="3"/>
      <c r="Q3" s="3"/>
      <c r="R3" s="3"/>
      <c r="S3" s="3"/>
      <c r="T3" s="3"/>
      <c r="U3" s="4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4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4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</row>
    <row r="4" spans="1:181" ht="15.75" customHeight="1" x14ac:dyDescent="0.25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6" t="s">
        <v>10</v>
      </c>
      <c r="H4" s="6" t="s">
        <v>11</v>
      </c>
      <c r="I4" s="6" t="s">
        <v>12</v>
      </c>
      <c r="J4" s="6" t="s">
        <v>222</v>
      </c>
      <c r="K4" s="6" t="s">
        <v>13</v>
      </c>
      <c r="L4" s="7">
        <v>44287</v>
      </c>
      <c r="M4" s="7">
        <v>44317</v>
      </c>
      <c r="N4" s="7">
        <v>44348</v>
      </c>
      <c r="O4" s="7">
        <v>44378</v>
      </c>
      <c r="P4" s="7">
        <v>44409</v>
      </c>
      <c r="Q4" s="7">
        <v>44440</v>
      </c>
      <c r="R4" s="7">
        <v>44470</v>
      </c>
      <c r="S4" s="7">
        <v>44501</v>
      </c>
      <c r="T4" s="7">
        <v>44531</v>
      </c>
      <c r="U4" s="8">
        <v>21</v>
      </c>
      <c r="V4" s="7">
        <v>44562</v>
      </c>
      <c r="W4" s="7">
        <v>44593</v>
      </c>
      <c r="X4" s="7">
        <v>44621</v>
      </c>
      <c r="Y4" s="7">
        <v>44652</v>
      </c>
      <c r="Z4" s="7">
        <v>44682</v>
      </c>
      <c r="AA4" s="7">
        <v>44713</v>
      </c>
      <c r="AB4" s="7">
        <v>44743</v>
      </c>
      <c r="AC4" s="7">
        <v>44774</v>
      </c>
      <c r="AD4" s="7">
        <v>44805</v>
      </c>
      <c r="AE4" s="7">
        <v>44835</v>
      </c>
      <c r="AF4" s="7">
        <v>44866</v>
      </c>
      <c r="AG4" s="7">
        <v>44896</v>
      </c>
      <c r="AH4" s="8">
        <v>22</v>
      </c>
      <c r="AI4" s="7">
        <v>44927</v>
      </c>
      <c r="AJ4" s="7">
        <v>44958</v>
      </c>
      <c r="AK4" s="7">
        <v>44986</v>
      </c>
      <c r="AL4" s="7">
        <v>45017</v>
      </c>
      <c r="AM4" s="7">
        <v>45047</v>
      </c>
      <c r="AN4" s="7">
        <v>45078</v>
      </c>
      <c r="AO4" s="7">
        <v>45108</v>
      </c>
      <c r="AP4" s="7">
        <v>45139</v>
      </c>
      <c r="AQ4" s="7">
        <v>45170</v>
      </c>
      <c r="AR4" s="7">
        <v>45200</v>
      </c>
      <c r="AS4" s="7">
        <v>45231</v>
      </c>
      <c r="AT4" s="7">
        <v>45261</v>
      </c>
      <c r="AU4" s="8">
        <v>23</v>
      </c>
      <c r="AV4" s="7">
        <v>45292</v>
      </c>
      <c r="AW4" s="7">
        <v>45323</v>
      </c>
      <c r="AX4" s="7">
        <v>45352</v>
      </c>
      <c r="AY4" s="7">
        <v>45383</v>
      </c>
      <c r="AZ4" s="7">
        <v>45413</v>
      </c>
      <c r="BA4" s="7">
        <v>45444</v>
      </c>
      <c r="BB4" s="7">
        <v>45474</v>
      </c>
      <c r="BC4" s="7">
        <v>45505</v>
      </c>
      <c r="BD4" s="7">
        <v>45536</v>
      </c>
      <c r="BE4" s="7">
        <v>45566</v>
      </c>
      <c r="BF4" s="7">
        <v>45597</v>
      </c>
      <c r="BG4" s="7">
        <v>45627</v>
      </c>
      <c r="BH4" s="8">
        <v>24</v>
      </c>
      <c r="BI4" s="7">
        <v>45658</v>
      </c>
      <c r="BJ4" s="7">
        <v>45689</v>
      </c>
      <c r="BK4" s="7">
        <v>45717</v>
      </c>
      <c r="BL4" s="7">
        <v>45748</v>
      </c>
      <c r="BM4" s="7">
        <v>45778</v>
      </c>
      <c r="BN4" s="7">
        <v>45809</v>
      </c>
      <c r="BO4" s="7">
        <v>45839</v>
      </c>
      <c r="BP4" s="7">
        <v>45870</v>
      </c>
      <c r="BQ4" s="7">
        <v>45901</v>
      </c>
      <c r="BR4" s="7">
        <v>45931</v>
      </c>
      <c r="BS4" s="7">
        <v>45962</v>
      </c>
      <c r="BT4" s="7">
        <v>45992</v>
      </c>
      <c r="BU4" s="5">
        <v>25</v>
      </c>
      <c r="BV4" s="7">
        <v>46023</v>
      </c>
      <c r="BW4" s="7">
        <v>46054</v>
      </c>
      <c r="BX4" s="7">
        <v>46082</v>
      </c>
      <c r="BY4" s="7">
        <v>46113</v>
      </c>
      <c r="BZ4" s="7">
        <v>46143</v>
      </c>
      <c r="CA4" s="7">
        <v>46174</v>
      </c>
      <c r="CB4" s="7">
        <v>46204</v>
      </c>
      <c r="CC4" s="7">
        <v>46235</v>
      </c>
      <c r="CD4" s="7">
        <v>46266</v>
      </c>
      <c r="CE4" s="7">
        <v>46296</v>
      </c>
      <c r="CF4" s="7">
        <v>46327</v>
      </c>
      <c r="CG4" s="7">
        <v>46357</v>
      </c>
      <c r="CH4" s="7">
        <v>46388</v>
      </c>
      <c r="CI4" s="7">
        <v>46419</v>
      </c>
      <c r="CJ4" s="7">
        <v>46447</v>
      </c>
      <c r="CK4" s="7">
        <v>46478</v>
      </c>
      <c r="CL4" s="7">
        <v>46508</v>
      </c>
      <c r="CM4" s="7">
        <v>46539</v>
      </c>
      <c r="CN4" s="7">
        <v>46569</v>
      </c>
      <c r="CO4" s="7">
        <v>46600</v>
      </c>
      <c r="CP4" s="7">
        <v>46631</v>
      </c>
      <c r="CQ4" s="7">
        <v>46661</v>
      </c>
      <c r="CR4" s="7">
        <v>46692</v>
      </c>
      <c r="CS4" s="7">
        <v>46722</v>
      </c>
      <c r="CT4" s="7">
        <v>46753</v>
      </c>
      <c r="CU4" s="7">
        <v>46784</v>
      </c>
      <c r="CV4" s="7">
        <v>46813</v>
      </c>
      <c r="CW4" s="7">
        <v>46844</v>
      </c>
      <c r="CX4" s="7">
        <v>46874</v>
      </c>
      <c r="CY4" s="7">
        <v>46905</v>
      </c>
      <c r="CZ4" s="7">
        <v>46935</v>
      </c>
      <c r="DA4" s="7">
        <v>46966</v>
      </c>
      <c r="DB4" s="7">
        <v>46997</v>
      </c>
      <c r="DC4" s="7">
        <v>47027</v>
      </c>
      <c r="DD4" s="7">
        <v>47058</v>
      </c>
      <c r="DE4" s="7">
        <v>47088</v>
      </c>
      <c r="DF4" s="7">
        <v>47119</v>
      </c>
      <c r="DG4" s="7">
        <v>47150</v>
      </c>
      <c r="DH4" s="7">
        <v>47178</v>
      </c>
      <c r="DI4" s="7">
        <v>47209</v>
      </c>
      <c r="DJ4" s="7">
        <v>47239</v>
      </c>
      <c r="DK4" s="7">
        <v>47270</v>
      </c>
      <c r="DL4" s="7">
        <v>47300</v>
      </c>
      <c r="DM4" s="7">
        <v>47331</v>
      </c>
      <c r="DN4" s="7">
        <v>47362</v>
      </c>
      <c r="DO4" s="7">
        <v>47392</v>
      </c>
      <c r="DP4" s="7">
        <v>47423</v>
      </c>
      <c r="DQ4" s="7">
        <v>47453</v>
      </c>
      <c r="DR4" s="7">
        <v>47484</v>
      </c>
      <c r="DS4" s="7">
        <v>47515</v>
      </c>
      <c r="DT4" s="7">
        <v>47543</v>
      </c>
      <c r="DU4" s="7">
        <v>47574</v>
      </c>
      <c r="DV4" s="7">
        <v>47604</v>
      </c>
      <c r="DW4" s="7">
        <v>47635</v>
      </c>
      <c r="DX4" s="7">
        <v>47665</v>
      </c>
      <c r="DY4" s="7">
        <v>47696</v>
      </c>
      <c r="DZ4" s="7">
        <v>47727</v>
      </c>
      <c r="EA4" s="7">
        <v>47757</v>
      </c>
      <c r="EB4" s="7">
        <v>47788</v>
      </c>
      <c r="EC4" s="7">
        <v>47818</v>
      </c>
      <c r="ED4" s="7">
        <v>47849</v>
      </c>
      <c r="EE4" s="7">
        <v>47880</v>
      </c>
      <c r="EF4" s="7">
        <v>47908</v>
      </c>
      <c r="EG4" s="7">
        <v>47939</v>
      </c>
      <c r="EH4" s="7">
        <v>47969</v>
      </c>
      <c r="EI4" s="7">
        <v>48000</v>
      </c>
      <c r="EJ4" s="7">
        <v>48030</v>
      </c>
      <c r="EK4" s="7">
        <v>48061</v>
      </c>
      <c r="EL4" s="7">
        <v>48092</v>
      </c>
      <c r="EM4" s="7">
        <v>48122</v>
      </c>
      <c r="EN4" s="7">
        <v>48153</v>
      </c>
      <c r="EO4" s="7">
        <v>48183</v>
      </c>
      <c r="EP4" s="7">
        <v>48214</v>
      </c>
      <c r="EQ4" s="7">
        <v>48245</v>
      </c>
      <c r="ER4" s="7">
        <v>48274</v>
      </c>
      <c r="ES4" s="7">
        <v>48305</v>
      </c>
      <c r="ET4" s="7">
        <v>48335</v>
      </c>
      <c r="EU4" s="7">
        <v>48366</v>
      </c>
      <c r="EV4" s="7">
        <v>48396</v>
      </c>
      <c r="EW4" s="7">
        <v>48427</v>
      </c>
      <c r="EX4" s="7">
        <v>48458</v>
      </c>
      <c r="EY4" s="7">
        <v>48488</v>
      </c>
      <c r="EZ4" s="7">
        <v>48519</v>
      </c>
      <c r="FA4" s="7">
        <v>48549</v>
      </c>
      <c r="FB4" s="7">
        <v>48580</v>
      </c>
      <c r="FC4" s="7">
        <v>48611</v>
      </c>
      <c r="FD4" s="7">
        <v>48639</v>
      </c>
      <c r="FE4" s="7">
        <v>48670</v>
      </c>
      <c r="FF4" s="7">
        <v>48700</v>
      </c>
      <c r="FG4" s="7">
        <v>48731</v>
      </c>
      <c r="FH4" s="7">
        <v>48761</v>
      </c>
      <c r="FI4" s="7">
        <v>48792</v>
      </c>
      <c r="FJ4" s="7">
        <v>48823</v>
      </c>
      <c r="FK4" s="7">
        <v>48853</v>
      </c>
      <c r="FL4" s="7">
        <v>48884</v>
      </c>
      <c r="FM4" s="7">
        <v>48914</v>
      </c>
      <c r="FN4" s="7">
        <v>48945</v>
      </c>
      <c r="FO4" s="7">
        <v>48976</v>
      </c>
      <c r="FP4" s="7">
        <v>49004</v>
      </c>
      <c r="FQ4" s="7">
        <v>49035</v>
      </c>
      <c r="FR4" s="7">
        <v>49065</v>
      </c>
      <c r="FS4" s="7">
        <v>49096</v>
      </c>
      <c r="FT4" s="7">
        <v>49126</v>
      </c>
      <c r="FU4" s="7">
        <v>49157</v>
      </c>
      <c r="FV4" s="7">
        <v>49188</v>
      </c>
      <c r="FW4" s="7">
        <v>49218</v>
      </c>
      <c r="FX4" s="7">
        <v>49249</v>
      </c>
      <c r="FY4" s="7">
        <v>49279</v>
      </c>
    </row>
    <row r="5" spans="1:181" ht="15.75" customHeight="1" x14ac:dyDescent="0.25">
      <c r="A5" s="9" t="s">
        <v>14</v>
      </c>
      <c r="B5" s="9" t="s">
        <v>12</v>
      </c>
      <c r="E5" s="10" t="s">
        <v>15</v>
      </c>
      <c r="F5" s="10" t="s">
        <v>16</v>
      </c>
      <c r="G5" s="2">
        <v>0</v>
      </c>
      <c r="H5" s="2">
        <v>0</v>
      </c>
      <c r="I5" s="2">
        <v>0</v>
      </c>
      <c r="J5" s="11">
        <v>9065</v>
      </c>
      <c r="K5" s="2">
        <f>SUM(G5:I5)</f>
        <v>0</v>
      </c>
      <c r="L5" s="3">
        <v>9065</v>
      </c>
      <c r="M5" s="3">
        <v>9065</v>
      </c>
      <c r="N5" s="3">
        <v>9065</v>
      </c>
      <c r="O5" s="3">
        <v>9065</v>
      </c>
      <c r="P5" s="3">
        <v>9065</v>
      </c>
      <c r="Q5" s="3">
        <v>9065</v>
      </c>
      <c r="R5" s="3">
        <v>9065</v>
      </c>
      <c r="S5" s="3">
        <v>9065</v>
      </c>
      <c r="T5" s="3">
        <v>9065</v>
      </c>
      <c r="U5" s="4"/>
      <c r="V5" s="3">
        <v>9065</v>
      </c>
      <c r="W5" s="11">
        <f t="shared" ref="W5:AG5" si="0">V5</f>
        <v>9065</v>
      </c>
      <c r="X5" s="11">
        <f t="shared" si="0"/>
        <v>9065</v>
      </c>
      <c r="Y5" s="11">
        <f t="shared" si="0"/>
        <v>9065</v>
      </c>
      <c r="Z5" s="11">
        <f t="shared" si="0"/>
        <v>9065</v>
      </c>
      <c r="AA5" s="11">
        <f t="shared" si="0"/>
        <v>9065</v>
      </c>
      <c r="AB5" s="11">
        <f t="shared" si="0"/>
        <v>9065</v>
      </c>
      <c r="AC5" s="11">
        <f t="shared" si="0"/>
        <v>9065</v>
      </c>
      <c r="AD5" s="11">
        <f t="shared" si="0"/>
        <v>9065</v>
      </c>
      <c r="AE5" s="11">
        <f t="shared" si="0"/>
        <v>9065</v>
      </c>
      <c r="AF5" s="11">
        <f t="shared" si="0"/>
        <v>9065</v>
      </c>
      <c r="AG5" s="11">
        <f t="shared" si="0"/>
        <v>9065</v>
      </c>
      <c r="AH5" s="12"/>
      <c r="AI5" s="11">
        <f>AG5</f>
        <v>9065</v>
      </c>
      <c r="AJ5" s="11">
        <f t="shared" ref="AJ5:AT5" si="1">AI5</f>
        <v>9065</v>
      </c>
      <c r="AK5" s="11">
        <f t="shared" si="1"/>
        <v>9065</v>
      </c>
      <c r="AL5" s="11">
        <f t="shared" si="1"/>
        <v>9065</v>
      </c>
      <c r="AM5" s="11">
        <f t="shared" si="1"/>
        <v>9065</v>
      </c>
      <c r="AN5" s="11">
        <f t="shared" si="1"/>
        <v>9065</v>
      </c>
      <c r="AO5" s="11">
        <f t="shared" si="1"/>
        <v>9065</v>
      </c>
      <c r="AP5" s="11">
        <f t="shared" si="1"/>
        <v>9065</v>
      </c>
      <c r="AQ5" s="11">
        <f t="shared" si="1"/>
        <v>9065</v>
      </c>
      <c r="AR5" s="11">
        <f t="shared" si="1"/>
        <v>9065</v>
      </c>
      <c r="AS5" s="11">
        <f t="shared" si="1"/>
        <v>9065</v>
      </c>
      <c r="AT5" s="11">
        <f t="shared" si="1"/>
        <v>9065</v>
      </c>
      <c r="AU5" s="12"/>
      <c r="AV5" s="11">
        <f>AT5</f>
        <v>9065</v>
      </c>
      <c r="AW5" s="11">
        <f t="shared" ref="AW5:BG5" si="2">AV5</f>
        <v>9065</v>
      </c>
      <c r="AX5" s="11">
        <f t="shared" si="2"/>
        <v>9065</v>
      </c>
      <c r="AY5" s="11">
        <f t="shared" si="2"/>
        <v>9065</v>
      </c>
      <c r="AZ5" s="11">
        <f t="shared" si="2"/>
        <v>9065</v>
      </c>
      <c r="BA5" s="11">
        <f t="shared" si="2"/>
        <v>9065</v>
      </c>
      <c r="BB5" s="11">
        <f t="shared" si="2"/>
        <v>9065</v>
      </c>
      <c r="BC5" s="11">
        <f t="shared" si="2"/>
        <v>9065</v>
      </c>
      <c r="BD5" s="11">
        <f t="shared" si="2"/>
        <v>9065</v>
      </c>
      <c r="BE5" s="11">
        <f t="shared" si="2"/>
        <v>9065</v>
      </c>
      <c r="BF5" s="11">
        <f t="shared" si="2"/>
        <v>9065</v>
      </c>
      <c r="BG5" s="11">
        <f t="shared" si="2"/>
        <v>9065</v>
      </c>
      <c r="BH5" s="12" t="str">
        <f t="shared" ref="BH5:BH7" si="3">IF(BI5=BG5," ","x")</f>
        <v xml:space="preserve"> </v>
      </c>
      <c r="BI5" s="11">
        <f>BG5</f>
        <v>9065</v>
      </c>
      <c r="BJ5" s="11">
        <f t="shared" ref="BJ5:BT5" si="4">BI5</f>
        <v>9065</v>
      </c>
      <c r="BK5" s="11">
        <f t="shared" si="4"/>
        <v>9065</v>
      </c>
      <c r="BL5" s="11">
        <f t="shared" si="4"/>
        <v>9065</v>
      </c>
      <c r="BM5" s="11">
        <f t="shared" si="4"/>
        <v>9065</v>
      </c>
      <c r="BN5" s="11">
        <f t="shared" si="4"/>
        <v>9065</v>
      </c>
      <c r="BO5" s="11">
        <f t="shared" si="4"/>
        <v>9065</v>
      </c>
      <c r="BP5" s="11">
        <f t="shared" si="4"/>
        <v>9065</v>
      </c>
      <c r="BQ5" s="11">
        <f t="shared" si="4"/>
        <v>9065</v>
      </c>
      <c r="BR5" s="11">
        <f t="shared" si="4"/>
        <v>9065</v>
      </c>
      <c r="BS5" s="11">
        <f t="shared" si="4"/>
        <v>9065</v>
      </c>
      <c r="BT5" s="11">
        <f t="shared" si="4"/>
        <v>9065</v>
      </c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</row>
    <row r="6" spans="1:181" ht="15.75" customHeight="1" x14ac:dyDescent="0.25">
      <c r="G6" s="2"/>
      <c r="H6" s="2"/>
      <c r="I6" s="2"/>
      <c r="J6" s="3"/>
      <c r="K6" s="2"/>
      <c r="L6" s="3"/>
      <c r="M6" s="3"/>
      <c r="N6" s="3"/>
      <c r="O6" s="3"/>
      <c r="P6" s="3"/>
      <c r="Q6" s="3"/>
      <c r="R6" s="3"/>
      <c r="S6" s="3"/>
      <c r="T6" s="3"/>
      <c r="U6" s="4"/>
      <c r="V6" s="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2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2"/>
      <c r="AV6" s="11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12" t="str">
        <f t="shared" si="3"/>
        <v xml:space="preserve"> </v>
      </c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</row>
    <row r="7" spans="1:181" ht="15.75" customHeight="1" x14ac:dyDescent="0.25">
      <c r="A7" s="9" t="s">
        <v>17</v>
      </c>
      <c r="B7" s="9" t="s">
        <v>18</v>
      </c>
      <c r="E7" s="10" t="s">
        <v>15</v>
      </c>
      <c r="F7" s="10" t="s">
        <v>19</v>
      </c>
      <c r="G7" s="2">
        <v>2600</v>
      </c>
      <c r="H7" s="2">
        <v>1000</v>
      </c>
      <c r="I7" s="2">
        <v>0</v>
      </c>
      <c r="J7" s="11">
        <v>1300</v>
      </c>
      <c r="K7" s="2">
        <f t="shared" ref="K7:K17" si="5">SUM(G7:I7)</f>
        <v>3600</v>
      </c>
      <c r="L7" s="3"/>
      <c r="M7" s="3"/>
      <c r="N7" s="3"/>
      <c r="O7" s="3"/>
      <c r="P7" s="3"/>
      <c r="Q7" s="3"/>
      <c r="R7" s="3"/>
      <c r="S7" s="3"/>
      <c r="T7" s="3"/>
      <c r="U7" s="4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  <c r="AI7" s="3"/>
      <c r="AJ7" s="3"/>
      <c r="AK7" s="3"/>
      <c r="AL7" s="3"/>
      <c r="AM7" s="3"/>
      <c r="AN7" s="3"/>
      <c r="AO7" s="3"/>
      <c r="AP7" s="3"/>
      <c r="AQ7" s="3">
        <v>1300</v>
      </c>
      <c r="AR7" s="3">
        <v>1300</v>
      </c>
      <c r="AS7" s="3">
        <v>1300</v>
      </c>
      <c r="AT7" s="3">
        <v>1300</v>
      </c>
      <c r="AU7" s="4"/>
      <c r="AV7" s="3">
        <v>1300</v>
      </c>
      <c r="AW7" s="3">
        <v>1300</v>
      </c>
      <c r="AX7" s="3">
        <v>1300</v>
      </c>
      <c r="AY7" s="3">
        <v>1300</v>
      </c>
      <c r="AZ7" s="3">
        <v>1300</v>
      </c>
      <c r="BA7" s="3">
        <v>1300</v>
      </c>
      <c r="BB7" s="3">
        <v>1300</v>
      </c>
      <c r="BC7" s="3">
        <v>1300</v>
      </c>
      <c r="BD7" s="11">
        <f t="shared" ref="BD7:BG7" si="6">BC7</f>
        <v>1300</v>
      </c>
      <c r="BE7" s="11">
        <f t="shared" si="6"/>
        <v>1300</v>
      </c>
      <c r="BF7" s="11">
        <f t="shared" si="6"/>
        <v>1300</v>
      </c>
      <c r="BG7" s="11">
        <f t="shared" si="6"/>
        <v>1300</v>
      </c>
      <c r="BH7" s="12" t="str">
        <f t="shared" si="3"/>
        <v xml:space="preserve"> </v>
      </c>
      <c r="BI7" s="11">
        <f t="shared" ref="BI7:BI8" si="7">BG7</f>
        <v>1300</v>
      </c>
      <c r="BJ7" s="11">
        <f t="shared" ref="BJ7:BT7" si="8">BI7</f>
        <v>1300</v>
      </c>
      <c r="BK7" s="11">
        <f t="shared" si="8"/>
        <v>1300</v>
      </c>
      <c r="BL7" s="11">
        <f t="shared" si="8"/>
        <v>1300</v>
      </c>
      <c r="BM7" s="11">
        <f t="shared" si="8"/>
        <v>1300</v>
      </c>
      <c r="BN7" s="11">
        <f t="shared" si="8"/>
        <v>1300</v>
      </c>
      <c r="BO7" s="11">
        <f t="shared" si="8"/>
        <v>1300</v>
      </c>
      <c r="BP7" s="11">
        <f t="shared" si="8"/>
        <v>1300</v>
      </c>
      <c r="BQ7" s="11">
        <f t="shared" si="8"/>
        <v>1300</v>
      </c>
      <c r="BR7" s="11">
        <f t="shared" si="8"/>
        <v>1300</v>
      </c>
      <c r="BS7" s="11">
        <f t="shared" si="8"/>
        <v>1300</v>
      </c>
      <c r="BT7" s="11">
        <f t="shared" si="8"/>
        <v>1300</v>
      </c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</row>
    <row r="8" spans="1:181" ht="15.75" customHeight="1" x14ac:dyDescent="0.25">
      <c r="A8" s="9" t="s">
        <v>20</v>
      </c>
      <c r="B8" s="9" t="s">
        <v>21</v>
      </c>
      <c r="E8" s="10" t="s">
        <v>15</v>
      </c>
      <c r="F8" s="10" t="s">
        <v>22</v>
      </c>
      <c r="G8" s="2">
        <v>5600</v>
      </c>
      <c r="H8" s="2">
        <v>1500</v>
      </c>
      <c r="I8" s="2">
        <v>0</v>
      </c>
      <c r="J8" s="11">
        <v>2800</v>
      </c>
      <c r="K8" s="2">
        <f t="shared" si="5"/>
        <v>7100</v>
      </c>
      <c r="L8" s="3"/>
      <c r="M8" s="3"/>
      <c r="N8" s="3"/>
      <c r="O8" s="3"/>
      <c r="P8" s="3"/>
      <c r="Q8" s="3"/>
      <c r="R8" s="3"/>
      <c r="S8" s="3"/>
      <c r="T8" s="3"/>
      <c r="U8" s="4"/>
      <c r="V8" s="3"/>
      <c r="W8" s="3"/>
      <c r="X8" s="3"/>
      <c r="Y8" s="3"/>
      <c r="Z8" s="3"/>
      <c r="AA8" s="3"/>
      <c r="AB8" s="3"/>
      <c r="AC8" s="3"/>
      <c r="AD8" s="3">
        <v>2800</v>
      </c>
      <c r="AE8" s="3">
        <v>2800</v>
      </c>
      <c r="AF8" s="3">
        <v>2800</v>
      </c>
      <c r="AG8" s="3">
        <v>2800</v>
      </c>
      <c r="AH8" s="4"/>
      <c r="AI8" s="3">
        <v>2800</v>
      </c>
      <c r="AJ8" s="3">
        <v>2800</v>
      </c>
      <c r="AK8" s="3">
        <v>2800</v>
      </c>
      <c r="AL8" s="3">
        <v>2800</v>
      </c>
      <c r="AM8" s="3">
        <v>2800</v>
      </c>
      <c r="AN8" s="3">
        <v>2800</v>
      </c>
      <c r="AO8" s="3">
        <v>2800</v>
      </c>
      <c r="AP8" s="3">
        <v>2800</v>
      </c>
      <c r="AQ8" s="3">
        <v>2800</v>
      </c>
      <c r="AR8" s="3">
        <v>2800</v>
      </c>
      <c r="AS8" s="3">
        <v>2800</v>
      </c>
      <c r="AT8" s="3">
        <v>2800</v>
      </c>
      <c r="AU8" s="4"/>
      <c r="AV8" s="3">
        <v>2800</v>
      </c>
      <c r="AW8" s="3">
        <v>2800</v>
      </c>
      <c r="AX8" s="3">
        <v>2800</v>
      </c>
      <c r="AY8" s="3">
        <v>2800</v>
      </c>
      <c r="AZ8" s="3">
        <v>2800</v>
      </c>
      <c r="BA8" s="3">
        <v>2800</v>
      </c>
      <c r="BB8" s="3">
        <v>2800</v>
      </c>
      <c r="BC8" s="3">
        <v>2800</v>
      </c>
      <c r="BD8" s="11">
        <f t="shared" ref="BD8:BG8" si="9">BC8</f>
        <v>2800</v>
      </c>
      <c r="BE8" s="11">
        <f t="shared" si="9"/>
        <v>2800</v>
      </c>
      <c r="BF8" s="11">
        <f t="shared" si="9"/>
        <v>2800</v>
      </c>
      <c r="BG8" s="11">
        <f t="shared" si="9"/>
        <v>2800</v>
      </c>
      <c r="BH8" s="12"/>
      <c r="BI8" s="11">
        <f t="shared" si="7"/>
        <v>2800</v>
      </c>
      <c r="BJ8" s="11">
        <f t="shared" ref="BJ8:BT8" si="10">BI8</f>
        <v>2800</v>
      </c>
      <c r="BK8" s="11">
        <f t="shared" si="10"/>
        <v>2800</v>
      </c>
      <c r="BL8" s="11">
        <f t="shared" si="10"/>
        <v>2800</v>
      </c>
      <c r="BM8" s="11">
        <f t="shared" si="10"/>
        <v>2800</v>
      </c>
      <c r="BN8" s="11">
        <f t="shared" si="10"/>
        <v>2800</v>
      </c>
      <c r="BO8" s="11">
        <f t="shared" si="10"/>
        <v>2800</v>
      </c>
      <c r="BP8" s="11">
        <f t="shared" si="10"/>
        <v>2800</v>
      </c>
      <c r="BQ8" s="11">
        <f t="shared" si="10"/>
        <v>2800</v>
      </c>
      <c r="BR8" s="11">
        <f t="shared" si="10"/>
        <v>2800</v>
      </c>
      <c r="BS8" s="11">
        <f t="shared" si="10"/>
        <v>2800</v>
      </c>
      <c r="BT8" s="11">
        <f t="shared" si="10"/>
        <v>2800</v>
      </c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</row>
    <row r="9" spans="1:181" ht="15.75" customHeight="1" x14ac:dyDescent="0.25">
      <c r="A9" s="9" t="s">
        <v>23</v>
      </c>
      <c r="B9" s="9" t="s">
        <v>12</v>
      </c>
      <c r="E9" s="9" t="s">
        <v>24</v>
      </c>
      <c r="F9" s="9" t="s">
        <v>25</v>
      </c>
      <c r="G9" s="2">
        <v>37500</v>
      </c>
      <c r="H9" s="2">
        <v>4500</v>
      </c>
      <c r="I9" s="2">
        <v>0</v>
      </c>
      <c r="J9" s="3">
        <v>18000</v>
      </c>
      <c r="K9" s="2">
        <f t="shared" si="5"/>
        <v>42000</v>
      </c>
      <c r="L9" s="3"/>
      <c r="M9" s="3"/>
      <c r="N9" s="3"/>
      <c r="O9" s="3"/>
      <c r="P9" s="3"/>
      <c r="Q9" s="3"/>
      <c r="R9" s="3"/>
      <c r="S9" s="3"/>
      <c r="T9" s="3"/>
      <c r="U9" s="4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4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4"/>
      <c r="AV9" s="3"/>
      <c r="AW9" s="3"/>
      <c r="AX9" s="3"/>
      <c r="AY9" s="3"/>
      <c r="AZ9" s="3">
        <v>2322.58</v>
      </c>
      <c r="BA9" s="3">
        <v>18000</v>
      </c>
      <c r="BB9" s="3">
        <v>18000</v>
      </c>
      <c r="BC9" s="3">
        <v>18000</v>
      </c>
      <c r="BD9" s="3">
        <v>18000</v>
      </c>
      <c r="BE9" s="3">
        <v>18000</v>
      </c>
      <c r="BF9" s="3">
        <v>18000</v>
      </c>
      <c r="BG9" s="3">
        <v>18000</v>
      </c>
      <c r="BH9" s="12"/>
      <c r="BI9" s="3">
        <v>18000</v>
      </c>
      <c r="BJ9" s="3">
        <v>18000</v>
      </c>
      <c r="BK9" s="3">
        <v>18000</v>
      </c>
      <c r="BL9" s="3">
        <v>18000</v>
      </c>
      <c r="BM9" s="3">
        <v>18000</v>
      </c>
      <c r="BN9" s="3">
        <v>18000</v>
      </c>
      <c r="BO9" s="3">
        <v>18000</v>
      </c>
      <c r="BP9" s="3">
        <v>18000</v>
      </c>
      <c r="BQ9" s="3">
        <v>18000</v>
      </c>
      <c r="BR9" s="3">
        <v>18000</v>
      </c>
      <c r="BS9" s="3">
        <v>18000</v>
      </c>
      <c r="BT9" s="3">
        <v>18000</v>
      </c>
      <c r="BU9" s="3"/>
      <c r="BV9" s="3">
        <v>18000</v>
      </c>
      <c r="BW9" s="3">
        <v>18000</v>
      </c>
      <c r="BX9" s="3">
        <v>18000</v>
      </c>
      <c r="BY9" s="3">
        <v>18000</v>
      </c>
      <c r="BZ9" s="3">
        <v>18000</v>
      </c>
      <c r="CA9" s="3">
        <v>18000</v>
      </c>
      <c r="CB9" s="3">
        <v>18000</v>
      </c>
      <c r="CC9" s="3">
        <v>18000</v>
      </c>
      <c r="CD9" s="3">
        <v>18000</v>
      </c>
      <c r="CE9" s="3">
        <v>18000</v>
      </c>
      <c r="CF9" s="3">
        <v>18000</v>
      </c>
      <c r="CG9" s="3">
        <v>18000</v>
      </c>
      <c r="CH9" s="3">
        <v>18000</v>
      </c>
      <c r="CI9" s="3">
        <v>18000</v>
      </c>
      <c r="CJ9" s="3">
        <v>18000</v>
      </c>
      <c r="CK9" s="3">
        <v>18000</v>
      </c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</row>
    <row r="10" spans="1:181" ht="15.75" customHeight="1" x14ac:dyDescent="0.25">
      <c r="A10" s="9" t="s">
        <v>26</v>
      </c>
      <c r="B10" s="9" t="s">
        <v>12</v>
      </c>
      <c r="E10" s="9" t="s">
        <v>24</v>
      </c>
      <c r="F10" s="9" t="s">
        <v>27</v>
      </c>
      <c r="G10" s="2">
        <v>2000</v>
      </c>
      <c r="H10" s="2">
        <v>1000</v>
      </c>
      <c r="I10" s="2">
        <v>0</v>
      </c>
      <c r="J10" s="3">
        <v>1000</v>
      </c>
      <c r="K10" s="2">
        <f t="shared" si="5"/>
        <v>3000</v>
      </c>
      <c r="L10" s="3"/>
      <c r="M10" s="3"/>
      <c r="N10" s="3"/>
      <c r="O10" s="3"/>
      <c r="P10" s="3"/>
      <c r="Q10" s="3"/>
      <c r="R10" s="3"/>
      <c r="S10" s="3"/>
      <c r="T10" s="3"/>
      <c r="U10" s="4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4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4"/>
      <c r="AV10" s="3"/>
      <c r="AW10" s="3"/>
      <c r="AX10" s="3"/>
      <c r="AY10" s="3"/>
      <c r="AZ10" s="3">
        <f>ROUND((31-10+1)/31*1000,2)</f>
        <v>709.68</v>
      </c>
      <c r="BA10" s="3">
        <v>1000</v>
      </c>
      <c r="BB10" s="3">
        <v>1000</v>
      </c>
      <c r="BC10" s="3">
        <v>1000</v>
      </c>
      <c r="BD10" s="3">
        <v>1000</v>
      </c>
      <c r="BE10" s="3">
        <v>1000</v>
      </c>
      <c r="BF10" s="3">
        <v>1000</v>
      </c>
      <c r="BG10" s="3">
        <v>1000</v>
      </c>
      <c r="BH10" s="12"/>
      <c r="BI10" s="3">
        <v>1000</v>
      </c>
      <c r="BJ10" s="3">
        <v>1000</v>
      </c>
      <c r="BK10" s="3">
        <v>1000</v>
      </c>
      <c r="BL10" s="3">
        <v>1000</v>
      </c>
      <c r="BM10" s="3">
        <v>1000</v>
      </c>
      <c r="BN10" s="3">
        <v>1000</v>
      </c>
      <c r="BO10" s="3">
        <v>1000</v>
      </c>
      <c r="BP10" s="3">
        <v>1000</v>
      </c>
      <c r="BQ10" s="3">
        <v>1000</v>
      </c>
      <c r="BR10" s="3">
        <v>1000</v>
      </c>
      <c r="BS10" s="3">
        <v>1000</v>
      </c>
      <c r="BT10" s="3">
        <v>1000</v>
      </c>
      <c r="BU10" s="3"/>
      <c r="BV10" s="3">
        <v>1000</v>
      </c>
      <c r="BW10" s="3">
        <v>1000</v>
      </c>
      <c r="BX10" s="3">
        <v>1000</v>
      </c>
      <c r="BY10" s="3">
        <v>1000</v>
      </c>
      <c r="BZ10" s="3">
        <v>1000</v>
      </c>
      <c r="CA10" s="3">
        <v>1000</v>
      </c>
      <c r="CB10" s="3">
        <v>1000</v>
      </c>
      <c r="CC10" s="3">
        <v>1000</v>
      </c>
      <c r="CD10" s="3">
        <v>1000</v>
      </c>
      <c r="CE10" s="3">
        <v>1000</v>
      </c>
      <c r="CF10" s="3">
        <v>1000</v>
      </c>
      <c r="CG10" s="3">
        <v>1000</v>
      </c>
      <c r="CH10" s="3">
        <v>1000</v>
      </c>
      <c r="CI10" s="3">
        <v>1000</v>
      </c>
      <c r="CJ10" s="3">
        <v>1000</v>
      </c>
      <c r="CK10" s="3">
        <v>1000</v>
      </c>
      <c r="CL10" s="3">
        <v>1000</v>
      </c>
      <c r="CM10" s="3">
        <v>1000</v>
      </c>
      <c r="CN10" s="3">
        <v>1000</v>
      </c>
      <c r="CO10" s="3">
        <v>1000</v>
      </c>
      <c r="CP10" s="3">
        <v>1000</v>
      </c>
      <c r="CQ10" s="3">
        <v>1000</v>
      </c>
      <c r="CR10" s="3">
        <v>1000</v>
      </c>
      <c r="CS10" s="3">
        <v>1000</v>
      </c>
      <c r="CT10" s="3">
        <v>1000</v>
      </c>
      <c r="CU10" s="3">
        <v>1000</v>
      </c>
      <c r="CV10" s="3">
        <v>1000</v>
      </c>
      <c r="CW10" s="3">
        <v>1000</v>
      </c>
      <c r="CX10" s="3">
        <v>1000</v>
      </c>
      <c r="CY10" s="3">
        <v>1000</v>
      </c>
      <c r="CZ10" s="3">
        <v>1000</v>
      </c>
      <c r="DA10" s="3">
        <v>1000</v>
      </c>
      <c r="DB10" s="3">
        <v>1000</v>
      </c>
      <c r="DC10" s="3">
        <v>1000</v>
      </c>
      <c r="DD10" s="3">
        <v>1000</v>
      </c>
      <c r="DE10" s="3">
        <v>1000</v>
      </c>
      <c r="DF10" s="3">
        <v>1000</v>
      </c>
      <c r="DG10" s="3">
        <v>1000</v>
      </c>
      <c r="DH10" s="3">
        <v>1000</v>
      </c>
      <c r="DI10" s="3">
        <v>1000</v>
      </c>
      <c r="DJ10" s="3">
        <f>9/31*1000+22/31*1200</f>
        <v>1141.9354838709678</v>
      </c>
      <c r="DK10" s="3">
        <v>1200</v>
      </c>
      <c r="DL10" s="3">
        <v>1200</v>
      </c>
      <c r="DM10" s="3">
        <v>1200</v>
      </c>
      <c r="DN10" s="3">
        <v>1200</v>
      </c>
      <c r="DO10" s="3">
        <v>1200</v>
      </c>
      <c r="DP10" s="3">
        <v>1200</v>
      </c>
      <c r="DQ10" s="3">
        <v>1200</v>
      </c>
      <c r="DR10" s="3">
        <v>1200</v>
      </c>
      <c r="DS10" s="3">
        <v>1200</v>
      </c>
      <c r="DT10" s="3">
        <v>1200</v>
      </c>
      <c r="DU10" s="3">
        <v>1200</v>
      </c>
      <c r="DV10" s="3">
        <v>1200</v>
      </c>
      <c r="DW10" s="3">
        <v>1200</v>
      </c>
      <c r="DX10" s="3">
        <v>1200</v>
      </c>
      <c r="DY10" s="3">
        <v>1200</v>
      </c>
      <c r="DZ10" s="3">
        <v>1200</v>
      </c>
      <c r="EA10" s="3">
        <v>1200</v>
      </c>
      <c r="EB10" s="3">
        <v>1200</v>
      </c>
      <c r="EC10" s="3">
        <v>1200</v>
      </c>
      <c r="ED10" s="3">
        <v>1200</v>
      </c>
      <c r="EE10" s="3">
        <v>1200</v>
      </c>
      <c r="EF10" s="3">
        <v>1200</v>
      </c>
      <c r="EG10" s="3">
        <v>1200</v>
      </c>
      <c r="EH10" s="3">
        <v>1200</v>
      </c>
      <c r="EI10" s="3">
        <v>1200</v>
      </c>
      <c r="EJ10" s="3">
        <v>1200</v>
      </c>
      <c r="EK10" s="3">
        <v>1200</v>
      </c>
      <c r="EL10" s="3">
        <v>1200</v>
      </c>
      <c r="EM10" s="3">
        <v>1200</v>
      </c>
      <c r="EN10" s="3">
        <v>1200</v>
      </c>
      <c r="EO10" s="3">
        <v>1200</v>
      </c>
      <c r="EP10" s="3">
        <v>1200</v>
      </c>
      <c r="EQ10" s="3">
        <v>1200</v>
      </c>
      <c r="ER10" s="3">
        <v>1200</v>
      </c>
      <c r="ES10" s="3">
        <v>1200</v>
      </c>
      <c r="ET10" s="3">
        <v>1200</v>
      </c>
      <c r="EU10" s="3">
        <v>1200</v>
      </c>
      <c r="EV10" s="3">
        <v>1200</v>
      </c>
      <c r="EW10" s="3">
        <v>1200</v>
      </c>
      <c r="EX10" s="3">
        <v>1200</v>
      </c>
      <c r="EY10" s="3">
        <v>1200</v>
      </c>
      <c r="EZ10" s="3">
        <v>1200</v>
      </c>
      <c r="FA10" s="3">
        <v>1200</v>
      </c>
      <c r="FB10" s="3">
        <v>1200</v>
      </c>
      <c r="FC10" s="3">
        <v>1200</v>
      </c>
      <c r="FD10" s="3">
        <v>1200</v>
      </c>
      <c r="FE10" s="3">
        <v>1200</v>
      </c>
      <c r="FF10" s="3">
        <v>1200</v>
      </c>
      <c r="FG10" s="3">
        <v>1200</v>
      </c>
      <c r="FH10" s="3">
        <v>1200</v>
      </c>
      <c r="FI10" s="3">
        <v>1200</v>
      </c>
      <c r="FJ10" s="3">
        <v>1200</v>
      </c>
      <c r="FK10" s="3">
        <v>1200</v>
      </c>
      <c r="FL10" s="3">
        <v>1200</v>
      </c>
      <c r="FM10" s="3">
        <v>1200</v>
      </c>
      <c r="FN10" s="3">
        <v>1200</v>
      </c>
      <c r="FO10" s="3">
        <v>1200</v>
      </c>
      <c r="FP10" s="3">
        <v>1200</v>
      </c>
      <c r="FQ10" s="3">
        <v>1200</v>
      </c>
      <c r="FR10" s="3">
        <f>9/31*1200</f>
        <v>348.38709677419359</v>
      </c>
      <c r="FS10" s="3"/>
      <c r="FT10" s="3"/>
      <c r="FU10" s="3"/>
      <c r="FV10" s="3"/>
      <c r="FW10" s="3"/>
      <c r="FX10" s="3"/>
      <c r="FY10" s="3"/>
    </row>
    <row r="11" spans="1:181" ht="15.75" customHeight="1" x14ac:dyDescent="0.25">
      <c r="A11" s="9" t="s">
        <v>28</v>
      </c>
      <c r="B11" s="9" t="s">
        <v>21</v>
      </c>
      <c r="E11" s="9" t="s">
        <v>24</v>
      </c>
      <c r="F11" s="9" t="s">
        <v>29</v>
      </c>
      <c r="G11" s="2">
        <v>5250</v>
      </c>
      <c r="H11" s="2">
        <v>1500</v>
      </c>
      <c r="I11" s="2">
        <v>0</v>
      </c>
      <c r="J11" s="11">
        <v>2500</v>
      </c>
      <c r="K11" s="2">
        <f t="shared" si="5"/>
        <v>6750</v>
      </c>
      <c r="L11" s="3"/>
      <c r="M11" s="3"/>
      <c r="N11" s="3"/>
      <c r="O11" s="3"/>
      <c r="P11" s="3"/>
      <c r="Q11" s="3"/>
      <c r="R11" s="3"/>
      <c r="S11" s="3"/>
      <c r="T11" s="3"/>
      <c r="U11" s="4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4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2500</v>
      </c>
      <c r="AU11" s="4"/>
      <c r="AV11" s="3">
        <v>2500</v>
      </c>
      <c r="AW11" s="3">
        <v>2500</v>
      </c>
      <c r="AX11" s="3">
        <v>2500</v>
      </c>
      <c r="AY11" s="3">
        <v>2500</v>
      </c>
      <c r="AZ11" s="3">
        <v>2500</v>
      </c>
      <c r="BA11" s="3">
        <v>2500</v>
      </c>
      <c r="BB11" s="3">
        <v>2500</v>
      </c>
      <c r="BC11" s="3">
        <v>2500</v>
      </c>
      <c r="BD11" s="3">
        <v>2500</v>
      </c>
      <c r="BE11" s="3">
        <v>2500</v>
      </c>
      <c r="BF11" s="3">
        <v>2500</v>
      </c>
      <c r="BG11" s="11">
        <f t="shared" ref="BG11:BG12" si="11">BF11</f>
        <v>2500</v>
      </c>
      <c r="BH11" s="12"/>
      <c r="BI11" s="11">
        <f t="shared" ref="BI11:BI12" si="12">BG11</f>
        <v>2500</v>
      </c>
      <c r="BJ11" s="3">
        <v>2625</v>
      </c>
      <c r="BK11" s="3">
        <v>2625</v>
      </c>
      <c r="BL11" s="3">
        <v>2625</v>
      </c>
      <c r="BM11" s="3">
        <v>2625</v>
      </c>
      <c r="BN11" s="3">
        <v>2625</v>
      </c>
      <c r="BO11" s="3">
        <v>2625</v>
      </c>
      <c r="BP11" s="3">
        <v>2625</v>
      </c>
      <c r="BQ11" s="3">
        <v>2625</v>
      </c>
      <c r="BR11" s="3">
        <v>2625</v>
      </c>
      <c r="BS11" s="3">
        <v>2625</v>
      </c>
      <c r="BT11" s="3">
        <v>2625</v>
      </c>
      <c r="BU11" s="3"/>
      <c r="BV11" s="3">
        <v>2625</v>
      </c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</row>
    <row r="12" spans="1:181" ht="15.75" customHeight="1" x14ac:dyDescent="0.25">
      <c r="A12" s="9" t="s">
        <v>30</v>
      </c>
      <c r="B12" s="9" t="s">
        <v>21</v>
      </c>
      <c r="E12" s="10" t="s">
        <v>15</v>
      </c>
      <c r="F12" s="10" t="s">
        <v>31</v>
      </c>
      <c r="G12" s="2">
        <v>5000</v>
      </c>
      <c r="H12" s="2">
        <v>1500</v>
      </c>
      <c r="I12" s="2">
        <v>0</v>
      </c>
      <c r="J12" s="11">
        <v>2500</v>
      </c>
      <c r="K12" s="2">
        <f t="shared" si="5"/>
        <v>6500</v>
      </c>
      <c r="L12" s="3"/>
      <c r="M12" s="3"/>
      <c r="N12" s="3"/>
      <c r="O12" s="3"/>
      <c r="P12" s="3"/>
      <c r="Q12" s="3"/>
      <c r="R12" s="3"/>
      <c r="S12" s="3"/>
      <c r="T12" s="3"/>
      <c r="U12" s="4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4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2500</v>
      </c>
      <c r="AU12" s="4"/>
      <c r="AV12" s="3">
        <v>2500</v>
      </c>
      <c r="AW12" s="3">
        <v>2500</v>
      </c>
      <c r="AX12" s="3">
        <v>2500</v>
      </c>
      <c r="AY12" s="3">
        <v>2500</v>
      </c>
      <c r="AZ12" s="3">
        <v>2500</v>
      </c>
      <c r="BA12" s="3">
        <v>2500</v>
      </c>
      <c r="BB12" s="3">
        <v>2500</v>
      </c>
      <c r="BC12" s="3">
        <v>2500</v>
      </c>
      <c r="BD12" s="3">
        <v>2500</v>
      </c>
      <c r="BE12" s="3">
        <v>2500</v>
      </c>
      <c r="BF12" s="3">
        <v>2500</v>
      </c>
      <c r="BG12" s="11">
        <f t="shared" si="11"/>
        <v>2500</v>
      </c>
      <c r="BH12" s="12"/>
      <c r="BI12" s="11">
        <f t="shared" si="12"/>
        <v>2500</v>
      </c>
      <c r="BJ12" s="11">
        <f t="shared" ref="BJ12:BT12" si="13">BI12</f>
        <v>2500</v>
      </c>
      <c r="BK12" s="11">
        <f t="shared" si="13"/>
        <v>2500</v>
      </c>
      <c r="BL12" s="11">
        <f t="shared" si="13"/>
        <v>2500</v>
      </c>
      <c r="BM12" s="11">
        <f t="shared" si="13"/>
        <v>2500</v>
      </c>
      <c r="BN12" s="11">
        <f t="shared" si="13"/>
        <v>2500</v>
      </c>
      <c r="BO12" s="11">
        <f t="shared" si="13"/>
        <v>2500</v>
      </c>
      <c r="BP12" s="11">
        <f t="shared" si="13"/>
        <v>2500</v>
      </c>
      <c r="BQ12" s="11">
        <f t="shared" si="13"/>
        <v>2500</v>
      </c>
      <c r="BR12" s="11">
        <f t="shared" si="13"/>
        <v>2500</v>
      </c>
      <c r="BS12" s="11">
        <f t="shared" si="13"/>
        <v>2500</v>
      </c>
      <c r="BT12" s="11">
        <f t="shared" si="13"/>
        <v>2500</v>
      </c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</row>
    <row r="13" spans="1:181" ht="15.75" customHeight="1" x14ac:dyDescent="0.25">
      <c r="A13" s="9" t="s">
        <v>32</v>
      </c>
      <c r="B13" s="9" t="s">
        <v>12</v>
      </c>
      <c r="E13" s="9" t="s">
        <v>24</v>
      </c>
      <c r="F13" s="9" t="s">
        <v>33</v>
      </c>
      <c r="G13" s="2">
        <v>78000</v>
      </c>
      <c r="H13" s="2">
        <v>0</v>
      </c>
      <c r="I13" s="2">
        <v>0</v>
      </c>
      <c r="J13" s="3">
        <v>26000</v>
      </c>
      <c r="K13" s="2">
        <f t="shared" si="5"/>
        <v>78000</v>
      </c>
      <c r="L13" s="3"/>
      <c r="M13" s="3"/>
      <c r="N13" s="3"/>
      <c r="O13" s="3"/>
      <c r="P13" s="3"/>
      <c r="Q13" s="3"/>
      <c r="R13" s="3"/>
      <c r="S13" s="3"/>
      <c r="T13" s="3"/>
      <c r="U13" s="4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4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4"/>
      <c r="AV13" s="3"/>
      <c r="AW13" s="3"/>
      <c r="AX13" s="3"/>
      <c r="AY13" s="3"/>
      <c r="AZ13" s="3"/>
      <c r="BA13" s="3"/>
      <c r="BB13" s="3">
        <v>26000</v>
      </c>
      <c r="BC13" s="3">
        <v>26000</v>
      </c>
      <c r="BD13" s="3">
        <v>26000</v>
      </c>
      <c r="BE13" s="3">
        <v>26000</v>
      </c>
      <c r="BF13" s="3">
        <v>26000</v>
      </c>
      <c r="BG13" s="3">
        <v>26000</v>
      </c>
      <c r="BH13" s="12"/>
      <c r="BI13" s="3">
        <v>26000</v>
      </c>
      <c r="BJ13" s="3">
        <v>26000</v>
      </c>
      <c r="BK13" s="3">
        <v>26000</v>
      </c>
      <c r="BL13" s="3">
        <v>26000</v>
      </c>
      <c r="BM13" s="3">
        <v>26000</v>
      </c>
      <c r="BN13" s="3">
        <v>26000</v>
      </c>
      <c r="BO13" s="3">
        <v>26000</v>
      </c>
      <c r="BP13" s="3">
        <v>26000</v>
      </c>
      <c r="BQ13" s="3">
        <v>26000</v>
      </c>
      <c r="BR13" s="3">
        <v>26000</v>
      </c>
      <c r="BS13" s="3">
        <v>26000</v>
      </c>
      <c r="BT13" s="3">
        <v>26000</v>
      </c>
      <c r="BU13" s="3"/>
      <c r="BV13" s="3">
        <v>26000</v>
      </c>
      <c r="BW13" s="3">
        <v>26000</v>
      </c>
      <c r="BX13" s="3">
        <v>26000</v>
      </c>
      <c r="BY13" s="3">
        <v>26000</v>
      </c>
      <c r="BZ13" s="3">
        <v>26000</v>
      </c>
      <c r="CA13" s="3">
        <v>26000</v>
      </c>
      <c r="CB13" s="3">
        <v>26000</v>
      </c>
      <c r="CC13" s="3">
        <v>26000</v>
      </c>
      <c r="CD13" s="3">
        <v>26000</v>
      </c>
      <c r="CE13" s="3">
        <v>26000</v>
      </c>
      <c r="CF13" s="3">
        <v>26000</v>
      </c>
      <c r="CG13" s="3">
        <v>26000</v>
      </c>
      <c r="CH13" s="3">
        <v>26000</v>
      </c>
      <c r="CI13" s="3">
        <v>26000</v>
      </c>
      <c r="CJ13" s="3">
        <v>26000</v>
      </c>
      <c r="CK13" s="3">
        <v>26000</v>
      </c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</row>
    <row r="14" spans="1:181" ht="15.75" customHeight="1" x14ac:dyDescent="0.25">
      <c r="A14" s="9" t="s">
        <v>34</v>
      </c>
      <c r="B14" s="9" t="s">
        <v>12</v>
      </c>
      <c r="E14" s="9" t="s">
        <v>24</v>
      </c>
      <c r="F14" s="9" t="s">
        <v>35</v>
      </c>
      <c r="G14" s="2"/>
      <c r="H14" s="2"/>
      <c r="I14" s="2"/>
      <c r="J14" s="3">
        <v>14000</v>
      </c>
      <c r="K14" s="2">
        <f t="shared" si="5"/>
        <v>0</v>
      </c>
      <c r="L14" s="3">
        <v>12500</v>
      </c>
      <c r="M14" s="3">
        <f>L14</f>
        <v>12500</v>
      </c>
      <c r="N14" s="3">
        <v>12500</v>
      </c>
      <c r="O14" s="3">
        <v>12500</v>
      </c>
      <c r="P14" s="3">
        <v>12500</v>
      </c>
      <c r="Q14" s="3">
        <v>12500</v>
      </c>
      <c r="R14" s="3">
        <f>(12500*20/31)+(14000*11/31)</f>
        <v>13032.258064516129</v>
      </c>
      <c r="S14" s="3">
        <v>14000</v>
      </c>
      <c r="T14" s="3">
        <v>14000</v>
      </c>
      <c r="U14" s="4"/>
      <c r="V14" s="3">
        <v>14000</v>
      </c>
      <c r="W14" s="3">
        <v>14000</v>
      </c>
      <c r="X14" s="3">
        <v>14000</v>
      </c>
      <c r="Y14" s="3">
        <v>14000</v>
      </c>
      <c r="Z14" s="3">
        <v>14000</v>
      </c>
      <c r="AA14" s="3">
        <v>14000</v>
      </c>
      <c r="AB14" s="3">
        <v>14000</v>
      </c>
      <c r="AC14" s="3">
        <v>14000</v>
      </c>
      <c r="AD14" s="3">
        <v>14000</v>
      </c>
      <c r="AE14" s="3">
        <v>14000</v>
      </c>
      <c r="AF14" s="3">
        <v>14000</v>
      </c>
      <c r="AG14" s="3">
        <v>14000</v>
      </c>
      <c r="AH14" s="4"/>
      <c r="AI14" s="3">
        <v>14000</v>
      </c>
      <c r="AJ14" s="3">
        <v>14000</v>
      </c>
      <c r="AK14" s="3">
        <v>14000</v>
      </c>
      <c r="AL14" s="3">
        <v>14000</v>
      </c>
      <c r="AM14" s="3">
        <v>14000</v>
      </c>
      <c r="AN14" s="3">
        <v>14000</v>
      </c>
      <c r="AO14" s="3">
        <v>14000</v>
      </c>
      <c r="AP14" s="3">
        <v>14000</v>
      </c>
      <c r="AQ14" s="3">
        <v>14000</v>
      </c>
      <c r="AR14" s="3">
        <v>14000</v>
      </c>
      <c r="AS14" s="3">
        <v>14000</v>
      </c>
      <c r="AT14" s="3">
        <v>14000</v>
      </c>
      <c r="AU14" s="4"/>
      <c r="AV14" s="3">
        <v>14000</v>
      </c>
      <c r="AW14" s="3">
        <v>14000</v>
      </c>
      <c r="AX14" s="3">
        <v>14000</v>
      </c>
      <c r="AY14" s="3">
        <v>14000</v>
      </c>
      <c r="AZ14" s="3">
        <v>14000</v>
      </c>
      <c r="BA14" s="3">
        <v>14000</v>
      </c>
      <c r="BB14" s="3">
        <v>14000</v>
      </c>
      <c r="BC14" s="3">
        <v>14000</v>
      </c>
      <c r="BD14" s="3">
        <v>14000</v>
      </c>
      <c r="BE14" s="3">
        <v>14000</v>
      </c>
      <c r="BF14" s="3">
        <v>14000</v>
      </c>
      <c r="BG14" s="3">
        <v>14000</v>
      </c>
      <c r="BH14" s="12"/>
      <c r="BI14" s="3">
        <v>14000</v>
      </c>
      <c r="BJ14" s="3">
        <v>14000</v>
      </c>
      <c r="BK14" s="3">
        <v>14000</v>
      </c>
      <c r="BL14" s="3">
        <v>14000</v>
      </c>
      <c r="BM14" s="3">
        <v>14000</v>
      </c>
      <c r="BN14" s="3">
        <v>14000</v>
      </c>
      <c r="BO14" s="3">
        <v>14000</v>
      </c>
      <c r="BP14" s="3">
        <v>14000</v>
      </c>
      <c r="BQ14" s="3">
        <v>14000</v>
      </c>
      <c r="BR14" s="3">
        <f>ROUND(14000*21/31+15680*10/31,2)</f>
        <v>14541.94</v>
      </c>
      <c r="BS14" s="3">
        <v>15680</v>
      </c>
      <c r="BT14" s="3">
        <v>15680</v>
      </c>
      <c r="BU14" s="3"/>
      <c r="BV14" s="3">
        <v>15680</v>
      </c>
      <c r="BW14" s="3">
        <v>15680</v>
      </c>
      <c r="BX14" s="3">
        <v>15680</v>
      </c>
      <c r="BY14" s="3">
        <v>15680</v>
      </c>
      <c r="BZ14" s="3">
        <v>15680</v>
      </c>
      <c r="CA14" s="3">
        <v>15680</v>
      </c>
      <c r="CB14" s="3">
        <v>15680</v>
      </c>
      <c r="CC14" s="3">
        <v>15680</v>
      </c>
      <c r="CD14" s="3">
        <v>15680</v>
      </c>
      <c r="CE14" s="3">
        <v>15680</v>
      </c>
      <c r="CF14" s="3">
        <v>15680</v>
      </c>
      <c r="CG14" s="3">
        <v>15680</v>
      </c>
      <c r="CH14" s="3">
        <v>15680</v>
      </c>
      <c r="CI14" s="3">
        <v>15680</v>
      </c>
      <c r="CJ14" s="3">
        <v>15680</v>
      </c>
      <c r="CK14" s="3">
        <v>15680</v>
      </c>
      <c r="CL14" s="3">
        <v>15680</v>
      </c>
      <c r="CM14" s="3">
        <v>15680</v>
      </c>
      <c r="CN14" s="3">
        <v>15680</v>
      </c>
      <c r="CO14" s="3">
        <v>15680</v>
      </c>
      <c r="CP14" s="3">
        <v>15680</v>
      </c>
      <c r="CQ14" s="3">
        <v>15680</v>
      </c>
      <c r="CR14" s="3">
        <v>15680</v>
      </c>
      <c r="CS14" s="3">
        <v>15680</v>
      </c>
      <c r="CT14" s="3">
        <v>15680</v>
      </c>
      <c r="CU14" s="3">
        <v>15680</v>
      </c>
      <c r="CV14" s="3">
        <v>15680</v>
      </c>
      <c r="CW14" s="3">
        <v>15680</v>
      </c>
      <c r="CX14" s="3">
        <v>15680</v>
      </c>
      <c r="CY14" s="3">
        <v>15680</v>
      </c>
      <c r="CZ14" s="3">
        <v>15680</v>
      </c>
      <c r="DA14" s="3">
        <v>15680</v>
      </c>
      <c r="DB14" s="3">
        <v>15680</v>
      </c>
      <c r="DC14" s="3">
        <v>15680</v>
      </c>
      <c r="DD14" s="3">
        <v>15680</v>
      </c>
      <c r="DE14" s="3">
        <v>15680</v>
      </c>
      <c r="DF14" s="3">
        <v>15680</v>
      </c>
      <c r="DG14" s="3">
        <v>15680</v>
      </c>
      <c r="DH14" s="3">
        <v>15680</v>
      </c>
      <c r="DI14" s="3">
        <v>15680</v>
      </c>
      <c r="DJ14" s="3">
        <v>15680</v>
      </c>
      <c r="DK14" s="3">
        <v>15680</v>
      </c>
      <c r="DL14" s="3">
        <v>15680</v>
      </c>
      <c r="DM14" s="3">
        <v>15680</v>
      </c>
      <c r="DN14" s="3">
        <v>15680</v>
      </c>
      <c r="DO14" s="3">
        <v>15680</v>
      </c>
      <c r="DP14" s="3">
        <v>15680</v>
      </c>
      <c r="DQ14" s="3">
        <v>15680</v>
      </c>
      <c r="DR14" s="3">
        <v>15680</v>
      </c>
      <c r="DS14" s="3">
        <v>15680</v>
      </c>
      <c r="DT14" s="3">
        <v>15680</v>
      </c>
      <c r="DU14" s="3">
        <v>15680</v>
      </c>
      <c r="DV14" s="3">
        <v>15680</v>
      </c>
      <c r="DW14" s="3">
        <v>15680</v>
      </c>
      <c r="DX14" s="3">
        <v>15680</v>
      </c>
      <c r="DY14" s="3">
        <v>15680</v>
      </c>
      <c r="DZ14" s="3">
        <v>15680</v>
      </c>
      <c r="EA14" s="3">
        <v>15680</v>
      </c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</row>
    <row r="15" spans="1:181" ht="15.75" customHeight="1" x14ac:dyDescent="0.25">
      <c r="A15" s="9" t="s">
        <v>36</v>
      </c>
      <c r="B15" s="9" t="s">
        <v>21</v>
      </c>
      <c r="E15" s="9" t="s">
        <v>24</v>
      </c>
      <c r="F15" s="9" t="s">
        <v>37</v>
      </c>
      <c r="G15" s="2">
        <v>2</v>
      </c>
      <c r="H15" s="2">
        <v>1500</v>
      </c>
      <c r="I15" s="2">
        <v>1000</v>
      </c>
      <c r="J15" s="3">
        <v>1</v>
      </c>
      <c r="K15" s="2">
        <f t="shared" si="5"/>
        <v>2502</v>
      </c>
      <c r="L15" s="3"/>
      <c r="M15" s="3"/>
      <c r="N15" s="3"/>
      <c r="O15" s="3"/>
      <c r="P15" s="3"/>
      <c r="Q15" s="3"/>
      <c r="R15" s="3"/>
      <c r="S15" s="3"/>
      <c r="T15" s="3"/>
      <c r="U15" s="4"/>
      <c r="V15" s="3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2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3">
        <v>0.53</v>
      </c>
      <c r="AT15" s="3">
        <v>1</v>
      </c>
      <c r="AU15" s="12"/>
      <c r="AV15" s="3">
        <v>1</v>
      </c>
      <c r="AW15" s="3">
        <v>1</v>
      </c>
      <c r="AX15" s="3">
        <v>1</v>
      </c>
      <c r="AY15" s="3">
        <v>1</v>
      </c>
      <c r="AZ15" s="3">
        <v>1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f>BF15</f>
        <v>1</v>
      </c>
      <c r="BH15" s="4"/>
      <c r="BI15" s="3">
        <f>BG15</f>
        <v>1</v>
      </c>
      <c r="BJ15" s="3">
        <f t="shared" ref="BJ15:BT15" si="14">BI15</f>
        <v>1</v>
      </c>
      <c r="BK15" s="3">
        <f t="shared" si="14"/>
        <v>1</v>
      </c>
      <c r="BL15" s="3">
        <f t="shared" si="14"/>
        <v>1</v>
      </c>
      <c r="BM15" s="3">
        <f t="shared" si="14"/>
        <v>1</v>
      </c>
      <c r="BN15" s="3">
        <f t="shared" si="14"/>
        <v>1</v>
      </c>
      <c r="BO15" s="3">
        <f t="shared" si="14"/>
        <v>1</v>
      </c>
      <c r="BP15" s="3">
        <f t="shared" si="14"/>
        <v>1</v>
      </c>
      <c r="BQ15" s="3">
        <f t="shared" si="14"/>
        <v>1</v>
      </c>
      <c r="BR15" s="3">
        <f t="shared" si="14"/>
        <v>1</v>
      </c>
      <c r="BS15" s="3">
        <f t="shared" si="14"/>
        <v>1</v>
      </c>
      <c r="BT15" s="11">
        <f t="shared" si="14"/>
        <v>1</v>
      </c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</row>
    <row r="16" spans="1:181" ht="15.75" customHeight="1" x14ac:dyDescent="0.25">
      <c r="A16" s="9" t="s">
        <v>38</v>
      </c>
      <c r="B16" s="9" t="s">
        <v>39</v>
      </c>
      <c r="E16" s="9" t="s">
        <v>24</v>
      </c>
      <c r="F16" s="9" t="s">
        <v>40</v>
      </c>
      <c r="G16" s="2">
        <v>1680</v>
      </c>
      <c r="H16" s="2">
        <v>1500</v>
      </c>
      <c r="I16" s="2">
        <v>0</v>
      </c>
      <c r="J16" s="3">
        <v>800</v>
      </c>
      <c r="K16" s="2">
        <f t="shared" si="5"/>
        <v>3180</v>
      </c>
      <c r="L16" s="3"/>
      <c r="M16" s="3"/>
      <c r="N16" s="3"/>
      <c r="O16" s="3"/>
      <c r="P16" s="3"/>
      <c r="Q16" s="3"/>
      <c r="R16" s="3"/>
      <c r="S16" s="3"/>
      <c r="T16" s="3"/>
      <c r="U16" s="4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4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4"/>
      <c r="AV16" s="3"/>
      <c r="AW16" s="3"/>
      <c r="AX16" s="3"/>
      <c r="AY16" s="3"/>
      <c r="AZ16" s="3"/>
      <c r="BA16" s="3"/>
      <c r="BB16" s="3">
        <f>ROUND(800/31*17,2)</f>
        <v>438.71</v>
      </c>
      <c r="BC16" s="3">
        <v>800</v>
      </c>
      <c r="BD16" s="3">
        <v>800</v>
      </c>
      <c r="BE16" s="3">
        <v>800</v>
      </c>
      <c r="BF16" s="3">
        <v>800</v>
      </c>
      <c r="BG16" s="3">
        <v>800</v>
      </c>
      <c r="BH16" s="12"/>
      <c r="BI16" s="3">
        <v>800</v>
      </c>
      <c r="BJ16" s="3">
        <v>800</v>
      </c>
      <c r="BK16" s="3">
        <v>800</v>
      </c>
      <c r="BL16" s="3">
        <v>800</v>
      </c>
      <c r="BM16" s="3">
        <v>800</v>
      </c>
      <c r="BN16" s="3">
        <v>800</v>
      </c>
      <c r="BO16" s="3">
        <f>ROUND((800/31*14)+(840/31*17),2)</f>
        <v>821.94</v>
      </c>
      <c r="BP16" s="3">
        <v>840</v>
      </c>
      <c r="BQ16" s="3">
        <v>840</v>
      </c>
      <c r="BR16" s="3">
        <v>840</v>
      </c>
      <c r="BS16" s="3">
        <v>840</v>
      </c>
      <c r="BT16" s="3">
        <v>840</v>
      </c>
      <c r="BU16" s="3"/>
      <c r="BV16" s="3">
        <v>840</v>
      </c>
      <c r="BW16" s="3">
        <v>840</v>
      </c>
      <c r="BX16" s="3">
        <v>840</v>
      </c>
      <c r="BY16" s="3">
        <v>840</v>
      </c>
      <c r="BZ16" s="3">
        <v>840</v>
      </c>
      <c r="CA16" s="3">
        <v>840</v>
      </c>
      <c r="CB16" s="3">
        <f>ROUND((840/31*14)+(882/31*17),2)</f>
        <v>863.03</v>
      </c>
      <c r="CC16" s="3">
        <v>882</v>
      </c>
      <c r="CD16" s="3">
        <v>882</v>
      </c>
      <c r="CE16" s="3">
        <v>882</v>
      </c>
      <c r="CF16" s="3">
        <v>882</v>
      </c>
      <c r="CG16" s="3">
        <v>882</v>
      </c>
      <c r="CH16" s="3">
        <v>882</v>
      </c>
      <c r="CI16" s="3">
        <v>882</v>
      </c>
      <c r="CJ16" s="3">
        <v>882</v>
      </c>
      <c r="CK16" s="3">
        <v>882</v>
      </c>
      <c r="CL16" s="3">
        <v>882</v>
      </c>
      <c r="CM16" s="3">
        <v>882</v>
      </c>
      <c r="CN16" s="3">
        <f>ROUND(882/31*17,2)</f>
        <v>483.68</v>
      </c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</row>
    <row r="17" spans="1:181" ht="15.75" customHeight="1" x14ac:dyDescent="0.25">
      <c r="A17" s="9" t="s">
        <v>41</v>
      </c>
      <c r="B17" s="9" t="s">
        <v>39</v>
      </c>
      <c r="E17" s="10" t="s">
        <v>15</v>
      </c>
      <c r="F17" s="10" t="s">
        <v>42</v>
      </c>
      <c r="G17" s="2">
        <v>2</v>
      </c>
      <c r="H17" s="2">
        <v>1500</v>
      </c>
      <c r="I17" s="2">
        <v>0</v>
      </c>
      <c r="J17" s="11">
        <v>0.95</v>
      </c>
      <c r="K17" s="2">
        <f t="shared" si="5"/>
        <v>1502</v>
      </c>
      <c r="L17" s="3"/>
      <c r="M17" s="3"/>
      <c r="N17" s="3"/>
      <c r="O17" s="3"/>
      <c r="P17" s="3"/>
      <c r="Q17" s="3"/>
      <c r="R17" s="3"/>
      <c r="S17" s="3"/>
      <c r="T17" s="3"/>
      <c r="U17" s="4"/>
      <c r="V17" s="3">
        <v>11.4</v>
      </c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  <c r="AI17" s="3">
        <v>0.95</v>
      </c>
      <c r="AJ17" s="3">
        <v>0.95</v>
      </c>
      <c r="AK17" s="3">
        <v>0.95</v>
      </c>
      <c r="AL17" s="3">
        <v>0.95</v>
      </c>
      <c r="AM17" s="3">
        <v>0.95</v>
      </c>
      <c r="AN17" s="3">
        <v>0.95</v>
      </c>
      <c r="AO17" s="3">
        <v>0.95</v>
      </c>
      <c r="AP17" s="3">
        <v>0.95</v>
      </c>
      <c r="AQ17" s="3">
        <v>0.95</v>
      </c>
      <c r="AR17" s="3">
        <v>0.95</v>
      </c>
      <c r="AS17" s="3">
        <v>0.95</v>
      </c>
      <c r="AT17" s="3">
        <v>0.95</v>
      </c>
      <c r="AU17" s="4"/>
      <c r="AV17" s="3">
        <v>0.95</v>
      </c>
      <c r="AW17" s="3">
        <v>0.95</v>
      </c>
      <c r="AX17" s="3">
        <v>0.95</v>
      </c>
      <c r="AY17" s="3">
        <v>0.95</v>
      </c>
      <c r="AZ17" s="3">
        <v>0.95</v>
      </c>
      <c r="BA17" s="3">
        <v>0.95</v>
      </c>
      <c r="BB17" s="3">
        <v>0.95</v>
      </c>
      <c r="BC17" s="3">
        <v>0.95</v>
      </c>
      <c r="BD17" s="3">
        <v>0.95</v>
      </c>
      <c r="BE17" s="3">
        <v>0.95</v>
      </c>
      <c r="BF17" s="3">
        <v>0.95</v>
      </c>
      <c r="BG17" s="11">
        <f>BF17</f>
        <v>0.95</v>
      </c>
      <c r="BH17" s="12"/>
      <c r="BI17" s="11">
        <f>BG17</f>
        <v>0.95</v>
      </c>
      <c r="BJ17" s="11">
        <f t="shared" ref="BJ17:BT17" si="15">BI17</f>
        <v>0.95</v>
      </c>
      <c r="BK17" s="11">
        <f t="shared" si="15"/>
        <v>0.95</v>
      </c>
      <c r="BL17" s="11">
        <f t="shared" si="15"/>
        <v>0.95</v>
      </c>
      <c r="BM17" s="11">
        <f t="shared" si="15"/>
        <v>0.95</v>
      </c>
      <c r="BN17" s="11">
        <f t="shared" si="15"/>
        <v>0.95</v>
      </c>
      <c r="BO17" s="11">
        <f t="shared" si="15"/>
        <v>0.95</v>
      </c>
      <c r="BP17" s="11">
        <f t="shared" si="15"/>
        <v>0.95</v>
      </c>
      <c r="BQ17" s="11">
        <f t="shared" si="15"/>
        <v>0.95</v>
      </c>
      <c r="BR17" s="11">
        <f t="shared" si="15"/>
        <v>0.95</v>
      </c>
      <c r="BS17" s="11">
        <f t="shared" si="15"/>
        <v>0.95</v>
      </c>
      <c r="BT17" s="11">
        <f t="shared" si="15"/>
        <v>0.95</v>
      </c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</row>
    <row r="18" spans="1:181" ht="15.75" customHeight="1" x14ac:dyDescent="0.25">
      <c r="B18" s="9" t="s">
        <v>43</v>
      </c>
      <c r="G18" s="2"/>
      <c r="H18" s="2"/>
      <c r="I18" s="2"/>
      <c r="J18" s="3"/>
      <c r="K18" s="2"/>
      <c r="L18" s="3"/>
      <c r="M18" s="3"/>
      <c r="N18" s="3"/>
      <c r="O18" s="3"/>
      <c r="P18" s="3"/>
      <c r="Q18" s="3"/>
      <c r="R18" s="3"/>
      <c r="S18" s="3"/>
      <c r="T18" s="3"/>
      <c r="U18" s="4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4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4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12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</row>
    <row r="19" spans="1:181" ht="15.75" customHeight="1" x14ac:dyDescent="0.25">
      <c r="A19" s="9" t="s">
        <v>44</v>
      </c>
      <c r="B19" s="9" t="s">
        <v>45</v>
      </c>
      <c r="C19" s="9" t="s">
        <v>46</v>
      </c>
      <c r="D19" s="13" t="s">
        <v>47</v>
      </c>
      <c r="E19" s="9" t="s">
        <v>24</v>
      </c>
      <c r="F19" s="9" t="s">
        <v>48</v>
      </c>
      <c r="G19" s="2">
        <v>4400</v>
      </c>
      <c r="H19" s="2">
        <v>1500</v>
      </c>
      <c r="I19" s="2">
        <v>0</v>
      </c>
      <c r="J19" s="3">
        <v>2200</v>
      </c>
      <c r="K19" s="2">
        <f t="shared" ref="K19:K28" si="16">SUM(G19:I19)</f>
        <v>5900</v>
      </c>
      <c r="L19" s="3"/>
      <c r="M19" s="3"/>
      <c r="N19" s="3"/>
      <c r="O19" s="3"/>
      <c r="P19" s="3"/>
      <c r="Q19" s="3"/>
      <c r="R19" s="3"/>
      <c r="S19" s="3"/>
      <c r="T19" s="3"/>
      <c r="U19" s="4"/>
      <c r="V19" s="3"/>
      <c r="W19" s="3"/>
      <c r="X19" s="3"/>
      <c r="Y19" s="3"/>
      <c r="Z19" s="3"/>
      <c r="AA19" s="3"/>
      <c r="AB19" s="3"/>
      <c r="AC19" s="3"/>
      <c r="AD19" s="3"/>
      <c r="AE19" s="3">
        <v>2000</v>
      </c>
      <c r="AF19" s="3">
        <v>2000</v>
      </c>
      <c r="AG19" s="3">
        <v>2000</v>
      </c>
      <c r="AH19" s="4"/>
      <c r="AI19" s="3">
        <v>2000</v>
      </c>
      <c r="AJ19" s="3">
        <v>2000</v>
      </c>
      <c r="AK19" s="3">
        <v>2000</v>
      </c>
      <c r="AL19" s="3">
        <v>2000</v>
      </c>
      <c r="AM19" s="3">
        <v>2000</v>
      </c>
      <c r="AN19" s="3">
        <v>2000</v>
      </c>
      <c r="AO19" s="3">
        <v>2000</v>
      </c>
      <c r="AP19" s="3">
        <v>2000</v>
      </c>
      <c r="AQ19" s="3">
        <v>2000</v>
      </c>
      <c r="AR19" s="3">
        <v>2000</v>
      </c>
      <c r="AS19" s="3">
        <v>2000</v>
      </c>
      <c r="AT19" s="3">
        <v>2000</v>
      </c>
      <c r="AU19" s="4"/>
      <c r="AV19" s="3">
        <v>2000</v>
      </c>
      <c r="AW19" s="3">
        <v>2000</v>
      </c>
      <c r="AX19" s="3">
        <v>2000</v>
      </c>
      <c r="AY19" s="3">
        <v>2000</v>
      </c>
      <c r="AZ19" s="3">
        <v>2000</v>
      </c>
      <c r="BA19" s="3">
        <v>2000</v>
      </c>
      <c r="BB19" s="3">
        <v>2000</v>
      </c>
      <c r="BC19" s="3">
        <v>2000</v>
      </c>
      <c r="BD19" s="3">
        <v>2200</v>
      </c>
      <c r="BE19" s="3">
        <v>2200</v>
      </c>
      <c r="BF19" s="3">
        <v>2200</v>
      </c>
      <c r="BG19" s="3">
        <v>2200</v>
      </c>
      <c r="BH19" s="12"/>
      <c r="BI19" s="3">
        <v>2200</v>
      </c>
      <c r="BJ19" s="3">
        <v>2200</v>
      </c>
      <c r="BK19" s="3">
        <v>2200</v>
      </c>
      <c r="BL19" s="3">
        <v>2200</v>
      </c>
      <c r="BM19" s="3">
        <v>2200</v>
      </c>
      <c r="BN19" s="3">
        <v>2200</v>
      </c>
      <c r="BO19" s="3">
        <v>2200</v>
      </c>
      <c r="BP19" s="3">
        <v>2200</v>
      </c>
      <c r="BQ19" s="11">
        <f t="shared" ref="BQ19:BT19" si="17">BP19</f>
        <v>2200</v>
      </c>
      <c r="BR19" s="11">
        <f t="shared" si="17"/>
        <v>2200</v>
      </c>
      <c r="BS19" s="11">
        <f t="shared" si="17"/>
        <v>2200</v>
      </c>
      <c r="BT19" s="11">
        <f t="shared" si="17"/>
        <v>2200</v>
      </c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</row>
    <row r="20" spans="1:181" ht="15.75" customHeight="1" x14ac:dyDescent="0.25">
      <c r="A20" s="9" t="s">
        <v>49</v>
      </c>
      <c r="B20" s="9" t="s">
        <v>45</v>
      </c>
      <c r="C20" s="9" t="s">
        <v>50</v>
      </c>
      <c r="D20" s="13">
        <v>2</v>
      </c>
      <c r="E20" s="9" t="s">
        <v>24</v>
      </c>
      <c r="F20" s="9" t="s">
        <v>51</v>
      </c>
      <c r="G20" s="2">
        <v>14332</v>
      </c>
      <c r="H20" s="2">
        <v>1500</v>
      </c>
      <c r="I20" s="2">
        <v>0</v>
      </c>
      <c r="J20" s="3">
        <v>6825</v>
      </c>
      <c r="K20" s="2">
        <f t="shared" si="16"/>
        <v>15832</v>
      </c>
      <c r="L20" s="3"/>
      <c r="M20" s="11"/>
      <c r="N20" s="11"/>
      <c r="O20" s="3"/>
      <c r="P20" s="3"/>
      <c r="Q20" s="3"/>
      <c r="R20" s="3"/>
      <c r="S20" s="3"/>
      <c r="T20" s="3"/>
      <c r="U20" s="4"/>
      <c r="V20" s="3"/>
      <c r="W20" s="3"/>
      <c r="X20" s="3"/>
      <c r="Y20" s="3"/>
      <c r="Z20" s="3">
        <f>6500-1950</f>
        <v>4550</v>
      </c>
      <c r="AA20" s="3">
        <v>6500</v>
      </c>
      <c r="AB20" s="3">
        <v>6500</v>
      </c>
      <c r="AC20" s="3">
        <v>6500</v>
      </c>
      <c r="AD20" s="3">
        <v>6500</v>
      </c>
      <c r="AE20" s="3">
        <v>6500</v>
      </c>
      <c r="AF20" s="3">
        <v>6500</v>
      </c>
      <c r="AG20" s="3">
        <v>6500</v>
      </c>
      <c r="AH20" s="4"/>
      <c r="AI20" s="3">
        <v>6500</v>
      </c>
      <c r="AJ20" s="3">
        <v>6500</v>
      </c>
      <c r="AK20" s="3">
        <v>6500</v>
      </c>
      <c r="AL20" s="3">
        <v>6500</v>
      </c>
      <c r="AM20" s="3">
        <v>6500</v>
      </c>
      <c r="AN20" s="3">
        <v>6500</v>
      </c>
      <c r="AO20" s="3">
        <v>6500</v>
      </c>
      <c r="AP20" s="3">
        <v>6500</v>
      </c>
      <c r="AQ20" s="3">
        <v>6500</v>
      </c>
      <c r="AR20" s="3">
        <v>6500</v>
      </c>
      <c r="AS20" s="3">
        <v>6500</v>
      </c>
      <c r="AT20" s="3">
        <v>6500</v>
      </c>
      <c r="AU20" s="4"/>
      <c r="AV20" s="3">
        <v>6500</v>
      </c>
      <c r="AW20" s="3">
        <v>6500</v>
      </c>
      <c r="AX20" s="3">
        <v>6500</v>
      </c>
      <c r="AY20" s="3">
        <v>6500</v>
      </c>
      <c r="AZ20" s="3">
        <v>6500</v>
      </c>
      <c r="BA20" s="3">
        <v>6500</v>
      </c>
      <c r="BB20" s="3">
        <v>6500</v>
      </c>
      <c r="BC20" s="3">
        <v>6500</v>
      </c>
      <c r="BD20" s="3">
        <v>6500</v>
      </c>
      <c r="BE20" s="3">
        <v>6500</v>
      </c>
      <c r="BF20" s="3">
        <v>6825</v>
      </c>
      <c r="BG20" s="3">
        <v>6825</v>
      </c>
      <c r="BH20" s="12"/>
      <c r="BI20" s="3">
        <v>6825</v>
      </c>
      <c r="BJ20" s="3">
        <v>6825</v>
      </c>
      <c r="BK20" s="3">
        <v>6825</v>
      </c>
      <c r="BL20" s="3">
        <v>6825</v>
      </c>
      <c r="BM20" s="3">
        <v>7166</v>
      </c>
      <c r="BN20" s="3">
        <v>7166</v>
      </c>
      <c r="BO20" s="3">
        <v>7166</v>
      </c>
      <c r="BP20" s="3">
        <v>7166</v>
      </c>
      <c r="BQ20" s="3">
        <v>7166</v>
      </c>
      <c r="BR20" s="3">
        <v>7166</v>
      </c>
      <c r="BS20" s="3">
        <v>7166</v>
      </c>
      <c r="BT20" s="3">
        <v>7166</v>
      </c>
      <c r="BU20" s="3"/>
      <c r="BV20" s="3">
        <v>7166</v>
      </c>
      <c r="BW20" s="3">
        <v>7166</v>
      </c>
      <c r="BX20" s="3">
        <v>7166</v>
      </c>
      <c r="BY20" s="3">
        <v>7166</v>
      </c>
      <c r="BZ20" s="3">
        <v>7525</v>
      </c>
      <c r="CA20" s="3">
        <v>7525</v>
      </c>
      <c r="CB20" s="3">
        <v>7525</v>
      </c>
      <c r="CC20" s="3">
        <v>7525</v>
      </c>
      <c r="CD20" s="3">
        <v>7525</v>
      </c>
      <c r="CE20" s="3">
        <v>7525</v>
      </c>
      <c r="CF20" s="3">
        <v>7525</v>
      </c>
      <c r="CG20" s="3">
        <v>7525</v>
      </c>
      <c r="CH20" s="3">
        <v>7525</v>
      </c>
      <c r="CI20" s="3">
        <v>7525</v>
      </c>
      <c r="CJ20" s="3">
        <v>7525</v>
      </c>
      <c r="CK20" s="3">
        <v>7525</v>
      </c>
      <c r="CL20" s="3">
        <v>7901</v>
      </c>
      <c r="CM20" s="3">
        <v>7901</v>
      </c>
      <c r="CN20" s="3">
        <v>7901</v>
      </c>
      <c r="CO20" s="3">
        <v>7901</v>
      </c>
      <c r="CP20" s="3">
        <v>7901</v>
      </c>
      <c r="CQ20" s="3">
        <v>7901</v>
      </c>
      <c r="CR20" s="3">
        <v>7901</v>
      </c>
      <c r="CS20" s="3">
        <v>7901</v>
      </c>
      <c r="CT20" s="3">
        <v>7901</v>
      </c>
      <c r="CU20" s="3">
        <v>7901</v>
      </c>
      <c r="CV20" s="3">
        <v>7901</v>
      </c>
      <c r="CW20" s="3">
        <v>7901</v>
      </c>
      <c r="CX20" s="3">
        <v>8296</v>
      </c>
      <c r="CY20" s="3">
        <v>8296</v>
      </c>
      <c r="CZ20" s="3">
        <v>8296</v>
      </c>
      <c r="DA20" s="3">
        <v>8296</v>
      </c>
      <c r="DB20" s="3">
        <v>8296</v>
      </c>
      <c r="DC20" s="3">
        <v>8296</v>
      </c>
      <c r="DD20" s="3">
        <v>8296</v>
      </c>
      <c r="DE20" s="3">
        <v>8296</v>
      </c>
      <c r="DF20" s="3">
        <v>8296</v>
      </c>
      <c r="DG20" s="3">
        <v>8296</v>
      </c>
      <c r="DH20" s="3">
        <v>8296</v>
      </c>
      <c r="DI20" s="3">
        <v>8296</v>
      </c>
      <c r="DJ20" s="3">
        <v>8296</v>
      </c>
      <c r="DK20" s="3">
        <v>8296</v>
      </c>
      <c r="DL20" s="3">
        <v>8296</v>
      </c>
      <c r="DM20" s="3">
        <v>8296</v>
      </c>
      <c r="DN20" s="3">
        <v>8296</v>
      </c>
      <c r="DO20" s="3">
        <v>8296</v>
      </c>
      <c r="DP20" s="3">
        <v>8296</v>
      </c>
      <c r="DQ20" s="3">
        <v>8296</v>
      </c>
      <c r="DR20" s="3">
        <v>8296</v>
      </c>
      <c r="DS20" s="3">
        <v>8296</v>
      </c>
      <c r="DT20" s="3">
        <v>8296</v>
      </c>
      <c r="DU20" s="3">
        <v>8296</v>
      </c>
      <c r="DV20" s="3">
        <v>8296</v>
      </c>
      <c r="DW20" s="3">
        <v>8296</v>
      </c>
      <c r="DX20" s="3">
        <v>8296</v>
      </c>
      <c r="DY20" s="3">
        <v>8296</v>
      </c>
      <c r="DZ20" s="3">
        <v>8296</v>
      </c>
      <c r="EA20" s="3">
        <v>8296</v>
      </c>
      <c r="EB20" s="3">
        <v>8296</v>
      </c>
      <c r="EC20" s="3">
        <v>8296</v>
      </c>
      <c r="ED20" s="3">
        <v>8296</v>
      </c>
      <c r="EE20" s="3">
        <v>8296</v>
      </c>
      <c r="EF20" s="3">
        <v>8296</v>
      </c>
      <c r="EG20" s="3">
        <v>8296</v>
      </c>
      <c r="EH20" s="3">
        <v>8296</v>
      </c>
      <c r="EI20" s="3">
        <v>8296</v>
      </c>
      <c r="EJ20" s="3">
        <v>8296</v>
      </c>
      <c r="EK20" s="3">
        <v>8296</v>
      </c>
      <c r="EL20" s="3">
        <v>8296</v>
      </c>
      <c r="EM20" s="3">
        <v>8296</v>
      </c>
      <c r="EN20" s="3">
        <v>8296</v>
      </c>
      <c r="EO20" s="3">
        <v>8296</v>
      </c>
      <c r="EP20" s="3">
        <v>8296</v>
      </c>
      <c r="EQ20" s="3">
        <v>8296</v>
      </c>
      <c r="ER20" s="3">
        <v>8296</v>
      </c>
      <c r="ES20" s="3">
        <v>8296</v>
      </c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</row>
    <row r="21" spans="1:181" ht="15.75" customHeight="1" x14ac:dyDescent="0.25">
      <c r="A21" s="9" t="s">
        <v>52</v>
      </c>
      <c r="B21" s="9" t="s">
        <v>45</v>
      </c>
      <c r="C21" s="9" t="s">
        <v>53</v>
      </c>
      <c r="D21" s="13">
        <v>3</v>
      </c>
      <c r="E21" s="9" t="s">
        <v>24</v>
      </c>
      <c r="F21" s="9" t="s">
        <v>54</v>
      </c>
      <c r="G21" s="2">
        <v>8820</v>
      </c>
      <c r="H21" s="2">
        <v>1500</v>
      </c>
      <c r="I21" s="2">
        <v>0</v>
      </c>
      <c r="J21" s="11">
        <v>4200</v>
      </c>
      <c r="K21" s="2">
        <f t="shared" si="16"/>
        <v>10320</v>
      </c>
      <c r="L21" s="3">
        <f t="shared" ref="L21:L22" si="18">ROUND(3764.15/30*14 + 3952.36/30*16,2)</f>
        <v>3864.53</v>
      </c>
      <c r="M21" s="3">
        <v>3952.36</v>
      </c>
      <c r="N21" s="3">
        <v>3952.36</v>
      </c>
      <c r="O21" s="3">
        <v>3952.36</v>
      </c>
      <c r="P21" s="3">
        <v>3952.36</v>
      </c>
      <c r="Q21" s="3">
        <v>3952.36</v>
      </c>
      <c r="R21" s="3">
        <v>3952.36</v>
      </c>
      <c r="S21" s="3">
        <v>3952.36</v>
      </c>
      <c r="T21" s="3">
        <v>3952.36</v>
      </c>
      <c r="U21" s="4"/>
      <c r="V21" s="3">
        <v>3952.36</v>
      </c>
      <c r="W21" s="3">
        <v>3952.36</v>
      </c>
      <c r="X21" s="3">
        <v>3952.36</v>
      </c>
      <c r="Y21" s="3">
        <v>3952.36</v>
      </c>
      <c r="Z21" s="11">
        <f t="shared" ref="Z21:AG21" si="19">Y21</f>
        <v>3952.36</v>
      </c>
      <c r="AA21" s="11">
        <f t="shared" si="19"/>
        <v>3952.36</v>
      </c>
      <c r="AB21" s="11">
        <f t="shared" si="19"/>
        <v>3952.36</v>
      </c>
      <c r="AC21" s="11">
        <f t="shared" si="19"/>
        <v>3952.36</v>
      </c>
      <c r="AD21" s="11">
        <f t="shared" si="19"/>
        <v>3952.36</v>
      </c>
      <c r="AE21" s="11">
        <f t="shared" si="19"/>
        <v>3952.36</v>
      </c>
      <c r="AF21" s="11">
        <f t="shared" si="19"/>
        <v>3952.36</v>
      </c>
      <c r="AG21" s="3">
        <f t="shared" si="19"/>
        <v>3952.36</v>
      </c>
      <c r="AH21" s="4"/>
      <c r="AI21" s="3">
        <v>4000</v>
      </c>
      <c r="AJ21" s="3">
        <v>4000</v>
      </c>
      <c r="AK21" s="3">
        <v>4000</v>
      </c>
      <c r="AL21" s="3">
        <v>4000</v>
      </c>
      <c r="AM21" s="3">
        <v>4000</v>
      </c>
      <c r="AN21" s="3">
        <v>4000</v>
      </c>
      <c r="AO21" s="3">
        <v>4000</v>
      </c>
      <c r="AP21" s="3">
        <v>4000</v>
      </c>
      <c r="AQ21" s="3">
        <v>4000</v>
      </c>
      <c r="AR21" s="3">
        <v>4000</v>
      </c>
      <c r="AS21" s="3">
        <v>4000</v>
      </c>
      <c r="AT21" s="3">
        <v>4200</v>
      </c>
      <c r="AU21" s="4"/>
      <c r="AV21" s="3">
        <v>4200</v>
      </c>
      <c r="AW21" s="3">
        <v>4200</v>
      </c>
      <c r="AX21" s="3">
        <v>4200</v>
      </c>
      <c r="AY21" s="3">
        <v>4200</v>
      </c>
      <c r="AZ21" s="3">
        <v>4200</v>
      </c>
      <c r="BA21" s="3">
        <v>4200</v>
      </c>
      <c r="BB21" s="3">
        <v>4200</v>
      </c>
      <c r="BC21" s="3">
        <v>4200</v>
      </c>
      <c r="BD21" s="3">
        <v>4200</v>
      </c>
      <c r="BE21" s="3">
        <v>4200</v>
      </c>
      <c r="BF21" s="3">
        <v>4200</v>
      </c>
      <c r="BG21" s="11">
        <f t="shared" ref="BG21:BG22" si="20">BF21</f>
        <v>4200</v>
      </c>
      <c r="BH21" s="12"/>
      <c r="BI21" s="11">
        <f t="shared" ref="BI21:BI22" si="21">BG21</f>
        <v>4200</v>
      </c>
      <c r="BJ21" s="11">
        <f t="shared" ref="BJ21:BK21" si="22">BI21</f>
        <v>4200</v>
      </c>
      <c r="BK21" s="11">
        <f t="shared" si="22"/>
        <v>4200</v>
      </c>
      <c r="BL21" s="3">
        <v>4410</v>
      </c>
      <c r="BM21" s="3">
        <f t="shared" ref="BM21:BT21" si="23">BL21</f>
        <v>4410</v>
      </c>
      <c r="BN21" s="3">
        <f t="shared" si="23"/>
        <v>4410</v>
      </c>
      <c r="BO21" s="3">
        <f t="shared" si="23"/>
        <v>4410</v>
      </c>
      <c r="BP21" s="3">
        <f t="shared" si="23"/>
        <v>4410</v>
      </c>
      <c r="BQ21" s="3">
        <f t="shared" si="23"/>
        <v>4410</v>
      </c>
      <c r="BR21" s="3">
        <f t="shared" si="23"/>
        <v>4410</v>
      </c>
      <c r="BS21" s="3">
        <f t="shared" si="23"/>
        <v>4410</v>
      </c>
      <c r="BT21" s="3">
        <f t="shared" si="23"/>
        <v>4410</v>
      </c>
      <c r="BU21" s="3"/>
      <c r="BV21" s="3">
        <f t="shared" ref="BV21:BV22" si="24">BT21</f>
        <v>4410</v>
      </c>
      <c r="BW21" s="3">
        <f t="shared" ref="BW21:BX21" si="25">BV21</f>
        <v>4410</v>
      </c>
      <c r="BX21" s="3">
        <f t="shared" si="25"/>
        <v>4410</v>
      </c>
      <c r="BY21" s="3">
        <v>4631</v>
      </c>
      <c r="BZ21" s="3">
        <v>4631</v>
      </c>
      <c r="CA21" s="3">
        <v>4631</v>
      </c>
      <c r="CB21" s="3">
        <v>4631</v>
      </c>
      <c r="CC21" s="3">
        <v>4631</v>
      </c>
      <c r="CD21" s="3">
        <v>4631</v>
      </c>
      <c r="CE21" s="3">
        <v>4631</v>
      </c>
      <c r="CF21" s="3">
        <v>4631</v>
      </c>
      <c r="CG21" s="3">
        <v>4631</v>
      </c>
      <c r="CH21" s="3">
        <v>4631</v>
      </c>
      <c r="CI21" s="3">
        <v>4631</v>
      </c>
      <c r="CJ21" s="3">
        <v>4631</v>
      </c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</row>
    <row r="22" spans="1:181" ht="15.75" customHeight="1" x14ac:dyDescent="0.25">
      <c r="A22" s="9" t="s">
        <v>55</v>
      </c>
      <c r="B22" s="9" t="s">
        <v>45</v>
      </c>
      <c r="C22" s="9" t="s">
        <v>53</v>
      </c>
      <c r="D22" s="13">
        <v>2</v>
      </c>
      <c r="E22" s="9" t="s">
        <v>24</v>
      </c>
      <c r="F22" s="9" t="s">
        <v>56</v>
      </c>
      <c r="G22" s="2">
        <v>8820</v>
      </c>
      <c r="H22" s="2">
        <v>1500</v>
      </c>
      <c r="I22" s="2">
        <v>0</v>
      </c>
      <c r="J22" s="11">
        <v>4200</v>
      </c>
      <c r="K22" s="2">
        <f t="shared" si="16"/>
        <v>10320</v>
      </c>
      <c r="L22" s="3">
        <f t="shared" si="18"/>
        <v>3864.53</v>
      </c>
      <c r="M22" s="3">
        <v>3952.36</v>
      </c>
      <c r="N22" s="3">
        <v>3952.36</v>
      </c>
      <c r="O22" s="3">
        <v>3952.36</v>
      </c>
      <c r="P22" s="3">
        <v>3952.36</v>
      </c>
      <c r="Q22" s="3">
        <v>3952.36</v>
      </c>
      <c r="R22" s="3">
        <v>3952.36</v>
      </c>
      <c r="S22" s="3">
        <v>3952.36</v>
      </c>
      <c r="T22" s="3">
        <v>3952.36</v>
      </c>
      <c r="U22" s="4"/>
      <c r="V22" s="3">
        <v>3952.36</v>
      </c>
      <c r="W22" s="3">
        <v>3952.36</v>
      </c>
      <c r="X22" s="3">
        <v>3952.36</v>
      </c>
      <c r="Y22" s="3">
        <v>3952.36</v>
      </c>
      <c r="Z22" s="11">
        <f t="shared" ref="Z22:AG22" si="26">Y22</f>
        <v>3952.36</v>
      </c>
      <c r="AA22" s="11">
        <f t="shared" si="26"/>
        <v>3952.36</v>
      </c>
      <c r="AB22" s="11">
        <f t="shared" si="26"/>
        <v>3952.36</v>
      </c>
      <c r="AC22" s="11">
        <f t="shared" si="26"/>
        <v>3952.36</v>
      </c>
      <c r="AD22" s="11">
        <f t="shared" si="26"/>
        <v>3952.36</v>
      </c>
      <c r="AE22" s="11">
        <f t="shared" si="26"/>
        <v>3952.36</v>
      </c>
      <c r="AF22" s="11">
        <f t="shared" si="26"/>
        <v>3952.36</v>
      </c>
      <c r="AG22" s="3">
        <f t="shared" si="26"/>
        <v>3952.36</v>
      </c>
      <c r="AH22" s="4"/>
      <c r="AI22" s="3">
        <v>4000</v>
      </c>
      <c r="AJ22" s="3">
        <v>4000</v>
      </c>
      <c r="AK22" s="3">
        <v>4000</v>
      </c>
      <c r="AL22" s="3">
        <v>4000</v>
      </c>
      <c r="AM22" s="3">
        <v>4000</v>
      </c>
      <c r="AN22" s="3">
        <v>4000</v>
      </c>
      <c r="AO22" s="3">
        <v>4000</v>
      </c>
      <c r="AP22" s="3">
        <v>4000</v>
      </c>
      <c r="AQ22" s="3">
        <v>4000</v>
      </c>
      <c r="AR22" s="3">
        <v>4000</v>
      </c>
      <c r="AS22" s="3">
        <v>4000</v>
      </c>
      <c r="AT22" s="3">
        <v>4200</v>
      </c>
      <c r="AU22" s="4"/>
      <c r="AV22" s="3">
        <v>4200</v>
      </c>
      <c r="AW22" s="3">
        <v>4200</v>
      </c>
      <c r="AX22" s="3">
        <v>4200</v>
      </c>
      <c r="AY22" s="3">
        <v>4200</v>
      </c>
      <c r="AZ22" s="3">
        <v>4200</v>
      </c>
      <c r="BA22" s="3">
        <v>4200</v>
      </c>
      <c r="BB22" s="3">
        <v>4200</v>
      </c>
      <c r="BC22" s="3">
        <v>4200</v>
      </c>
      <c r="BD22" s="3">
        <v>4200</v>
      </c>
      <c r="BE22" s="3">
        <v>4200</v>
      </c>
      <c r="BF22" s="3">
        <v>4200</v>
      </c>
      <c r="BG22" s="11">
        <f t="shared" si="20"/>
        <v>4200</v>
      </c>
      <c r="BH22" s="12"/>
      <c r="BI22" s="11">
        <f t="shared" si="21"/>
        <v>4200</v>
      </c>
      <c r="BJ22" s="11">
        <f t="shared" ref="BJ22:BK22" si="27">BI22</f>
        <v>4200</v>
      </c>
      <c r="BK22" s="11">
        <f t="shared" si="27"/>
        <v>4200</v>
      </c>
      <c r="BL22" s="3">
        <v>4410</v>
      </c>
      <c r="BM22" s="3">
        <f t="shared" ref="BM22:BT22" si="28">BL22</f>
        <v>4410</v>
      </c>
      <c r="BN22" s="3">
        <f t="shared" si="28"/>
        <v>4410</v>
      </c>
      <c r="BO22" s="3">
        <f t="shared" si="28"/>
        <v>4410</v>
      </c>
      <c r="BP22" s="3">
        <f t="shared" si="28"/>
        <v>4410</v>
      </c>
      <c r="BQ22" s="3">
        <f t="shared" si="28"/>
        <v>4410</v>
      </c>
      <c r="BR22" s="3">
        <f t="shared" si="28"/>
        <v>4410</v>
      </c>
      <c r="BS22" s="3">
        <f t="shared" si="28"/>
        <v>4410</v>
      </c>
      <c r="BT22" s="3">
        <f t="shared" si="28"/>
        <v>4410</v>
      </c>
      <c r="BU22" s="3"/>
      <c r="BV22" s="3">
        <f t="shared" si="24"/>
        <v>4410</v>
      </c>
      <c r="BW22" s="3">
        <f t="shared" ref="BW22:BX22" si="29">BV22</f>
        <v>4410</v>
      </c>
      <c r="BX22" s="3">
        <f t="shared" si="29"/>
        <v>4410</v>
      </c>
      <c r="BY22" s="3">
        <v>4631</v>
      </c>
      <c r="BZ22" s="3">
        <v>4631</v>
      </c>
      <c r="CA22" s="3">
        <v>4631</v>
      </c>
      <c r="CB22" s="3">
        <v>4631</v>
      </c>
      <c r="CC22" s="3">
        <v>4631</v>
      </c>
      <c r="CD22" s="3">
        <v>4631</v>
      </c>
      <c r="CE22" s="3">
        <v>4631</v>
      </c>
      <c r="CF22" s="3">
        <v>4631</v>
      </c>
      <c r="CG22" s="3">
        <v>4631</v>
      </c>
      <c r="CH22" s="3">
        <v>4631</v>
      </c>
      <c r="CI22" s="3">
        <v>4631</v>
      </c>
      <c r="CJ22" s="3">
        <v>4631</v>
      </c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</row>
    <row r="23" spans="1:181" ht="15.75" customHeight="1" x14ac:dyDescent="0.25">
      <c r="A23" s="9" t="s">
        <v>57</v>
      </c>
      <c r="B23" s="9" t="s">
        <v>45</v>
      </c>
      <c r="C23" s="9" t="s">
        <v>50</v>
      </c>
      <c r="D23" s="13">
        <v>5</v>
      </c>
      <c r="E23" s="9" t="s">
        <v>24</v>
      </c>
      <c r="F23" s="9" t="s">
        <v>58</v>
      </c>
      <c r="G23" s="2">
        <v>13136</v>
      </c>
      <c r="H23" s="2">
        <v>1500</v>
      </c>
      <c r="I23" s="2">
        <v>2400</v>
      </c>
      <c r="J23" s="3">
        <v>6376</v>
      </c>
      <c r="K23" s="2">
        <f t="shared" si="16"/>
        <v>17036</v>
      </c>
      <c r="L23" s="3">
        <v>6190</v>
      </c>
      <c r="M23" s="11">
        <v>6190</v>
      </c>
      <c r="N23" s="11">
        <v>6190</v>
      </c>
      <c r="O23" s="11">
        <v>6190</v>
      </c>
      <c r="P23" s="11">
        <v>6190</v>
      </c>
      <c r="Q23" s="11">
        <v>6190</v>
      </c>
      <c r="R23" s="11">
        <f t="shared" ref="R23:T23" si="30">Q23</f>
        <v>6190</v>
      </c>
      <c r="S23" s="11">
        <f t="shared" si="30"/>
        <v>6190</v>
      </c>
      <c r="T23" s="11">
        <f t="shared" si="30"/>
        <v>6190</v>
      </c>
      <c r="U23" s="12"/>
      <c r="V23" s="11">
        <f t="shared" ref="V23:V24" si="31">T23</f>
        <v>6190</v>
      </c>
      <c r="W23" s="11">
        <f t="shared" ref="W23:AG23" si="32">V23</f>
        <v>6190</v>
      </c>
      <c r="X23" s="11">
        <f t="shared" si="32"/>
        <v>6190</v>
      </c>
      <c r="Y23" s="11">
        <f t="shared" si="32"/>
        <v>6190</v>
      </c>
      <c r="Z23" s="11">
        <f t="shared" si="32"/>
        <v>6190</v>
      </c>
      <c r="AA23" s="11">
        <f t="shared" si="32"/>
        <v>6190</v>
      </c>
      <c r="AB23" s="11">
        <f t="shared" si="32"/>
        <v>6190</v>
      </c>
      <c r="AC23" s="11">
        <f t="shared" si="32"/>
        <v>6190</v>
      </c>
      <c r="AD23" s="11">
        <f t="shared" si="32"/>
        <v>6190</v>
      </c>
      <c r="AE23" s="11">
        <f t="shared" si="32"/>
        <v>6190</v>
      </c>
      <c r="AF23" s="11">
        <f t="shared" si="32"/>
        <v>6190</v>
      </c>
      <c r="AG23" s="11">
        <f t="shared" si="32"/>
        <v>6190</v>
      </c>
      <c r="AH23" s="4"/>
      <c r="AI23" s="11">
        <f t="shared" ref="AI23:AI24" si="33">AG23</f>
        <v>6190</v>
      </c>
      <c r="AJ23" s="11">
        <f t="shared" ref="AJ23:AN23" si="34">AI23</f>
        <v>6190</v>
      </c>
      <c r="AK23" s="11">
        <f t="shared" si="34"/>
        <v>6190</v>
      </c>
      <c r="AL23" s="11">
        <f t="shared" si="34"/>
        <v>6190</v>
      </c>
      <c r="AM23" s="11">
        <f t="shared" si="34"/>
        <v>6190</v>
      </c>
      <c r="AN23" s="11">
        <f t="shared" si="34"/>
        <v>6190</v>
      </c>
      <c r="AO23" s="3">
        <v>6376</v>
      </c>
      <c r="AP23" s="3">
        <v>6376</v>
      </c>
      <c r="AQ23" s="3">
        <v>6376</v>
      </c>
      <c r="AR23" s="3">
        <v>6376</v>
      </c>
      <c r="AS23" s="3">
        <v>6376</v>
      </c>
      <c r="AT23" s="3">
        <v>6376</v>
      </c>
      <c r="AU23" s="4"/>
      <c r="AV23" s="3">
        <v>6376</v>
      </c>
      <c r="AW23" s="3">
        <v>6376</v>
      </c>
      <c r="AX23" s="3">
        <v>6376</v>
      </c>
      <c r="AY23" s="3">
        <v>6376</v>
      </c>
      <c r="AZ23" s="3">
        <v>6376</v>
      </c>
      <c r="BA23" s="3">
        <v>6376</v>
      </c>
      <c r="BB23" s="3">
        <v>6376</v>
      </c>
      <c r="BC23" s="3">
        <v>6376</v>
      </c>
      <c r="BD23" s="3">
        <v>6376</v>
      </c>
      <c r="BE23" s="3">
        <v>6376</v>
      </c>
      <c r="BF23" s="3">
        <v>6376</v>
      </c>
      <c r="BG23" s="3">
        <v>6376</v>
      </c>
      <c r="BH23" s="12"/>
      <c r="BI23" s="3">
        <v>6376</v>
      </c>
      <c r="BJ23" s="3">
        <v>6376</v>
      </c>
      <c r="BK23" s="3">
        <v>6376</v>
      </c>
      <c r="BL23" s="3">
        <v>6376</v>
      </c>
      <c r="BM23" s="3">
        <v>6376</v>
      </c>
      <c r="BN23" s="3">
        <v>6376</v>
      </c>
      <c r="BO23" s="3">
        <f t="shared" ref="BO23:BQ23" si="35">6568-6376</f>
        <v>192</v>
      </c>
      <c r="BP23" s="3">
        <f t="shared" si="35"/>
        <v>192</v>
      </c>
      <c r="BQ23" s="3">
        <f t="shared" si="35"/>
        <v>192</v>
      </c>
      <c r="BR23" s="3">
        <v>6568</v>
      </c>
      <c r="BS23" s="3">
        <v>6568</v>
      </c>
      <c r="BT23" s="3">
        <v>6568</v>
      </c>
      <c r="BU23" s="3"/>
      <c r="BV23" s="3">
        <v>6568</v>
      </c>
      <c r="BW23" s="3">
        <v>6568</v>
      </c>
      <c r="BX23" s="3">
        <v>6568</v>
      </c>
      <c r="BY23" s="3">
        <v>6568</v>
      </c>
      <c r="BZ23" s="3">
        <v>6568</v>
      </c>
      <c r="CA23" s="3">
        <v>6568</v>
      </c>
      <c r="CB23" s="3">
        <v>6831</v>
      </c>
      <c r="CC23" s="3">
        <v>6831</v>
      </c>
      <c r="CD23" s="3">
        <v>6831</v>
      </c>
      <c r="CE23" s="3">
        <v>6831</v>
      </c>
      <c r="CF23" s="3">
        <v>6831</v>
      </c>
      <c r="CG23" s="3">
        <v>6831</v>
      </c>
      <c r="CH23" s="3">
        <v>6831</v>
      </c>
      <c r="CI23" s="3">
        <v>6831</v>
      </c>
      <c r="CJ23" s="3">
        <v>6831</v>
      </c>
      <c r="CK23" s="3">
        <v>6831</v>
      </c>
      <c r="CL23" s="3">
        <v>6831</v>
      </c>
      <c r="CM23" s="3">
        <v>6831</v>
      </c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</row>
    <row r="24" spans="1:181" ht="15.75" customHeight="1" x14ac:dyDescent="0.25">
      <c r="A24" s="9" t="s">
        <v>59</v>
      </c>
      <c r="B24" s="9" t="s">
        <v>45</v>
      </c>
      <c r="C24" s="9" t="s">
        <v>53</v>
      </c>
      <c r="D24" s="13">
        <v>5</v>
      </c>
      <c r="E24" s="9" t="s">
        <v>24</v>
      </c>
      <c r="F24" s="9" t="s">
        <v>58</v>
      </c>
      <c r="G24" s="2">
        <v>7446</v>
      </c>
      <c r="H24" s="2">
        <v>1500</v>
      </c>
      <c r="I24" s="2">
        <v>0</v>
      </c>
      <c r="J24" s="3">
        <v>3615</v>
      </c>
      <c r="K24" s="2">
        <f t="shared" si="16"/>
        <v>8946</v>
      </c>
      <c r="L24" s="3">
        <v>3510</v>
      </c>
      <c r="M24" s="11">
        <f t="shared" ref="M24:T24" si="36">L24</f>
        <v>3510</v>
      </c>
      <c r="N24" s="11">
        <f t="shared" si="36"/>
        <v>3510</v>
      </c>
      <c r="O24" s="11">
        <f t="shared" si="36"/>
        <v>3510</v>
      </c>
      <c r="P24" s="11">
        <f t="shared" si="36"/>
        <v>3510</v>
      </c>
      <c r="Q24" s="11">
        <f t="shared" si="36"/>
        <v>3510</v>
      </c>
      <c r="R24" s="11">
        <f t="shared" si="36"/>
        <v>3510</v>
      </c>
      <c r="S24" s="11">
        <f t="shared" si="36"/>
        <v>3510</v>
      </c>
      <c r="T24" s="11">
        <f t="shared" si="36"/>
        <v>3510</v>
      </c>
      <c r="U24" s="12"/>
      <c r="V24" s="11">
        <f t="shared" si="31"/>
        <v>3510</v>
      </c>
      <c r="W24" s="11">
        <f t="shared" ref="W24:AG24" si="37">V24</f>
        <v>3510</v>
      </c>
      <c r="X24" s="11">
        <f t="shared" si="37"/>
        <v>3510</v>
      </c>
      <c r="Y24" s="11">
        <f t="shared" si="37"/>
        <v>3510</v>
      </c>
      <c r="Z24" s="11">
        <f t="shared" si="37"/>
        <v>3510</v>
      </c>
      <c r="AA24" s="11">
        <f t="shared" si="37"/>
        <v>3510</v>
      </c>
      <c r="AB24" s="11">
        <f t="shared" si="37"/>
        <v>3510</v>
      </c>
      <c r="AC24" s="11">
        <f t="shared" si="37"/>
        <v>3510</v>
      </c>
      <c r="AD24" s="11">
        <f t="shared" si="37"/>
        <v>3510</v>
      </c>
      <c r="AE24" s="11">
        <f t="shared" si="37"/>
        <v>3510</v>
      </c>
      <c r="AF24" s="11">
        <f t="shared" si="37"/>
        <v>3510</v>
      </c>
      <c r="AG24" s="11">
        <f t="shared" si="37"/>
        <v>3510</v>
      </c>
      <c r="AH24" s="4"/>
      <c r="AI24" s="11">
        <f t="shared" si="33"/>
        <v>3510</v>
      </c>
      <c r="AJ24" s="11">
        <f t="shared" ref="AJ24:AN24" si="38">AI24</f>
        <v>3510</v>
      </c>
      <c r="AK24" s="11">
        <f t="shared" si="38"/>
        <v>3510</v>
      </c>
      <c r="AL24" s="11">
        <f t="shared" si="38"/>
        <v>3510</v>
      </c>
      <c r="AM24" s="11">
        <f t="shared" si="38"/>
        <v>3510</v>
      </c>
      <c r="AN24" s="11">
        <f t="shared" si="38"/>
        <v>3510</v>
      </c>
      <c r="AO24" s="3">
        <v>3615</v>
      </c>
      <c r="AP24" s="3">
        <v>3615</v>
      </c>
      <c r="AQ24" s="3">
        <v>3615</v>
      </c>
      <c r="AR24" s="3">
        <v>3615</v>
      </c>
      <c r="AS24" s="3">
        <v>3615</v>
      </c>
      <c r="AT24" s="3">
        <v>3615</v>
      </c>
      <c r="AU24" s="4"/>
      <c r="AV24" s="3">
        <v>3615</v>
      </c>
      <c r="AW24" s="3">
        <v>3615</v>
      </c>
      <c r="AX24" s="3">
        <v>3615</v>
      </c>
      <c r="AY24" s="3">
        <v>3615</v>
      </c>
      <c r="AZ24" s="3">
        <v>3615</v>
      </c>
      <c r="BA24" s="3">
        <v>3615</v>
      </c>
      <c r="BB24" s="3">
        <v>3615</v>
      </c>
      <c r="BC24" s="3">
        <v>3615</v>
      </c>
      <c r="BD24" s="3">
        <v>3615</v>
      </c>
      <c r="BE24" s="3">
        <v>3615</v>
      </c>
      <c r="BF24" s="3">
        <v>3615</v>
      </c>
      <c r="BG24" s="3">
        <v>3615</v>
      </c>
      <c r="BH24" s="12"/>
      <c r="BI24" s="3">
        <v>3615</v>
      </c>
      <c r="BJ24" s="3">
        <v>3615</v>
      </c>
      <c r="BK24" s="3">
        <v>3615</v>
      </c>
      <c r="BL24" s="3">
        <v>3615</v>
      </c>
      <c r="BM24" s="3">
        <v>3615</v>
      </c>
      <c r="BN24" s="3">
        <v>3615</v>
      </c>
      <c r="BO24" s="3">
        <f t="shared" ref="BO24:BQ24" si="39">3723-3615</f>
        <v>108</v>
      </c>
      <c r="BP24" s="3">
        <f t="shared" si="39"/>
        <v>108</v>
      </c>
      <c r="BQ24" s="3">
        <f t="shared" si="39"/>
        <v>108</v>
      </c>
      <c r="BR24" s="3">
        <v>3723</v>
      </c>
      <c r="BS24" s="3">
        <v>3723</v>
      </c>
      <c r="BT24" s="3">
        <v>3723</v>
      </c>
      <c r="BU24" s="3"/>
      <c r="BV24" s="3">
        <v>3723</v>
      </c>
      <c r="BW24" s="3">
        <v>3723</v>
      </c>
      <c r="BX24" s="3">
        <v>3723</v>
      </c>
      <c r="BY24" s="3">
        <v>3723</v>
      </c>
      <c r="BZ24" s="3">
        <v>3723</v>
      </c>
      <c r="CA24" s="3">
        <v>3723</v>
      </c>
      <c r="CB24" s="3">
        <v>3872</v>
      </c>
      <c r="CC24" s="3">
        <v>3872</v>
      </c>
      <c r="CD24" s="3">
        <v>3872</v>
      </c>
      <c r="CE24" s="3">
        <v>3872</v>
      </c>
      <c r="CF24" s="3">
        <v>3872</v>
      </c>
      <c r="CG24" s="3">
        <v>3872</v>
      </c>
      <c r="CH24" s="3">
        <v>3872</v>
      </c>
      <c r="CI24" s="3">
        <v>3872</v>
      </c>
      <c r="CJ24" s="3">
        <v>3872</v>
      </c>
      <c r="CK24" s="3">
        <v>3872</v>
      </c>
      <c r="CL24" s="3">
        <v>3872</v>
      </c>
      <c r="CM24" s="3">
        <v>3872</v>
      </c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</row>
    <row r="25" spans="1:181" ht="15" x14ac:dyDescent="0.25">
      <c r="A25" s="9" t="s">
        <v>60</v>
      </c>
      <c r="B25" s="9" t="s">
        <v>45</v>
      </c>
      <c r="C25" s="9" t="s">
        <v>53</v>
      </c>
      <c r="D25" s="13">
        <v>1</v>
      </c>
      <c r="E25" s="9" t="s">
        <v>24</v>
      </c>
      <c r="F25" s="9" t="s">
        <v>61</v>
      </c>
      <c r="G25" s="2">
        <v>8820</v>
      </c>
      <c r="H25" s="2">
        <v>1500</v>
      </c>
      <c r="I25" s="2">
        <v>0</v>
      </c>
      <c r="J25" s="3">
        <v>4410</v>
      </c>
      <c r="K25" s="2">
        <f t="shared" si="16"/>
        <v>10320</v>
      </c>
      <c r="L25" s="3"/>
      <c r="M25" s="3"/>
      <c r="N25" s="3"/>
      <c r="O25" s="3"/>
      <c r="P25" s="3"/>
      <c r="Q25" s="3"/>
      <c r="R25" s="3"/>
      <c r="S25" s="3"/>
      <c r="T25" s="3"/>
      <c r="U25" s="4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  <c r="AI25" s="3"/>
      <c r="AJ25" s="3"/>
      <c r="AK25" s="3"/>
      <c r="AL25" s="3"/>
      <c r="AM25" s="3"/>
      <c r="AN25" s="3"/>
      <c r="AO25" s="3"/>
      <c r="AP25" s="3"/>
      <c r="AQ25" s="3"/>
      <c r="AR25" s="11"/>
      <c r="AS25" s="3"/>
      <c r="AT25" s="3">
        <v>4200</v>
      </c>
      <c r="AU25" s="4"/>
      <c r="AV25" s="3">
        <v>4200</v>
      </c>
      <c r="AW25" s="3">
        <v>4200</v>
      </c>
      <c r="AX25" s="3">
        <v>4200</v>
      </c>
      <c r="AY25" s="3">
        <v>4200</v>
      </c>
      <c r="AZ25" s="3">
        <v>4200</v>
      </c>
      <c r="BA25" s="3">
        <v>4200</v>
      </c>
      <c r="BB25" s="3">
        <v>4200</v>
      </c>
      <c r="BC25" s="3">
        <v>4200</v>
      </c>
      <c r="BD25" s="3">
        <v>4200</v>
      </c>
      <c r="BE25" s="3">
        <v>4200</v>
      </c>
      <c r="BF25" s="3">
        <v>4410</v>
      </c>
      <c r="BG25" s="3">
        <v>4410</v>
      </c>
      <c r="BH25" s="12"/>
      <c r="BI25" s="3">
        <v>4410</v>
      </c>
      <c r="BJ25" s="3">
        <v>4410</v>
      </c>
      <c r="BK25" s="3">
        <v>4410</v>
      </c>
      <c r="BL25" s="3">
        <v>4410</v>
      </c>
      <c r="BM25" s="3">
        <v>4410</v>
      </c>
      <c r="BN25" s="3">
        <v>4410</v>
      </c>
      <c r="BO25" s="3">
        <v>4410</v>
      </c>
      <c r="BP25" s="3">
        <v>4410</v>
      </c>
      <c r="BQ25" s="3">
        <v>4410</v>
      </c>
      <c r="BR25" s="3">
        <v>4410</v>
      </c>
      <c r="BS25" s="11">
        <f t="shared" ref="BS25:BT25" si="40">BR25</f>
        <v>4410</v>
      </c>
      <c r="BT25" s="11">
        <f t="shared" si="40"/>
        <v>4410</v>
      </c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</row>
    <row r="26" spans="1:181" ht="15" x14ac:dyDescent="0.25">
      <c r="A26" s="9" t="s">
        <v>62</v>
      </c>
      <c r="B26" s="9" t="s">
        <v>45</v>
      </c>
      <c r="C26" s="9" t="s">
        <v>53</v>
      </c>
      <c r="D26" s="13" t="s">
        <v>47</v>
      </c>
      <c r="E26" s="9" t="s">
        <v>24</v>
      </c>
      <c r="F26" s="9" t="s">
        <v>63</v>
      </c>
      <c r="G26" s="2">
        <v>8000</v>
      </c>
      <c r="H26" s="2">
        <v>1500</v>
      </c>
      <c r="I26" s="2">
        <v>0</v>
      </c>
      <c r="J26" s="3"/>
      <c r="K26" s="2">
        <f t="shared" si="16"/>
        <v>9500</v>
      </c>
      <c r="L26" s="3"/>
      <c r="M26" s="3"/>
      <c r="N26" s="3"/>
      <c r="O26" s="3"/>
      <c r="P26" s="3"/>
      <c r="Q26" s="3"/>
      <c r="R26" s="3"/>
      <c r="S26" s="3"/>
      <c r="T26" s="3"/>
      <c r="U26" s="4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4"/>
      <c r="AI26" s="3"/>
      <c r="AJ26" s="3"/>
      <c r="AK26" s="3"/>
      <c r="AL26" s="3"/>
      <c r="AM26" s="3"/>
      <c r="AN26" s="3"/>
      <c r="AO26" s="3"/>
      <c r="AP26" s="3"/>
      <c r="AQ26" s="3"/>
      <c r="AR26" s="11"/>
      <c r="AS26" s="3"/>
      <c r="AT26" s="3"/>
      <c r="AU26" s="4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12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>
        <v>4320</v>
      </c>
      <c r="BU26" s="3"/>
      <c r="BV26" s="3">
        <v>4320</v>
      </c>
      <c r="BW26" s="3">
        <v>4320</v>
      </c>
      <c r="BX26" s="3">
        <v>4320</v>
      </c>
      <c r="BY26" s="3">
        <v>4320</v>
      </c>
      <c r="BZ26" s="3">
        <v>4320</v>
      </c>
      <c r="CA26" s="3">
        <v>4320</v>
      </c>
      <c r="CB26" s="3">
        <v>4320</v>
      </c>
      <c r="CC26" s="3">
        <v>4320</v>
      </c>
      <c r="CD26" s="3">
        <v>4320</v>
      </c>
      <c r="CE26" s="3">
        <v>4320</v>
      </c>
      <c r="CF26" s="3">
        <v>4320</v>
      </c>
      <c r="CG26" s="3">
        <v>4320</v>
      </c>
      <c r="CH26" s="3">
        <v>4320</v>
      </c>
      <c r="CI26" s="3">
        <v>4320</v>
      </c>
      <c r="CJ26" s="3">
        <v>4320</v>
      </c>
      <c r="CK26" s="3">
        <v>4320</v>
      </c>
      <c r="CL26" s="3">
        <v>4320</v>
      </c>
      <c r="CM26" s="3">
        <v>4320</v>
      </c>
      <c r="CN26" s="3">
        <v>4320</v>
      </c>
      <c r="CO26" s="3">
        <v>4320</v>
      </c>
      <c r="CP26" s="3">
        <v>4320</v>
      </c>
      <c r="CQ26" s="3">
        <v>4752</v>
      </c>
      <c r="CR26" s="3">
        <v>4752</v>
      </c>
      <c r="CS26" s="3">
        <v>4752</v>
      </c>
      <c r="CT26" s="3">
        <v>4752</v>
      </c>
      <c r="CU26" s="3">
        <v>4752</v>
      </c>
      <c r="CV26" s="3">
        <v>4752</v>
      </c>
      <c r="CW26" s="3">
        <v>4752</v>
      </c>
      <c r="CX26" s="3">
        <v>4752</v>
      </c>
      <c r="CY26" s="3">
        <v>4752</v>
      </c>
      <c r="CZ26" s="3">
        <v>4752</v>
      </c>
      <c r="DA26" s="3">
        <v>4752</v>
      </c>
      <c r="DB26" s="3">
        <v>4752</v>
      </c>
      <c r="DC26" s="3">
        <v>4752</v>
      </c>
      <c r="DD26" s="3">
        <v>4752</v>
      </c>
      <c r="DE26" s="3">
        <v>4752</v>
      </c>
      <c r="DF26" s="3">
        <v>4752</v>
      </c>
      <c r="DG26" s="3">
        <v>4752</v>
      </c>
      <c r="DH26" s="3">
        <v>4752</v>
      </c>
      <c r="DI26" s="3">
        <v>4752</v>
      </c>
      <c r="DJ26" s="3">
        <v>4752</v>
      </c>
      <c r="DK26" s="3">
        <v>4752</v>
      </c>
      <c r="DL26" s="3">
        <v>4752</v>
      </c>
      <c r="DM26" s="3">
        <v>4752</v>
      </c>
      <c r="DN26" s="3">
        <v>4752</v>
      </c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</row>
    <row r="27" spans="1:181" ht="15" x14ac:dyDescent="0.25">
      <c r="A27" s="9" t="s">
        <v>64</v>
      </c>
      <c r="B27" s="9" t="s">
        <v>45</v>
      </c>
      <c r="C27" s="9" t="s">
        <v>50</v>
      </c>
      <c r="D27" s="13">
        <v>7</v>
      </c>
      <c r="E27" s="9" t="s">
        <v>24</v>
      </c>
      <c r="F27" s="9" t="s">
        <v>65</v>
      </c>
      <c r="G27" s="2">
        <v>14000</v>
      </c>
      <c r="H27" s="2">
        <v>1500</v>
      </c>
      <c r="I27" s="2">
        <v>0</v>
      </c>
      <c r="J27" s="3"/>
      <c r="K27" s="2">
        <f t="shared" si="16"/>
        <v>15500</v>
      </c>
      <c r="L27" s="3"/>
      <c r="M27" s="3"/>
      <c r="N27" s="3"/>
      <c r="O27" s="3"/>
      <c r="P27" s="3"/>
      <c r="Q27" s="3"/>
      <c r="R27" s="3"/>
      <c r="S27" s="3"/>
      <c r="T27" s="3"/>
      <c r="U27" s="4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4"/>
      <c r="AI27" s="3"/>
      <c r="AJ27" s="3"/>
      <c r="AK27" s="3"/>
      <c r="AL27" s="3"/>
      <c r="AM27" s="3"/>
      <c r="AN27" s="3"/>
      <c r="AO27" s="3"/>
      <c r="AP27" s="3"/>
      <c r="AQ27" s="3"/>
      <c r="AR27" s="11"/>
      <c r="AS27" s="3"/>
      <c r="AT27" s="3"/>
      <c r="AU27" s="4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12"/>
      <c r="BI27" s="3"/>
      <c r="BJ27" s="3"/>
      <c r="BK27" s="3"/>
      <c r="BL27" s="3"/>
      <c r="BM27" s="3"/>
      <c r="BN27" s="3"/>
      <c r="BO27" s="3">
        <f>ROUND((31-15+1)*7000/31,2)</f>
        <v>3838.71</v>
      </c>
      <c r="BP27" s="3">
        <v>7000</v>
      </c>
      <c r="BQ27" s="3">
        <v>7000</v>
      </c>
      <c r="BR27" s="3">
        <v>7000</v>
      </c>
      <c r="BS27" s="3">
        <v>7000</v>
      </c>
      <c r="BT27" s="3">
        <v>7000</v>
      </c>
      <c r="BU27" s="3"/>
      <c r="BV27" s="3">
        <v>7000</v>
      </c>
      <c r="BW27" s="3">
        <v>7000</v>
      </c>
      <c r="BX27" s="3">
        <v>7000</v>
      </c>
      <c r="BY27" s="3">
        <v>7000</v>
      </c>
      <c r="BZ27" s="3">
        <v>7000</v>
      </c>
      <c r="CA27" s="3">
        <v>7000</v>
      </c>
      <c r="CB27" s="3">
        <v>7000</v>
      </c>
      <c r="CC27" s="3">
        <v>7000</v>
      </c>
      <c r="CD27" s="3">
        <v>7000</v>
      </c>
      <c r="CE27" s="3">
        <v>7000</v>
      </c>
      <c r="CF27" s="3">
        <v>7000</v>
      </c>
      <c r="CG27" s="3">
        <v>7000</v>
      </c>
      <c r="CH27" s="3">
        <v>7000</v>
      </c>
      <c r="CI27" s="3">
        <v>7000</v>
      </c>
      <c r="CJ27" s="3">
        <v>7000</v>
      </c>
      <c r="CK27" s="3">
        <v>7000</v>
      </c>
      <c r="CL27" s="3">
        <v>7000</v>
      </c>
      <c r="CM27" s="3">
        <f>ROUND((7000/30*14)+(7700/30*16),2)</f>
        <v>7373.33</v>
      </c>
      <c r="CN27" s="3">
        <v>7700</v>
      </c>
      <c r="CO27" s="3">
        <v>7700</v>
      </c>
      <c r="CP27" s="3">
        <v>7700</v>
      </c>
      <c r="CQ27" s="3">
        <v>7700</v>
      </c>
      <c r="CR27" s="3">
        <v>7700</v>
      </c>
      <c r="CS27" s="3">
        <v>7700</v>
      </c>
      <c r="CT27" s="3">
        <v>7700</v>
      </c>
      <c r="CU27" s="3">
        <v>7700</v>
      </c>
      <c r="CV27" s="3">
        <v>7700</v>
      </c>
      <c r="CW27" s="3">
        <v>7700</v>
      </c>
      <c r="CX27" s="3">
        <v>7700</v>
      </c>
      <c r="CY27" s="3">
        <v>7700</v>
      </c>
      <c r="CZ27" s="3">
        <v>7700</v>
      </c>
      <c r="DA27" s="3">
        <v>7700</v>
      </c>
      <c r="DB27" s="3">
        <v>7700</v>
      </c>
      <c r="DC27" s="3">
        <v>7700</v>
      </c>
      <c r="DD27" s="3">
        <v>7700</v>
      </c>
      <c r="DE27" s="3">
        <v>7700</v>
      </c>
      <c r="DF27" s="3">
        <v>7700</v>
      </c>
      <c r="DG27" s="3">
        <v>7700</v>
      </c>
      <c r="DH27" s="3">
        <v>7700</v>
      </c>
      <c r="DI27" s="3">
        <v>7700</v>
      </c>
      <c r="DJ27" s="3">
        <v>7700</v>
      </c>
      <c r="DK27" s="3">
        <f>ROUND(7700/31*14,2)</f>
        <v>3477.42</v>
      </c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</row>
    <row r="28" spans="1:181" ht="15" x14ac:dyDescent="0.25">
      <c r="A28" s="9" t="s">
        <v>66</v>
      </c>
      <c r="B28" s="9" t="s">
        <v>45</v>
      </c>
      <c r="C28" s="9" t="s">
        <v>67</v>
      </c>
      <c r="D28" s="13" t="s">
        <v>47</v>
      </c>
      <c r="E28" s="10" t="s">
        <v>15</v>
      </c>
      <c r="F28" s="9" t="s">
        <v>68</v>
      </c>
      <c r="G28" s="2">
        <v>5980</v>
      </c>
      <c r="H28" s="2">
        <v>1500</v>
      </c>
      <c r="I28" s="2">
        <v>0</v>
      </c>
      <c r="J28" s="11">
        <v>2990</v>
      </c>
      <c r="K28" s="2">
        <f t="shared" si="16"/>
        <v>7480</v>
      </c>
      <c r="L28" s="3">
        <v>2718</v>
      </c>
      <c r="M28" s="3">
        <v>2718</v>
      </c>
      <c r="N28" s="3">
        <v>2718</v>
      </c>
      <c r="O28" s="3">
        <v>2718</v>
      </c>
      <c r="P28" s="3">
        <v>2718</v>
      </c>
      <c r="Q28" s="3">
        <v>2718</v>
      </c>
      <c r="R28" s="3">
        <v>2718</v>
      </c>
      <c r="S28" s="3">
        <v>2718</v>
      </c>
      <c r="T28" s="3">
        <v>2718</v>
      </c>
      <c r="U28" s="4"/>
      <c r="V28" s="3">
        <v>2718</v>
      </c>
      <c r="W28" s="3">
        <v>2718</v>
      </c>
      <c r="X28" s="3">
        <v>2718</v>
      </c>
      <c r="Y28" s="3">
        <v>2718</v>
      </c>
      <c r="Z28" s="3">
        <v>2718</v>
      </c>
      <c r="AA28" s="3">
        <v>2718</v>
      </c>
      <c r="AB28" s="3">
        <v>2718</v>
      </c>
      <c r="AC28" s="3">
        <v>2718</v>
      </c>
      <c r="AD28" s="11">
        <f t="shared" ref="AD28:AG28" si="41">AC28</f>
        <v>2718</v>
      </c>
      <c r="AE28" s="11">
        <f t="shared" si="41"/>
        <v>2718</v>
      </c>
      <c r="AF28" s="11">
        <f t="shared" si="41"/>
        <v>2718</v>
      </c>
      <c r="AG28" s="11">
        <f t="shared" si="41"/>
        <v>2718</v>
      </c>
      <c r="AH28" s="4"/>
      <c r="AI28" s="11">
        <f>AG28</f>
        <v>2718</v>
      </c>
      <c r="AJ28" s="11">
        <f t="shared" ref="AJ28:AO28" si="42">AI28</f>
        <v>2718</v>
      </c>
      <c r="AK28" s="11">
        <f t="shared" si="42"/>
        <v>2718</v>
      </c>
      <c r="AL28" s="11">
        <f t="shared" si="42"/>
        <v>2718</v>
      </c>
      <c r="AM28" s="11">
        <f t="shared" si="42"/>
        <v>2718</v>
      </c>
      <c r="AN28" s="11">
        <f t="shared" si="42"/>
        <v>2718</v>
      </c>
      <c r="AO28" s="11">
        <f t="shared" si="42"/>
        <v>2718</v>
      </c>
      <c r="AP28" s="3">
        <v>2990</v>
      </c>
      <c r="AQ28" s="3">
        <v>2990</v>
      </c>
      <c r="AR28" s="3">
        <v>2990</v>
      </c>
      <c r="AS28" s="3">
        <v>2990</v>
      </c>
      <c r="AT28" s="3">
        <v>2990</v>
      </c>
      <c r="AU28" s="4"/>
      <c r="AV28" s="3">
        <v>2990</v>
      </c>
      <c r="AW28" s="3">
        <v>2990</v>
      </c>
      <c r="AX28" s="3">
        <v>2990</v>
      </c>
      <c r="AY28" s="3">
        <v>2990</v>
      </c>
      <c r="AZ28" s="3">
        <v>2990</v>
      </c>
      <c r="BA28" s="3">
        <v>2990</v>
      </c>
      <c r="BB28" s="3">
        <v>2990</v>
      </c>
      <c r="BC28" s="11">
        <f t="shared" ref="BC28:BG28" si="43">BB28</f>
        <v>2990</v>
      </c>
      <c r="BD28" s="11">
        <f t="shared" si="43"/>
        <v>2990</v>
      </c>
      <c r="BE28" s="11">
        <f t="shared" si="43"/>
        <v>2990</v>
      </c>
      <c r="BF28" s="11">
        <f t="shared" si="43"/>
        <v>2990</v>
      </c>
      <c r="BG28" s="11">
        <f t="shared" si="43"/>
        <v>2990</v>
      </c>
      <c r="BH28" s="12"/>
      <c r="BI28" s="11">
        <f>BG28</f>
        <v>2990</v>
      </c>
      <c r="BJ28" s="11">
        <f t="shared" ref="BJ28:BT28" si="44">BI28</f>
        <v>2990</v>
      </c>
      <c r="BK28" s="11">
        <f t="shared" si="44"/>
        <v>2990</v>
      </c>
      <c r="BL28" s="11">
        <f t="shared" si="44"/>
        <v>2990</v>
      </c>
      <c r="BM28" s="11">
        <f t="shared" si="44"/>
        <v>2990</v>
      </c>
      <c r="BN28" s="11">
        <f t="shared" si="44"/>
        <v>2990</v>
      </c>
      <c r="BO28" s="11">
        <f t="shared" si="44"/>
        <v>2990</v>
      </c>
      <c r="BP28" s="11">
        <f t="shared" si="44"/>
        <v>2990</v>
      </c>
      <c r="BQ28" s="11">
        <f t="shared" si="44"/>
        <v>2990</v>
      </c>
      <c r="BR28" s="11">
        <f t="shared" si="44"/>
        <v>2990</v>
      </c>
      <c r="BS28" s="11">
        <f t="shared" si="44"/>
        <v>2990</v>
      </c>
      <c r="BT28" s="11">
        <f t="shared" si="44"/>
        <v>2990</v>
      </c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</row>
    <row r="29" spans="1:181" ht="15" x14ac:dyDescent="0.25">
      <c r="G29" s="2"/>
      <c r="H29" s="2"/>
      <c r="I29" s="2"/>
      <c r="J29" s="3"/>
      <c r="K29" s="2"/>
      <c r="L29" s="3"/>
      <c r="M29" s="3"/>
      <c r="N29" s="3"/>
      <c r="O29" s="3"/>
      <c r="P29" s="3"/>
      <c r="Q29" s="3"/>
      <c r="R29" s="3"/>
      <c r="S29" s="3"/>
      <c r="T29" s="3"/>
      <c r="U29" s="4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4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4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12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</row>
    <row r="30" spans="1:181" ht="15" x14ac:dyDescent="0.25">
      <c r="A30" s="9" t="s">
        <v>69</v>
      </c>
      <c r="B30" s="9" t="s">
        <v>70</v>
      </c>
      <c r="C30" s="9" t="s">
        <v>50</v>
      </c>
      <c r="D30" s="9">
        <v>6</v>
      </c>
      <c r="E30" s="9" t="s">
        <v>24</v>
      </c>
      <c r="F30" s="9" t="s">
        <v>71</v>
      </c>
      <c r="G30" s="2">
        <v>10938</v>
      </c>
      <c r="H30" s="2">
        <v>0</v>
      </c>
      <c r="I30" s="2">
        <v>0</v>
      </c>
      <c r="J30" s="3">
        <v>3307</v>
      </c>
      <c r="K30" s="2">
        <f t="shared" ref="K30:K39" si="45">SUM(G30:I30)</f>
        <v>10938</v>
      </c>
      <c r="L30" s="3">
        <v>3087</v>
      </c>
      <c r="M30" s="3">
        <v>3087</v>
      </c>
      <c r="N30" s="3">
        <v>3087</v>
      </c>
      <c r="O30" s="3">
        <v>3087</v>
      </c>
      <c r="P30" s="3">
        <v>3087</v>
      </c>
      <c r="Q30" s="3">
        <v>3087</v>
      </c>
      <c r="R30" s="3">
        <f t="shared" ref="R30:T30" si="46">Q30</f>
        <v>3087</v>
      </c>
      <c r="S30" s="3">
        <f t="shared" si="46"/>
        <v>3087</v>
      </c>
      <c r="T30" s="3">
        <f t="shared" si="46"/>
        <v>3087</v>
      </c>
      <c r="U30" s="4"/>
      <c r="V30" s="3">
        <f>T30</f>
        <v>3087</v>
      </c>
      <c r="W30" s="3">
        <f t="shared" ref="W30:AD30" si="47">V30</f>
        <v>3087</v>
      </c>
      <c r="X30" s="3">
        <f t="shared" si="47"/>
        <v>3087</v>
      </c>
      <c r="Y30" s="3">
        <f t="shared" si="47"/>
        <v>3087</v>
      </c>
      <c r="Z30" s="3">
        <f t="shared" si="47"/>
        <v>3087</v>
      </c>
      <c r="AA30" s="3">
        <f t="shared" si="47"/>
        <v>3087</v>
      </c>
      <c r="AB30" s="3">
        <f t="shared" si="47"/>
        <v>3087</v>
      </c>
      <c r="AC30" s="3">
        <f t="shared" si="47"/>
        <v>3087</v>
      </c>
      <c r="AD30" s="3">
        <f t="shared" si="47"/>
        <v>3087</v>
      </c>
      <c r="AE30" s="3">
        <f>3087/31*14+3150/31*17</f>
        <v>3121.5483870967737</v>
      </c>
      <c r="AF30" s="3">
        <v>3150</v>
      </c>
      <c r="AG30" s="3">
        <v>3150</v>
      </c>
      <c r="AH30" s="4"/>
      <c r="AI30" s="3">
        <v>3150</v>
      </c>
      <c r="AJ30" s="3">
        <v>3150</v>
      </c>
      <c r="AK30" s="3">
        <v>3150</v>
      </c>
      <c r="AL30" s="3">
        <v>3150</v>
      </c>
      <c r="AM30" s="3">
        <v>3150</v>
      </c>
      <c r="AN30" s="3">
        <v>3150</v>
      </c>
      <c r="AO30" s="3">
        <v>3150</v>
      </c>
      <c r="AP30" s="3">
        <v>3150</v>
      </c>
      <c r="AQ30" s="3">
        <v>3150</v>
      </c>
      <c r="AR30" s="3">
        <f>ROUND(3150/31*14+3307/31*17,2)</f>
        <v>3236.1</v>
      </c>
      <c r="AS30" s="3">
        <v>3307</v>
      </c>
      <c r="AT30" s="3">
        <v>3307</v>
      </c>
      <c r="AU30" s="4"/>
      <c r="AV30" s="3">
        <v>3307</v>
      </c>
      <c r="AW30" s="3">
        <v>3307</v>
      </c>
      <c r="AX30" s="3">
        <v>3307</v>
      </c>
      <c r="AY30" s="3">
        <v>3307</v>
      </c>
      <c r="AZ30" s="3">
        <v>3307</v>
      </c>
      <c r="BA30" s="3">
        <v>3307</v>
      </c>
      <c r="BB30" s="3">
        <v>3307</v>
      </c>
      <c r="BC30" s="3">
        <v>3307</v>
      </c>
      <c r="BD30" s="3">
        <v>3307</v>
      </c>
      <c r="BE30" s="3">
        <v>3307</v>
      </c>
      <c r="BF30" s="3">
        <v>3307</v>
      </c>
      <c r="BG30" s="3">
        <v>3307</v>
      </c>
      <c r="BH30" s="12"/>
      <c r="BI30" s="3">
        <v>3307</v>
      </c>
      <c r="BJ30" s="3">
        <v>3307</v>
      </c>
      <c r="BK30" s="3">
        <v>3307</v>
      </c>
      <c r="BL30" s="3">
        <v>3307</v>
      </c>
      <c r="BM30" s="3">
        <v>3307</v>
      </c>
      <c r="BN30" s="3">
        <v>3307</v>
      </c>
      <c r="BO30" s="3">
        <v>3307</v>
      </c>
      <c r="BP30" s="3">
        <v>3307</v>
      </c>
      <c r="BQ30" s="3">
        <v>3307</v>
      </c>
      <c r="BR30" s="3">
        <f>ROUND((3307/31*14),2)+ROUND((3472/31*17),2)</f>
        <v>3397.48</v>
      </c>
      <c r="BS30" s="3">
        <v>3472</v>
      </c>
      <c r="BT30" s="3">
        <v>3472</v>
      </c>
      <c r="BU30" s="3"/>
      <c r="BV30" s="3">
        <v>3472</v>
      </c>
      <c r="BW30" s="3">
        <v>3472</v>
      </c>
      <c r="BX30" s="3">
        <v>3472</v>
      </c>
      <c r="BY30" s="3">
        <v>3472</v>
      </c>
      <c r="BZ30" s="3">
        <v>3472</v>
      </c>
      <c r="CA30" s="3">
        <v>3472</v>
      </c>
      <c r="CB30" s="3">
        <v>3472</v>
      </c>
      <c r="CC30" s="3">
        <v>3472</v>
      </c>
      <c r="CD30" s="3">
        <v>3472</v>
      </c>
      <c r="CE30" s="3">
        <f>ROUND((3472/31*17),2)+ROUND((3646/31*14),2)</f>
        <v>3550.58</v>
      </c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</row>
    <row r="31" spans="1:181" ht="15" x14ac:dyDescent="0.25">
      <c r="A31" s="9" t="s">
        <v>72</v>
      </c>
      <c r="B31" s="9" t="s">
        <v>70</v>
      </c>
      <c r="C31" s="9" t="s">
        <v>73</v>
      </c>
      <c r="D31" s="9">
        <v>11</v>
      </c>
      <c r="E31" s="9" t="s">
        <v>24</v>
      </c>
      <c r="F31" s="9" t="s">
        <v>74</v>
      </c>
      <c r="G31" s="2">
        <v>14300</v>
      </c>
      <c r="H31" s="2">
        <v>1500</v>
      </c>
      <c r="I31" s="2">
        <v>0</v>
      </c>
      <c r="J31" s="3"/>
      <c r="K31" s="2">
        <f t="shared" si="45"/>
        <v>15800</v>
      </c>
      <c r="L31" s="3"/>
      <c r="M31" s="3"/>
      <c r="N31" s="3"/>
      <c r="O31" s="3"/>
      <c r="P31" s="3"/>
      <c r="Q31" s="3"/>
      <c r="R31" s="3"/>
      <c r="S31" s="3"/>
      <c r="T31" s="3"/>
      <c r="U31" s="4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4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4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12"/>
      <c r="BI31" s="3"/>
      <c r="BJ31" s="3"/>
      <c r="BK31" s="3"/>
      <c r="BL31" s="3"/>
      <c r="BM31" s="3"/>
      <c r="BN31" s="3"/>
      <c r="BO31" s="3"/>
      <c r="BP31" s="3"/>
      <c r="BQ31" s="3"/>
      <c r="BR31" s="3">
        <v>6400</v>
      </c>
      <c r="BS31" s="3">
        <v>6400</v>
      </c>
      <c r="BT31" s="3">
        <v>6400</v>
      </c>
      <c r="BU31" s="3"/>
      <c r="BV31" s="3">
        <v>6400</v>
      </c>
      <c r="BW31" s="3">
        <v>6400</v>
      </c>
      <c r="BX31" s="3">
        <v>6400</v>
      </c>
      <c r="BY31" s="3">
        <v>6400</v>
      </c>
      <c r="BZ31" s="3">
        <v>6400</v>
      </c>
      <c r="CA31" s="3">
        <v>6400</v>
      </c>
      <c r="CB31" s="3">
        <v>6400</v>
      </c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</row>
    <row r="32" spans="1:181" ht="15" x14ac:dyDescent="0.25">
      <c r="A32" s="9" t="s">
        <v>75</v>
      </c>
      <c r="B32" s="9" t="s">
        <v>70</v>
      </c>
      <c r="C32" s="9" t="s">
        <v>73</v>
      </c>
      <c r="D32" s="9">
        <v>5</v>
      </c>
      <c r="E32" s="10" t="s">
        <v>15</v>
      </c>
      <c r="F32" s="9" t="s">
        <v>76</v>
      </c>
      <c r="G32" s="2">
        <v>9370</v>
      </c>
      <c r="H32" s="2">
        <v>1500</v>
      </c>
      <c r="I32" s="2">
        <v>0</v>
      </c>
      <c r="J32" s="11">
        <v>4685</v>
      </c>
      <c r="K32" s="2">
        <f t="shared" si="45"/>
        <v>10870</v>
      </c>
      <c r="L32" s="11">
        <v>4259.43</v>
      </c>
      <c r="M32" s="11">
        <f t="shared" ref="M32:T32" si="48">L32</f>
        <v>4259.43</v>
      </c>
      <c r="N32" s="11">
        <f t="shared" si="48"/>
        <v>4259.43</v>
      </c>
      <c r="O32" s="11">
        <f t="shared" si="48"/>
        <v>4259.43</v>
      </c>
      <c r="P32" s="11">
        <f t="shared" si="48"/>
        <v>4259.43</v>
      </c>
      <c r="Q32" s="11">
        <f t="shared" si="48"/>
        <v>4259.43</v>
      </c>
      <c r="R32" s="11">
        <f t="shared" si="48"/>
        <v>4259.43</v>
      </c>
      <c r="S32" s="11">
        <f t="shared" si="48"/>
        <v>4259.43</v>
      </c>
      <c r="T32" s="11">
        <f t="shared" si="48"/>
        <v>4259.43</v>
      </c>
      <c r="U32" s="12"/>
      <c r="V32" s="11">
        <f>T32</f>
        <v>4259.43</v>
      </c>
      <c r="W32" s="11">
        <f t="shared" ref="W32:AB32" si="49">V32</f>
        <v>4259.43</v>
      </c>
      <c r="X32" s="11">
        <f t="shared" si="49"/>
        <v>4259.43</v>
      </c>
      <c r="Y32" s="11">
        <f t="shared" si="49"/>
        <v>4259.43</v>
      </c>
      <c r="Z32" s="11">
        <f t="shared" si="49"/>
        <v>4259.43</v>
      </c>
      <c r="AA32" s="11">
        <f t="shared" si="49"/>
        <v>4259.43</v>
      </c>
      <c r="AB32" s="11">
        <f t="shared" si="49"/>
        <v>4259.43</v>
      </c>
      <c r="AC32" s="3">
        <v>4685</v>
      </c>
      <c r="AD32" s="3">
        <v>4685</v>
      </c>
      <c r="AE32" s="3">
        <v>4685</v>
      </c>
      <c r="AF32" s="3">
        <v>4685</v>
      </c>
      <c r="AG32" s="3">
        <v>4685</v>
      </c>
      <c r="AH32" s="4"/>
      <c r="AI32" s="3">
        <v>4685</v>
      </c>
      <c r="AJ32" s="3">
        <v>4685</v>
      </c>
      <c r="AK32" s="3">
        <v>4685</v>
      </c>
      <c r="AL32" s="3">
        <v>4685</v>
      </c>
      <c r="AM32" s="3">
        <v>4685</v>
      </c>
      <c r="AN32" s="3">
        <v>4685</v>
      </c>
      <c r="AO32" s="3">
        <v>4685</v>
      </c>
      <c r="AP32" s="11">
        <f t="shared" ref="AP32:AT32" si="50">AO32</f>
        <v>4685</v>
      </c>
      <c r="AQ32" s="11">
        <f t="shared" si="50"/>
        <v>4685</v>
      </c>
      <c r="AR32" s="11">
        <f t="shared" si="50"/>
        <v>4685</v>
      </c>
      <c r="AS32" s="11">
        <f t="shared" si="50"/>
        <v>4685</v>
      </c>
      <c r="AT32" s="11">
        <f t="shared" si="50"/>
        <v>4685</v>
      </c>
      <c r="AU32" s="4"/>
      <c r="AV32" s="11">
        <f>AT32</f>
        <v>4685</v>
      </c>
      <c r="AW32" s="11">
        <f t="shared" ref="AW32:BG32" si="51">AV32</f>
        <v>4685</v>
      </c>
      <c r="AX32" s="11">
        <f t="shared" si="51"/>
        <v>4685</v>
      </c>
      <c r="AY32" s="11">
        <f t="shared" si="51"/>
        <v>4685</v>
      </c>
      <c r="AZ32" s="11">
        <f t="shared" si="51"/>
        <v>4685</v>
      </c>
      <c r="BA32" s="11">
        <f t="shared" si="51"/>
        <v>4685</v>
      </c>
      <c r="BB32" s="11">
        <f t="shared" si="51"/>
        <v>4685</v>
      </c>
      <c r="BC32" s="11">
        <f t="shared" si="51"/>
        <v>4685</v>
      </c>
      <c r="BD32" s="11">
        <f t="shared" si="51"/>
        <v>4685</v>
      </c>
      <c r="BE32" s="11">
        <f t="shared" si="51"/>
        <v>4685</v>
      </c>
      <c r="BF32" s="11">
        <f t="shared" si="51"/>
        <v>4685</v>
      </c>
      <c r="BG32" s="11">
        <f t="shared" si="51"/>
        <v>4685</v>
      </c>
      <c r="BH32" s="12"/>
      <c r="BI32" s="11">
        <f>BG32</f>
        <v>4685</v>
      </c>
      <c r="BJ32" s="11">
        <f t="shared" ref="BJ32:BT32" si="52">BI32</f>
        <v>4685</v>
      </c>
      <c r="BK32" s="11">
        <f t="shared" si="52"/>
        <v>4685</v>
      </c>
      <c r="BL32" s="11">
        <f t="shared" si="52"/>
        <v>4685</v>
      </c>
      <c r="BM32" s="11">
        <f t="shared" si="52"/>
        <v>4685</v>
      </c>
      <c r="BN32" s="11">
        <f t="shared" si="52"/>
        <v>4685</v>
      </c>
      <c r="BO32" s="11">
        <f t="shared" si="52"/>
        <v>4685</v>
      </c>
      <c r="BP32" s="11">
        <f t="shared" si="52"/>
        <v>4685</v>
      </c>
      <c r="BQ32" s="11">
        <f t="shared" si="52"/>
        <v>4685</v>
      </c>
      <c r="BR32" s="11">
        <f t="shared" si="52"/>
        <v>4685</v>
      </c>
      <c r="BS32" s="11">
        <f t="shared" si="52"/>
        <v>4685</v>
      </c>
      <c r="BT32" s="11">
        <f t="shared" si="52"/>
        <v>4685</v>
      </c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</row>
    <row r="33" spans="1:181" ht="15" x14ac:dyDescent="0.25">
      <c r="A33" s="9" t="s">
        <v>77</v>
      </c>
      <c r="B33" s="9" t="s">
        <v>70</v>
      </c>
      <c r="C33" s="9" t="s">
        <v>53</v>
      </c>
      <c r="D33" s="9">
        <v>7</v>
      </c>
      <c r="E33" s="10" t="s">
        <v>15</v>
      </c>
      <c r="F33" s="9" t="s">
        <v>78</v>
      </c>
      <c r="G33" s="2">
        <v>2646</v>
      </c>
      <c r="H33" s="2">
        <v>1500</v>
      </c>
      <c r="I33" s="2">
        <v>0</v>
      </c>
      <c r="J33" s="3">
        <v>1323</v>
      </c>
      <c r="K33" s="2">
        <f t="shared" si="45"/>
        <v>4146</v>
      </c>
      <c r="L33" s="3"/>
      <c r="M33" s="3"/>
      <c r="N33" s="3"/>
      <c r="O33" s="3"/>
      <c r="P33" s="3"/>
      <c r="Q33" s="3"/>
      <c r="R33" s="3"/>
      <c r="S33" s="3"/>
      <c r="T33" s="3"/>
      <c r="U33" s="4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11"/>
      <c r="AH33" s="4"/>
      <c r="AI33" s="11"/>
      <c r="AJ33" s="11"/>
      <c r="AK33" s="11"/>
      <c r="AL33" s="3">
        <v>1260</v>
      </c>
      <c r="AM33" s="3">
        <v>1260</v>
      </c>
      <c r="AN33" s="3">
        <v>1260</v>
      </c>
      <c r="AO33" s="3">
        <v>1260</v>
      </c>
      <c r="AP33" s="3">
        <v>1260</v>
      </c>
      <c r="AQ33" s="3">
        <v>1260</v>
      </c>
      <c r="AR33" s="3">
        <v>1260</v>
      </c>
      <c r="AS33" s="3">
        <v>1260</v>
      </c>
      <c r="AT33" s="3">
        <v>1260</v>
      </c>
      <c r="AU33" s="4"/>
      <c r="AV33" s="3">
        <v>1260</v>
      </c>
      <c r="AW33" s="3">
        <v>1260</v>
      </c>
      <c r="AX33" s="11">
        <v>1260</v>
      </c>
      <c r="AY33" s="11">
        <v>1260</v>
      </c>
      <c r="AZ33" s="3">
        <v>1323</v>
      </c>
      <c r="BA33" s="3">
        <v>1323</v>
      </c>
      <c r="BB33" s="3">
        <v>1323</v>
      </c>
      <c r="BC33" s="3">
        <v>1323</v>
      </c>
      <c r="BD33" s="3">
        <v>1323</v>
      </c>
      <c r="BE33" s="3">
        <v>1323</v>
      </c>
      <c r="BF33" s="3">
        <v>1323</v>
      </c>
      <c r="BG33" s="3">
        <v>1323</v>
      </c>
      <c r="BH33" s="12"/>
      <c r="BI33" s="3">
        <v>1323</v>
      </c>
      <c r="BJ33" s="3">
        <v>1323</v>
      </c>
      <c r="BK33" s="3">
        <v>1323</v>
      </c>
      <c r="BL33" s="3">
        <v>1323</v>
      </c>
      <c r="BM33" s="11">
        <f t="shared" ref="BM33:BT33" si="53">BL33</f>
        <v>1323</v>
      </c>
      <c r="BN33" s="11">
        <f t="shared" si="53"/>
        <v>1323</v>
      </c>
      <c r="BO33" s="11">
        <f t="shared" si="53"/>
        <v>1323</v>
      </c>
      <c r="BP33" s="11">
        <f t="shared" si="53"/>
        <v>1323</v>
      </c>
      <c r="BQ33" s="11">
        <f t="shared" si="53"/>
        <v>1323</v>
      </c>
      <c r="BR33" s="11">
        <f t="shared" si="53"/>
        <v>1323</v>
      </c>
      <c r="BS33" s="11">
        <f t="shared" si="53"/>
        <v>1323</v>
      </c>
      <c r="BT33" s="11">
        <f t="shared" si="53"/>
        <v>1323</v>
      </c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</row>
    <row r="34" spans="1:181" ht="15" x14ac:dyDescent="0.25">
      <c r="A34" s="9" t="s">
        <v>79</v>
      </c>
      <c r="B34" s="9" t="s">
        <v>70</v>
      </c>
      <c r="C34" s="9" t="s">
        <v>50</v>
      </c>
      <c r="D34" s="9">
        <v>10</v>
      </c>
      <c r="E34" s="10" t="s">
        <v>15</v>
      </c>
      <c r="F34" s="9" t="s">
        <v>80</v>
      </c>
      <c r="G34" s="2">
        <v>6300</v>
      </c>
      <c r="H34" s="2">
        <v>1500</v>
      </c>
      <c r="I34" s="2">
        <v>0</v>
      </c>
      <c r="J34" s="11">
        <v>3150</v>
      </c>
      <c r="K34" s="2">
        <f t="shared" si="45"/>
        <v>7800</v>
      </c>
      <c r="L34" s="3">
        <v>3000</v>
      </c>
      <c r="M34" s="3">
        <v>3000</v>
      </c>
      <c r="N34" s="3">
        <v>3000</v>
      </c>
      <c r="O34" s="3">
        <v>3000</v>
      </c>
      <c r="P34" s="3">
        <v>3000</v>
      </c>
      <c r="Q34" s="3">
        <v>3000</v>
      </c>
      <c r="R34" s="3">
        <v>3000</v>
      </c>
      <c r="S34" s="3">
        <v>3000</v>
      </c>
      <c r="T34" s="3">
        <v>3000</v>
      </c>
      <c r="U34" s="4"/>
      <c r="V34" s="3">
        <v>3000</v>
      </c>
      <c r="W34" s="3">
        <v>3000</v>
      </c>
      <c r="X34" s="3">
        <v>3000</v>
      </c>
      <c r="Y34" s="3">
        <v>3000</v>
      </c>
      <c r="Z34" s="3">
        <v>3000</v>
      </c>
      <c r="AA34" s="3">
        <v>3000</v>
      </c>
      <c r="AB34" s="3">
        <v>3000</v>
      </c>
      <c r="AC34" s="3">
        <v>3000</v>
      </c>
      <c r="AD34" s="3">
        <v>3000</v>
      </c>
      <c r="AE34" s="3">
        <v>3000</v>
      </c>
      <c r="AF34" s="3">
        <v>3000</v>
      </c>
      <c r="AG34" s="3">
        <v>3000</v>
      </c>
      <c r="AH34" s="4"/>
      <c r="AI34" s="3">
        <v>3000</v>
      </c>
      <c r="AJ34" s="3">
        <v>3000</v>
      </c>
      <c r="AK34" s="3">
        <v>3150</v>
      </c>
      <c r="AL34" s="3">
        <v>3150</v>
      </c>
      <c r="AM34" s="3">
        <v>3150</v>
      </c>
      <c r="AN34" s="3">
        <v>3150</v>
      </c>
      <c r="AO34" s="3">
        <v>3150</v>
      </c>
      <c r="AP34" s="3">
        <v>3150</v>
      </c>
      <c r="AQ34" s="3">
        <v>3150</v>
      </c>
      <c r="AR34" s="3">
        <v>3150</v>
      </c>
      <c r="AS34" s="3">
        <v>3150</v>
      </c>
      <c r="AT34" s="3">
        <v>3150</v>
      </c>
      <c r="AU34" s="4"/>
      <c r="AV34" s="3">
        <v>3150</v>
      </c>
      <c r="AW34" s="3">
        <v>3150</v>
      </c>
      <c r="AX34" s="11">
        <f t="shared" ref="AX34:BG34" si="54">AW34</f>
        <v>3150</v>
      </c>
      <c r="AY34" s="11">
        <f t="shared" si="54"/>
        <v>3150</v>
      </c>
      <c r="AZ34" s="11">
        <f t="shared" si="54"/>
        <v>3150</v>
      </c>
      <c r="BA34" s="11">
        <f t="shared" si="54"/>
        <v>3150</v>
      </c>
      <c r="BB34" s="11">
        <f t="shared" si="54"/>
        <v>3150</v>
      </c>
      <c r="BC34" s="11">
        <f t="shared" si="54"/>
        <v>3150</v>
      </c>
      <c r="BD34" s="11">
        <f t="shared" si="54"/>
        <v>3150</v>
      </c>
      <c r="BE34" s="11">
        <f t="shared" si="54"/>
        <v>3150</v>
      </c>
      <c r="BF34" s="11">
        <f t="shared" si="54"/>
        <v>3150</v>
      </c>
      <c r="BG34" s="11">
        <f t="shared" si="54"/>
        <v>3150</v>
      </c>
      <c r="BH34" s="12"/>
      <c r="BI34" s="11">
        <f>BG34</f>
        <v>3150</v>
      </c>
      <c r="BJ34" s="11">
        <f t="shared" ref="BJ34:BT34" si="55">BI34</f>
        <v>3150</v>
      </c>
      <c r="BK34" s="11">
        <f t="shared" si="55"/>
        <v>3150</v>
      </c>
      <c r="BL34" s="11">
        <f t="shared" si="55"/>
        <v>3150</v>
      </c>
      <c r="BM34" s="11">
        <f t="shared" si="55"/>
        <v>3150</v>
      </c>
      <c r="BN34" s="11">
        <f t="shared" si="55"/>
        <v>3150</v>
      </c>
      <c r="BO34" s="11">
        <f t="shared" si="55"/>
        <v>3150</v>
      </c>
      <c r="BP34" s="11">
        <f t="shared" si="55"/>
        <v>3150</v>
      </c>
      <c r="BQ34" s="11">
        <f t="shared" si="55"/>
        <v>3150</v>
      </c>
      <c r="BR34" s="11">
        <f t="shared" si="55"/>
        <v>3150</v>
      </c>
      <c r="BS34" s="11">
        <f t="shared" si="55"/>
        <v>3150</v>
      </c>
      <c r="BT34" s="11">
        <f t="shared" si="55"/>
        <v>3150</v>
      </c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</row>
    <row r="35" spans="1:181" ht="15" x14ac:dyDescent="0.25">
      <c r="A35" s="9" t="s">
        <v>81</v>
      </c>
      <c r="B35" s="9" t="s">
        <v>70</v>
      </c>
      <c r="C35" s="9" t="s">
        <v>50</v>
      </c>
      <c r="D35" s="9">
        <v>8</v>
      </c>
      <c r="E35" s="9" t="s">
        <v>24</v>
      </c>
      <c r="F35" s="9" t="s">
        <v>82</v>
      </c>
      <c r="G35" s="2">
        <v>10450</v>
      </c>
      <c r="H35" s="2">
        <v>1500</v>
      </c>
      <c r="I35" s="2">
        <v>0</v>
      </c>
      <c r="J35" s="3">
        <v>5225</v>
      </c>
      <c r="K35" s="2">
        <f t="shared" si="45"/>
        <v>11950</v>
      </c>
      <c r="L35" s="3"/>
      <c r="M35" s="3"/>
      <c r="N35" s="3"/>
      <c r="O35" s="3"/>
      <c r="P35" s="3"/>
      <c r="Q35" s="3"/>
      <c r="R35" s="3"/>
      <c r="S35" s="3"/>
      <c r="T35" s="3"/>
      <c r="U35" s="4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11"/>
      <c r="AH35" s="4"/>
      <c r="AI35" s="3">
        <v>4750</v>
      </c>
      <c r="AJ35" s="3">
        <v>4750</v>
      </c>
      <c r="AK35" s="3">
        <v>4750</v>
      </c>
      <c r="AL35" s="3">
        <v>4750</v>
      </c>
      <c r="AM35" s="3">
        <v>4750</v>
      </c>
      <c r="AN35" s="3">
        <v>4750</v>
      </c>
      <c r="AO35" s="3">
        <v>4750</v>
      </c>
      <c r="AP35" s="3">
        <v>4750</v>
      </c>
      <c r="AQ35" s="3">
        <v>4750</v>
      </c>
      <c r="AR35" s="3">
        <v>4750</v>
      </c>
      <c r="AS35" s="3">
        <v>4750</v>
      </c>
      <c r="AT35" s="3">
        <v>4750</v>
      </c>
      <c r="AU35" s="4"/>
      <c r="AV35" s="3">
        <v>4750</v>
      </c>
      <c r="AW35" s="3">
        <v>4750</v>
      </c>
      <c r="AX35" s="3">
        <v>4750</v>
      </c>
      <c r="AY35" s="3">
        <v>4750</v>
      </c>
      <c r="AZ35" s="3">
        <v>4750</v>
      </c>
      <c r="BA35" s="3">
        <v>4750</v>
      </c>
      <c r="BB35" s="3">
        <v>4750</v>
      </c>
      <c r="BC35" s="3">
        <v>4750</v>
      </c>
      <c r="BD35" s="3">
        <v>4750</v>
      </c>
      <c r="BE35" s="3">
        <v>4750</v>
      </c>
      <c r="BF35" s="3">
        <v>4750</v>
      </c>
      <c r="BG35" s="3">
        <v>5225</v>
      </c>
      <c r="BH35" s="12"/>
      <c r="BI35" s="3">
        <v>5225</v>
      </c>
      <c r="BJ35" s="3">
        <v>5225</v>
      </c>
      <c r="BK35" s="3">
        <v>5225</v>
      </c>
      <c r="BL35" s="3">
        <v>5225</v>
      </c>
      <c r="BM35" s="3">
        <v>5225</v>
      </c>
      <c r="BN35" s="3">
        <v>5225</v>
      </c>
      <c r="BO35" s="3">
        <v>5225</v>
      </c>
      <c r="BP35" s="3">
        <v>5225</v>
      </c>
      <c r="BQ35" s="3">
        <v>5225</v>
      </c>
      <c r="BR35" s="3">
        <v>5225</v>
      </c>
      <c r="BS35" s="3">
        <v>5225</v>
      </c>
      <c r="BT35" s="3">
        <v>5225</v>
      </c>
      <c r="BU35" s="3"/>
      <c r="BV35" s="3">
        <v>5225</v>
      </c>
      <c r="BW35" s="3">
        <v>5225</v>
      </c>
      <c r="BX35" s="3">
        <v>5225</v>
      </c>
      <c r="BY35" s="3">
        <v>5225</v>
      </c>
      <c r="BZ35" s="3">
        <v>5225</v>
      </c>
      <c r="CA35" s="3">
        <v>5225</v>
      </c>
      <c r="CB35" s="3">
        <v>5225</v>
      </c>
      <c r="CC35" s="3">
        <v>5225</v>
      </c>
      <c r="CD35" s="3">
        <v>5225</v>
      </c>
      <c r="CE35" s="3">
        <v>5225</v>
      </c>
      <c r="CF35" s="3">
        <v>5225</v>
      </c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</row>
    <row r="36" spans="1:181" ht="15" x14ac:dyDescent="0.25">
      <c r="A36" s="9" t="s">
        <v>83</v>
      </c>
      <c r="B36" s="9" t="s">
        <v>70</v>
      </c>
      <c r="C36" s="9" t="s">
        <v>53</v>
      </c>
      <c r="D36" s="9">
        <v>8</v>
      </c>
      <c r="E36" s="9" t="s">
        <v>24</v>
      </c>
      <c r="F36" s="9" t="s">
        <v>82</v>
      </c>
      <c r="G36" s="2">
        <v>2772</v>
      </c>
      <c r="H36" s="2">
        <v>1500</v>
      </c>
      <c r="I36" s="2">
        <v>0</v>
      </c>
      <c r="J36" s="3">
        <v>1260</v>
      </c>
      <c r="K36" s="2">
        <f t="shared" si="45"/>
        <v>4272</v>
      </c>
      <c r="L36" s="3"/>
      <c r="M36" s="3"/>
      <c r="N36" s="3"/>
      <c r="O36" s="3"/>
      <c r="P36" s="3"/>
      <c r="Q36" s="3"/>
      <c r="R36" s="3"/>
      <c r="S36" s="3"/>
      <c r="T36" s="3"/>
      <c r="U36" s="4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11"/>
      <c r="AH36" s="4"/>
      <c r="AI36" s="3"/>
      <c r="AJ36" s="3"/>
      <c r="AK36" s="3"/>
      <c r="AL36" s="3">
        <v>1260</v>
      </c>
      <c r="AM36" s="3">
        <v>1260</v>
      </c>
      <c r="AN36" s="3">
        <v>1260</v>
      </c>
      <c r="AO36" s="3">
        <v>1260</v>
      </c>
      <c r="AP36" s="3">
        <v>1260</v>
      </c>
      <c r="AQ36" s="3">
        <v>1260</v>
      </c>
      <c r="AR36" s="3">
        <v>1260</v>
      </c>
      <c r="AS36" s="3">
        <v>1260</v>
      </c>
      <c r="AT36" s="3">
        <v>1260</v>
      </c>
      <c r="AU36" s="4"/>
      <c r="AV36" s="3">
        <v>1260</v>
      </c>
      <c r="AW36" s="3">
        <v>1260</v>
      </c>
      <c r="AX36" s="3">
        <v>1260</v>
      </c>
      <c r="AY36" s="3">
        <v>1260</v>
      </c>
      <c r="AZ36" s="3">
        <v>1260</v>
      </c>
      <c r="BA36" s="3">
        <v>1260</v>
      </c>
      <c r="BB36" s="3">
        <v>1260</v>
      </c>
      <c r="BC36" s="3">
        <v>1260</v>
      </c>
      <c r="BD36" s="3">
        <v>1260</v>
      </c>
      <c r="BE36" s="3">
        <v>1260</v>
      </c>
      <c r="BF36" s="3">
        <v>1260</v>
      </c>
      <c r="BG36" s="3">
        <v>1260</v>
      </c>
      <c r="BH36" s="12"/>
      <c r="BI36" s="3">
        <v>1260</v>
      </c>
      <c r="BJ36" s="3">
        <v>1260</v>
      </c>
      <c r="BK36" s="3">
        <v>1386</v>
      </c>
      <c r="BL36" s="3">
        <v>1386</v>
      </c>
      <c r="BM36" s="3">
        <v>1386</v>
      </c>
      <c r="BN36" s="3">
        <v>1386</v>
      </c>
      <c r="BO36" s="3">
        <v>1386</v>
      </c>
      <c r="BP36" s="3">
        <v>1386</v>
      </c>
      <c r="BQ36" s="3">
        <v>1386</v>
      </c>
      <c r="BR36" s="3">
        <v>1386</v>
      </c>
      <c r="BS36" s="3">
        <v>1386</v>
      </c>
      <c r="BT36" s="3">
        <v>1386</v>
      </c>
      <c r="BU36" s="3"/>
      <c r="BV36" s="3">
        <v>1386</v>
      </c>
      <c r="BW36" s="3">
        <v>1386</v>
      </c>
      <c r="BX36" s="3">
        <v>1386</v>
      </c>
      <c r="BY36" s="3">
        <v>1386</v>
      </c>
      <c r="BZ36" s="3">
        <v>1386</v>
      </c>
      <c r="CA36" s="3">
        <v>1386</v>
      </c>
      <c r="CB36" s="3">
        <v>1386</v>
      </c>
      <c r="CC36" s="3">
        <v>1386</v>
      </c>
      <c r="CD36" s="3">
        <v>1386</v>
      </c>
      <c r="CE36" s="3">
        <v>1386</v>
      </c>
      <c r="CF36" s="3">
        <v>1386</v>
      </c>
      <c r="CG36" s="3">
        <v>1386</v>
      </c>
      <c r="CH36" s="3">
        <v>1386</v>
      </c>
      <c r="CI36" s="3">
        <v>1386</v>
      </c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</row>
    <row r="37" spans="1:181" ht="15" x14ac:dyDescent="0.25">
      <c r="A37" s="9" t="s">
        <v>84</v>
      </c>
      <c r="B37" s="9" t="s">
        <v>70</v>
      </c>
      <c r="C37" s="9" t="s">
        <v>50</v>
      </c>
      <c r="D37" s="9">
        <v>4</v>
      </c>
      <c r="E37" s="9" t="s">
        <v>24</v>
      </c>
      <c r="F37" s="9" t="s">
        <v>85</v>
      </c>
      <c r="G37" s="2">
        <v>10720</v>
      </c>
      <c r="H37" s="2">
        <v>1500</v>
      </c>
      <c r="I37" s="2">
        <v>0</v>
      </c>
      <c r="J37" s="3">
        <v>5360</v>
      </c>
      <c r="K37" s="2">
        <f t="shared" si="45"/>
        <v>12220</v>
      </c>
      <c r="L37" s="3">
        <v>4630</v>
      </c>
      <c r="M37" s="3">
        <v>4630</v>
      </c>
      <c r="N37" s="3">
        <v>4630</v>
      </c>
      <c r="O37" s="3">
        <v>4630</v>
      </c>
      <c r="P37" s="3">
        <v>4630</v>
      </c>
      <c r="Q37" s="3">
        <v>4630</v>
      </c>
      <c r="R37" s="3">
        <v>4630</v>
      </c>
      <c r="S37" s="3">
        <v>4630</v>
      </c>
      <c r="T37" s="3">
        <v>4630</v>
      </c>
      <c r="U37" s="4"/>
      <c r="V37" s="3">
        <v>4630</v>
      </c>
      <c r="W37" s="3">
        <v>4630</v>
      </c>
      <c r="X37" s="3">
        <v>4630</v>
      </c>
      <c r="Y37" s="11">
        <f t="shared" ref="Y37:AB37" si="56">X37</f>
        <v>4630</v>
      </c>
      <c r="Z37" s="11">
        <f t="shared" si="56"/>
        <v>4630</v>
      </c>
      <c r="AA37" s="11">
        <f t="shared" si="56"/>
        <v>4630</v>
      </c>
      <c r="AB37" s="11">
        <f t="shared" si="56"/>
        <v>4630</v>
      </c>
      <c r="AC37" s="3">
        <v>4862</v>
      </c>
      <c r="AD37" s="3">
        <v>4862</v>
      </c>
      <c r="AE37" s="3">
        <v>4862</v>
      </c>
      <c r="AF37" s="3">
        <v>4862</v>
      </c>
      <c r="AG37" s="3">
        <v>4862</v>
      </c>
      <c r="AH37" s="4"/>
      <c r="AI37" s="3">
        <v>4862</v>
      </c>
      <c r="AJ37" s="3">
        <v>4862</v>
      </c>
      <c r="AK37" s="3">
        <v>4862</v>
      </c>
      <c r="AL37" s="3">
        <v>4862</v>
      </c>
      <c r="AM37" s="3">
        <v>4862</v>
      </c>
      <c r="AN37" s="3">
        <v>4862</v>
      </c>
      <c r="AO37" s="3">
        <v>4862</v>
      </c>
      <c r="AP37" s="11">
        <f t="shared" ref="AP37:AQ37" si="57">AO37</f>
        <v>4862</v>
      </c>
      <c r="AQ37" s="11">
        <f t="shared" si="57"/>
        <v>4862</v>
      </c>
      <c r="AR37" s="3">
        <v>5105</v>
      </c>
      <c r="AS37" s="3">
        <v>5105</v>
      </c>
      <c r="AT37" s="3">
        <v>5105</v>
      </c>
      <c r="AU37" s="4"/>
      <c r="AV37" s="3">
        <v>5105</v>
      </c>
      <c r="AW37" s="3">
        <v>5105</v>
      </c>
      <c r="AX37" s="3">
        <v>5105</v>
      </c>
      <c r="AY37" s="3">
        <v>5105</v>
      </c>
      <c r="AZ37" s="3">
        <v>5105</v>
      </c>
      <c r="BA37" s="3">
        <v>5105</v>
      </c>
      <c r="BB37" s="3">
        <v>5105</v>
      </c>
      <c r="BC37" s="3">
        <v>5105</v>
      </c>
      <c r="BD37" s="3">
        <v>5105</v>
      </c>
      <c r="BE37" s="3">
        <v>5360</v>
      </c>
      <c r="BF37" s="3">
        <v>5360</v>
      </c>
      <c r="BG37" s="3">
        <v>5360</v>
      </c>
      <c r="BH37" s="12"/>
      <c r="BI37" s="3">
        <v>5360</v>
      </c>
      <c r="BJ37" s="3">
        <v>5360</v>
      </c>
      <c r="BK37" s="3">
        <v>5360</v>
      </c>
      <c r="BL37" s="3">
        <v>5360</v>
      </c>
      <c r="BM37" s="3">
        <v>5360</v>
      </c>
      <c r="BN37" s="3">
        <v>5360</v>
      </c>
      <c r="BO37" s="3">
        <v>5360</v>
      </c>
      <c r="BP37" s="3">
        <v>5360</v>
      </c>
      <c r="BQ37" s="3">
        <v>5360</v>
      </c>
      <c r="BR37" s="3">
        <v>5628</v>
      </c>
      <c r="BS37" s="3">
        <v>5628</v>
      </c>
      <c r="BT37" s="3">
        <v>5628</v>
      </c>
      <c r="BU37" s="3"/>
      <c r="BV37" s="3">
        <v>5628</v>
      </c>
      <c r="BW37" s="3">
        <v>5628</v>
      </c>
      <c r="BX37" s="3">
        <v>5628</v>
      </c>
      <c r="BY37" s="3">
        <v>5628</v>
      </c>
      <c r="BZ37" s="3">
        <v>5628</v>
      </c>
      <c r="CA37" s="3">
        <v>5628</v>
      </c>
      <c r="CB37" s="3">
        <v>5628</v>
      </c>
      <c r="CC37" s="3">
        <v>5628</v>
      </c>
      <c r="CD37" s="3">
        <v>5628</v>
      </c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</row>
    <row r="38" spans="1:181" ht="15" x14ac:dyDescent="0.25">
      <c r="A38" s="9" t="s">
        <v>86</v>
      </c>
      <c r="B38" s="9" t="s">
        <v>70</v>
      </c>
      <c r="C38" s="9" t="s">
        <v>50</v>
      </c>
      <c r="D38" s="9">
        <v>7</v>
      </c>
      <c r="E38" s="9" t="s">
        <v>24</v>
      </c>
      <c r="F38" s="9" t="s">
        <v>87</v>
      </c>
      <c r="G38" s="2">
        <v>21000</v>
      </c>
      <c r="H38" s="2">
        <v>1500</v>
      </c>
      <c r="I38" s="2">
        <v>0</v>
      </c>
      <c r="J38" s="3">
        <v>3500</v>
      </c>
      <c r="K38" s="2">
        <f t="shared" si="45"/>
        <v>22500</v>
      </c>
      <c r="L38" s="3">
        <v>3200</v>
      </c>
      <c r="M38" s="3">
        <v>3200</v>
      </c>
      <c r="N38" s="3">
        <v>3200</v>
      </c>
      <c r="O38" s="3">
        <v>3200</v>
      </c>
      <c r="P38" s="3">
        <v>3200</v>
      </c>
      <c r="Q38" s="3">
        <v>3200</v>
      </c>
      <c r="R38" s="3">
        <v>3200</v>
      </c>
      <c r="S38" s="3">
        <v>3200</v>
      </c>
      <c r="T38" s="3">
        <v>3200</v>
      </c>
      <c r="U38" s="4"/>
      <c r="V38" s="3">
        <v>3200</v>
      </c>
      <c r="W38" s="3">
        <v>3200</v>
      </c>
      <c r="X38" s="3">
        <v>3200</v>
      </c>
      <c r="Y38" s="3">
        <v>3200</v>
      </c>
      <c r="Z38" s="3">
        <v>3200</v>
      </c>
      <c r="AA38" s="3">
        <v>3200</v>
      </c>
      <c r="AB38" s="3">
        <v>3200</v>
      </c>
      <c r="AC38" s="3">
        <v>3200</v>
      </c>
      <c r="AD38" s="3">
        <v>3200</v>
      </c>
      <c r="AE38" s="3">
        <v>3200</v>
      </c>
      <c r="AF38" s="3">
        <v>3200</v>
      </c>
      <c r="AG38" s="3">
        <v>3200</v>
      </c>
      <c r="AH38" s="4"/>
      <c r="AI38" s="3">
        <v>3200</v>
      </c>
      <c r="AJ38" s="3">
        <v>3200</v>
      </c>
      <c r="AK38" s="3">
        <v>3200</v>
      </c>
      <c r="AL38" s="3">
        <v>3200</v>
      </c>
      <c r="AM38" s="3">
        <v>3200</v>
      </c>
      <c r="AN38" s="3">
        <v>3200</v>
      </c>
      <c r="AO38" s="3">
        <v>3200</v>
      </c>
      <c r="AP38" s="3">
        <v>3200</v>
      </c>
      <c r="AQ38" s="3">
        <v>3200</v>
      </c>
      <c r="AR38" s="3">
        <v>3200</v>
      </c>
      <c r="AS38" s="3">
        <v>3200</v>
      </c>
      <c r="AT38" s="3">
        <v>3200</v>
      </c>
      <c r="AU38" s="4"/>
      <c r="AV38" s="3">
        <v>3200</v>
      </c>
      <c r="AW38" s="3">
        <v>3200</v>
      </c>
      <c r="AX38" s="3">
        <v>3200</v>
      </c>
      <c r="AY38" s="3">
        <v>3200</v>
      </c>
      <c r="AZ38" s="3">
        <v>3200</v>
      </c>
      <c r="BA38" s="3">
        <v>3200</v>
      </c>
      <c r="BB38" s="3">
        <v>3200</v>
      </c>
      <c r="BC38" s="3">
        <v>3500</v>
      </c>
      <c r="BD38" s="3">
        <v>3500</v>
      </c>
      <c r="BE38" s="3">
        <v>3500</v>
      </c>
      <c r="BF38" s="3">
        <v>3500</v>
      </c>
      <c r="BG38" s="3">
        <v>3500</v>
      </c>
      <c r="BH38" s="12"/>
      <c r="BI38" s="3">
        <v>3500</v>
      </c>
      <c r="BJ38" s="3">
        <v>3500</v>
      </c>
      <c r="BK38" s="3">
        <v>3500</v>
      </c>
      <c r="BL38" s="3">
        <v>3500</v>
      </c>
      <c r="BM38" s="3">
        <v>3500</v>
      </c>
      <c r="BN38" s="3">
        <v>3500</v>
      </c>
      <c r="BO38" s="3">
        <v>3500</v>
      </c>
      <c r="BP38" s="3">
        <v>3500</v>
      </c>
      <c r="BQ38" s="3">
        <v>3500</v>
      </c>
      <c r="BR38" s="3">
        <v>3500</v>
      </c>
      <c r="BS38" s="3">
        <v>3500</v>
      </c>
      <c r="BT38" s="3">
        <v>3500</v>
      </c>
      <c r="BU38" s="3"/>
      <c r="BV38" s="3">
        <v>3500</v>
      </c>
      <c r="BW38" s="3">
        <v>3500</v>
      </c>
      <c r="BX38" s="3">
        <v>3500</v>
      </c>
      <c r="BY38" s="3">
        <v>3500</v>
      </c>
      <c r="BZ38" s="3">
        <v>3500</v>
      </c>
      <c r="CA38" s="3">
        <v>3500</v>
      </c>
      <c r="CB38" s="3">
        <v>3500</v>
      </c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</row>
    <row r="39" spans="1:181" ht="15" x14ac:dyDescent="0.25">
      <c r="A39" s="9" t="s">
        <v>88</v>
      </c>
      <c r="B39" s="9" t="s">
        <v>70</v>
      </c>
      <c r="C39" s="9" t="s">
        <v>53</v>
      </c>
      <c r="D39" s="9">
        <v>6</v>
      </c>
      <c r="E39" s="9" t="s">
        <v>24</v>
      </c>
      <c r="F39" s="9" t="s">
        <v>89</v>
      </c>
      <c r="G39" s="2">
        <v>2818</v>
      </c>
      <c r="H39" s="2">
        <v>1500</v>
      </c>
      <c r="I39" s="2">
        <v>0</v>
      </c>
      <c r="J39" s="3">
        <v>1342</v>
      </c>
      <c r="K39" s="2">
        <f t="shared" si="45"/>
        <v>4318</v>
      </c>
      <c r="L39" s="11">
        <v>1189</v>
      </c>
      <c r="M39" s="11">
        <f t="shared" ref="M39:T39" si="58">L39</f>
        <v>1189</v>
      </c>
      <c r="N39" s="11">
        <f t="shared" si="58"/>
        <v>1189</v>
      </c>
      <c r="O39" s="11">
        <f t="shared" si="58"/>
        <v>1189</v>
      </c>
      <c r="P39" s="11">
        <f t="shared" si="58"/>
        <v>1189</v>
      </c>
      <c r="Q39" s="11">
        <f t="shared" si="58"/>
        <v>1189</v>
      </c>
      <c r="R39" s="11">
        <f t="shared" si="58"/>
        <v>1189</v>
      </c>
      <c r="S39" s="11">
        <f t="shared" si="58"/>
        <v>1189</v>
      </c>
      <c r="T39" s="3">
        <f t="shared" si="58"/>
        <v>1189</v>
      </c>
      <c r="U39" s="4"/>
      <c r="V39" s="3">
        <f>T39</f>
        <v>1189</v>
      </c>
      <c r="W39" s="3">
        <f t="shared" ref="W39:AG39" si="59">V39</f>
        <v>1189</v>
      </c>
      <c r="X39" s="3">
        <f t="shared" si="59"/>
        <v>1189</v>
      </c>
      <c r="Y39" s="3">
        <f t="shared" si="59"/>
        <v>1189</v>
      </c>
      <c r="Z39" s="3">
        <f t="shared" si="59"/>
        <v>1189</v>
      </c>
      <c r="AA39" s="3">
        <f t="shared" si="59"/>
        <v>1189</v>
      </c>
      <c r="AB39" s="3">
        <f t="shared" si="59"/>
        <v>1189</v>
      </c>
      <c r="AC39" s="3">
        <f t="shared" si="59"/>
        <v>1189</v>
      </c>
      <c r="AD39" s="3">
        <f t="shared" si="59"/>
        <v>1189</v>
      </c>
      <c r="AE39" s="3">
        <f t="shared" si="59"/>
        <v>1189</v>
      </c>
      <c r="AF39" s="3">
        <f t="shared" si="59"/>
        <v>1189</v>
      </c>
      <c r="AG39" s="11">
        <f t="shared" si="59"/>
        <v>1189</v>
      </c>
      <c r="AH39" s="4"/>
      <c r="AI39" s="11">
        <f>AG39</f>
        <v>1189</v>
      </c>
      <c r="AJ39" s="11">
        <f>AI39</f>
        <v>1189</v>
      </c>
      <c r="AK39" s="3">
        <v>1278</v>
      </c>
      <c r="AL39" s="3">
        <v>1278</v>
      </c>
      <c r="AM39" s="3">
        <v>1278</v>
      </c>
      <c r="AN39" s="3">
        <v>1278</v>
      </c>
      <c r="AO39" s="3">
        <v>1278</v>
      </c>
      <c r="AP39" s="3">
        <v>1278</v>
      </c>
      <c r="AQ39" s="3">
        <v>1278</v>
      </c>
      <c r="AR39" s="3">
        <v>1278</v>
      </c>
      <c r="AS39" s="3">
        <v>1278</v>
      </c>
      <c r="AT39" s="3">
        <v>1278</v>
      </c>
      <c r="AU39" s="4"/>
      <c r="AV39" s="3">
        <v>1278</v>
      </c>
      <c r="AW39" s="3">
        <v>1278</v>
      </c>
      <c r="AX39" s="11">
        <f t="shared" ref="AX39:AY39" si="60">AW39</f>
        <v>1278</v>
      </c>
      <c r="AY39" s="11">
        <f t="shared" si="60"/>
        <v>1278</v>
      </c>
      <c r="AZ39" s="3">
        <v>1342</v>
      </c>
      <c r="BA39" s="3">
        <v>1342</v>
      </c>
      <c r="BB39" s="3">
        <v>1342</v>
      </c>
      <c r="BC39" s="3">
        <v>1342</v>
      </c>
      <c r="BD39" s="3">
        <v>1342</v>
      </c>
      <c r="BE39" s="3">
        <v>1342</v>
      </c>
      <c r="BF39" s="3">
        <v>1342</v>
      </c>
      <c r="BG39" s="3">
        <v>1342</v>
      </c>
      <c r="BH39" s="12"/>
      <c r="BI39" s="3">
        <v>1342</v>
      </c>
      <c r="BJ39" s="3">
        <v>1342</v>
      </c>
      <c r="BK39" s="3">
        <v>1342</v>
      </c>
      <c r="BL39" s="3">
        <v>1342</v>
      </c>
      <c r="BM39" s="3">
        <v>1409</v>
      </c>
      <c r="BN39" s="3">
        <v>1409</v>
      </c>
      <c r="BO39" s="3">
        <v>1409</v>
      </c>
      <c r="BP39" s="3">
        <v>1409</v>
      </c>
      <c r="BQ39" s="3">
        <v>1409</v>
      </c>
      <c r="BR39" s="3">
        <v>1409</v>
      </c>
      <c r="BS39" s="3">
        <v>1409</v>
      </c>
      <c r="BT39" s="3">
        <v>1409</v>
      </c>
      <c r="BU39" s="3"/>
      <c r="BV39" s="3">
        <v>1409</v>
      </c>
      <c r="BW39" s="3">
        <v>1409</v>
      </c>
      <c r="BX39" s="3">
        <v>1409</v>
      </c>
      <c r="BY39" s="3">
        <v>1409</v>
      </c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</row>
    <row r="40" spans="1:181" ht="15" x14ac:dyDescent="0.25">
      <c r="G40" s="2"/>
      <c r="H40" s="2"/>
      <c r="I40" s="2"/>
      <c r="J40" s="3"/>
      <c r="K40" s="2"/>
      <c r="L40" s="11"/>
      <c r="M40" s="11"/>
      <c r="N40" s="11"/>
      <c r="O40" s="3"/>
      <c r="P40" s="11"/>
      <c r="Q40" s="3"/>
      <c r="R40" s="3"/>
      <c r="S40" s="3"/>
      <c r="T40" s="3"/>
      <c r="U40" s="4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4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4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12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</row>
    <row r="41" spans="1:181" ht="15" x14ac:dyDescent="0.25">
      <c r="A41" s="10" t="s">
        <v>90</v>
      </c>
      <c r="B41" s="10" t="s">
        <v>91</v>
      </c>
      <c r="C41" s="10" t="s">
        <v>50</v>
      </c>
      <c r="D41" s="10">
        <v>9</v>
      </c>
      <c r="E41" s="9" t="s">
        <v>24</v>
      </c>
      <c r="F41" s="9" t="s">
        <v>22</v>
      </c>
      <c r="G41" s="2">
        <v>10882</v>
      </c>
      <c r="H41" s="2">
        <v>1500</v>
      </c>
      <c r="I41" s="2">
        <v>0</v>
      </c>
      <c r="J41" s="3">
        <v>5182</v>
      </c>
      <c r="K41" s="2">
        <f t="shared" ref="K41:K66" si="61">SUM(G41:I41)</f>
        <v>12382</v>
      </c>
      <c r="L41" s="3">
        <v>4700</v>
      </c>
      <c r="M41" s="3">
        <v>4700</v>
      </c>
      <c r="N41" s="3">
        <v>4700</v>
      </c>
      <c r="O41" s="3">
        <v>4700</v>
      </c>
      <c r="P41" s="3">
        <v>4700</v>
      </c>
      <c r="Q41" s="3">
        <v>4700</v>
      </c>
      <c r="R41" s="11">
        <f t="shared" ref="R41:T41" si="62">Q41</f>
        <v>4700</v>
      </c>
      <c r="S41" s="11">
        <f t="shared" si="62"/>
        <v>4700</v>
      </c>
      <c r="T41" s="11">
        <f t="shared" si="62"/>
        <v>4700</v>
      </c>
      <c r="U41" s="12"/>
      <c r="V41" s="11">
        <f t="shared" ref="V41:V43" si="63">T41</f>
        <v>4700</v>
      </c>
      <c r="W41" s="11">
        <f t="shared" ref="W41:Z41" si="64">V41</f>
        <v>4700</v>
      </c>
      <c r="X41" s="11">
        <f t="shared" si="64"/>
        <v>4700</v>
      </c>
      <c r="Y41" s="11">
        <f t="shared" si="64"/>
        <v>4700</v>
      </c>
      <c r="Z41" s="11">
        <f t="shared" si="64"/>
        <v>4700</v>
      </c>
      <c r="AA41" s="3">
        <v>4700</v>
      </c>
      <c r="AB41" s="3">
        <v>4700</v>
      </c>
      <c r="AC41" s="3">
        <v>4700</v>
      </c>
      <c r="AD41" s="3">
        <v>4700</v>
      </c>
      <c r="AE41" s="3">
        <v>4700</v>
      </c>
      <c r="AF41" s="3">
        <v>4700</v>
      </c>
      <c r="AG41" s="3">
        <v>4700</v>
      </c>
      <c r="AH41" s="4"/>
      <c r="AI41" s="3">
        <v>4700</v>
      </c>
      <c r="AJ41" s="3">
        <v>4700</v>
      </c>
      <c r="AK41" s="3">
        <v>4700</v>
      </c>
      <c r="AL41" s="3">
        <v>4700</v>
      </c>
      <c r="AM41" s="3">
        <v>4700</v>
      </c>
      <c r="AN41" s="3">
        <v>4935</v>
      </c>
      <c r="AO41" s="3">
        <v>4935</v>
      </c>
      <c r="AP41" s="3">
        <v>4935</v>
      </c>
      <c r="AQ41" s="3">
        <v>4935</v>
      </c>
      <c r="AR41" s="3">
        <v>4935</v>
      </c>
      <c r="AS41" s="3">
        <v>4935</v>
      </c>
      <c r="AT41" s="3">
        <v>4935</v>
      </c>
      <c r="AU41" s="4"/>
      <c r="AV41" s="3">
        <v>4935</v>
      </c>
      <c r="AW41" s="3">
        <v>4935</v>
      </c>
      <c r="AX41" s="3">
        <v>4935</v>
      </c>
      <c r="AY41" s="3">
        <v>4935</v>
      </c>
      <c r="AZ41" s="3">
        <v>4935</v>
      </c>
      <c r="BA41" s="3">
        <v>5182</v>
      </c>
      <c r="BB41" s="3">
        <v>5182</v>
      </c>
      <c r="BC41" s="3">
        <v>5182</v>
      </c>
      <c r="BD41" s="3">
        <v>5182</v>
      </c>
      <c r="BE41" s="3">
        <v>5182</v>
      </c>
      <c r="BF41" s="3">
        <v>5182</v>
      </c>
      <c r="BG41" s="3">
        <v>5182</v>
      </c>
      <c r="BH41" s="12"/>
      <c r="BI41" s="3">
        <v>5182</v>
      </c>
      <c r="BJ41" s="3">
        <v>5182</v>
      </c>
      <c r="BK41" s="3">
        <v>5182</v>
      </c>
      <c r="BL41" s="3">
        <v>5182</v>
      </c>
      <c r="BM41" s="3">
        <v>5182</v>
      </c>
      <c r="BN41" s="3">
        <v>5441</v>
      </c>
      <c r="BO41" s="3">
        <v>5441</v>
      </c>
      <c r="BP41" s="3">
        <v>5441</v>
      </c>
      <c r="BQ41" s="3">
        <v>5441</v>
      </c>
      <c r="BR41" s="3">
        <v>5441</v>
      </c>
      <c r="BS41" s="3">
        <v>5441</v>
      </c>
      <c r="BT41" s="3">
        <v>5441</v>
      </c>
      <c r="BU41" s="3"/>
      <c r="BV41" s="3">
        <v>5441</v>
      </c>
      <c r="BW41" s="3">
        <v>5441</v>
      </c>
      <c r="BX41" s="3">
        <v>5441</v>
      </c>
      <c r="BY41" s="3">
        <v>5441</v>
      </c>
      <c r="BZ41" s="3">
        <v>5441</v>
      </c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</row>
    <row r="42" spans="1:181" ht="15" x14ac:dyDescent="0.25">
      <c r="A42" s="10" t="s">
        <v>92</v>
      </c>
      <c r="B42" s="10" t="s">
        <v>91</v>
      </c>
      <c r="C42" s="9" t="s">
        <v>73</v>
      </c>
      <c r="D42" s="10">
        <v>6</v>
      </c>
      <c r="E42" s="10" t="s">
        <v>15</v>
      </c>
      <c r="F42" s="9" t="s">
        <v>93</v>
      </c>
      <c r="G42" s="2">
        <v>10750</v>
      </c>
      <c r="H42" s="2">
        <v>1500</v>
      </c>
      <c r="I42" s="2">
        <v>0</v>
      </c>
      <c r="J42" s="11">
        <v>5375</v>
      </c>
      <c r="K42" s="2">
        <f t="shared" si="61"/>
        <v>12250</v>
      </c>
      <c r="L42" s="11">
        <v>5000</v>
      </c>
      <c r="M42" s="11">
        <f t="shared" ref="M42:T42" si="65">L42</f>
        <v>5000</v>
      </c>
      <c r="N42" s="11">
        <f t="shared" si="65"/>
        <v>5000</v>
      </c>
      <c r="O42" s="11">
        <f t="shared" si="65"/>
        <v>5000</v>
      </c>
      <c r="P42" s="11">
        <f t="shared" si="65"/>
        <v>5000</v>
      </c>
      <c r="Q42" s="11">
        <f t="shared" si="65"/>
        <v>5000</v>
      </c>
      <c r="R42" s="11">
        <f t="shared" si="65"/>
        <v>5000</v>
      </c>
      <c r="S42" s="11">
        <f t="shared" si="65"/>
        <v>5000</v>
      </c>
      <c r="T42" s="11">
        <f t="shared" si="65"/>
        <v>5000</v>
      </c>
      <c r="U42" s="12"/>
      <c r="V42" s="11">
        <f t="shared" si="63"/>
        <v>5000</v>
      </c>
      <c r="W42" s="11">
        <f t="shared" ref="W42:AB42" si="66">V42</f>
        <v>5000</v>
      </c>
      <c r="X42" s="11">
        <f t="shared" si="66"/>
        <v>5000</v>
      </c>
      <c r="Y42" s="11">
        <f t="shared" si="66"/>
        <v>5000</v>
      </c>
      <c r="Z42" s="11">
        <f t="shared" si="66"/>
        <v>5000</v>
      </c>
      <c r="AA42" s="11">
        <f t="shared" si="66"/>
        <v>5000</v>
      </c>
      <c r="AB42" s="11">
        <f t="shared" si="66"/>
        <v>5000</v>
      </c>
      <c r="AC42" s="3">
        <v>5375</v>
      </c>
      <c r="AD42" s="3">
        <v>5375</v>
      </c>
      <c r="AE42" s="3">
        <v>5375</v>
      </c>
      <c r="AF42" s="3">
        <v>5375</v>
      </c>
      <c r="AG42" s="3">
        <v>5375</v>
      </c>
      <c r="AH42" s="4"/>
      <c r="AI42" s="3">
        <v>5375</v>
      </c>
      <c r="AJ42" s="3">
        <v>5375</v>
      </c>
      <c r="AK42" s="3">
        <v>5375</v>
      </c>
      <c r="AL42" s="3">
        <v>5375</v>
      </c>
      <c r="AM42" s="3">
        <v>5375</v>
      </c>
      <c r="AN42" s="3">
        <v>5375</v>
      </c>
      <c r="AO42" s="3">
        <v>5375</v>
      </c>
      <c r="AP42" s="11">
        <f t="shared" ref="AP42:AT42" si="67">AO42</f>
        <v>5375</v>
      </c>
      <c r="AQ42" s="11">
        <f t="shared" si="67"/>
        <v>5375</v>
      </c>
      <c r="AR42" s="11">
        <f t="shared" si="67"/>
        <v>5375</v>
      </c>
      <c r="AS42" s="11">
        <f t="shared" si="67"/>
        <v>5375</v>
      </c>
      <c r="AT42" s="11">
        <f t="shared" si="67"/>
        <v>5375</v>
      </c>
      <c r="AU42" s="4"/>
      <c r="AV42" s="11">
        <f t="shared" ref="AV42:AV45" si="68">AT42</f>
        <v>5375</v>
      </c>
      <c r="AW42" s="11">
        <f t="shared" ref="AW42:BG42" si="69">AV42</f>
        <v>5375</v>
      </c>
      <c r="AX42" s="11">
        <f t="shared" si="69"/>
        <v>5375</v>
      </c>
      <c r="AY42" s="11">
        <f t="shared" si="69"/>
        <v>5375</v>
      </c>
      <c r="AZ42" s="11">
        <f t="shared" si="69"/>
        <v>5375</v>
      </c>
      <c r="BA42" s="11">
        <f t="shared" si="69"/>
        <v>5375</v>
      </c>
      <c r="BB42" s="11">
        <f t="shared" si="69"/>
        <v>5375</v>
      </c>
      <c r="BC42" s="11">
        <f t="shared" si="69"/>
        <v>5375</v>
      </c>
      <c r="BD42" s="11">
        <f t="shared" si="69"/>
        <v>5375</v>
      </c>
      <c r="BE42" s="11">
        <f t="shared" si="69"/>
        <v>5375</v>
      </c>
      <c r="BF42" s="11">
        <f t="shared" si="69"/>
        <v>5375</v>
      </c>
      <c r="BG42" s="11">
        <f t="shared" si="69"/>
        <v>5375</v>
      </c>
      <c r="BH42" s="12"/>
      <c r="BI42" s="11">
        <f t="shared" ref="BI42:BI45" si="70">BG42</f>
        <v>5375</v>
      </c>
      <c r="BJ42" s="11">
        <f t="shared" ref="BJ42:BT42" si="71">BI42</f>
        <v>5375</v>
      </c>
      <c r="BK42" s="11">
        <f t="shared" si="71"/>
        <v>5375</v>
      </c>
      <c r="BL42" s="11">
        <f t="shared" si="71"/>
        <v>5375</v>
      </c>
      <c r="BM42" s="11">
        <f t="shared" si="71"/>
        <v>5375</v>
      </c>
      <c r="BN42" s="11">
        <f t="shared" si="71"/>
        <v>5375</v>
      </c>
      <c r="BO42" s="11">
        <f t="shared" si="71"/>
        <v>5375</v>
      </c>
      <c r="BP42" s="11">
        <f t="shared" si="71"/>
        <v>5375</v>
      </c>
      <c r="BQ42" s="11">
        <f t="shared" si="71"/>
        <v>5375</v>
      </c>
      <c r="BR42" s="11">
        <f t="shared" si="71"/>
        <v>5375</v>
      </c>
      <c r="BS42" s="11">
        <f t="shared" si="71"/>
        <v>5375</v>
      </c>
      <c r="BT42" s="11">
        <f t="shared" si="71"/>
        <v>5375</v>
      </c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</row>
    <row r="43" spans="1:181" ht="15" x14ac:dyDescent="0.25">
      <c r="A43" s="10" t="s">
        <v>94</v>
      </c>
      <c r="B43" s="10" t="s">
        <v>91</v>
      </c>
      <c r="C43" s="10" t="s">
        <v>53</v>
      </c>
      <c r="D43" s="10">
        <v>8</v>
      </c>
      <c r="E43" s="10" t="s">
        <v>15</v>
      </c>
      <c r="F43" s="9" t="s">
        <v>95</v>
      </c>
      <c r="G43" s="2">
        <v>2520</v>
      </c>
      <c r="H43" s="2">
        <v>1500</v>
      </c>
      <c r="I43" s="2">
        <v>0</v>
      </c>
      <c r="J43" s="11">
        <v>1260</v>
      </c>
      <c r="K43" s="2">
        <f t="shared" si="61"/>
        <v>4020</v>
      </c>
      <c r="L43" s="11">
        <v>1260</v>
      </c>
      <c r="M43" s="11">
        <f t="shared" ref="M43:T43" si="72">L43</f>
        <v>1260</v>
      </c>
      <c r="N43" s="11">
        <f t="shared" si="72"/>
        <v>1260</v>
      </c>
      <c r="O43" s="11">
        <f t="shared" si="72"/>
        <v>1260</v>
      </c>
      <c r="P43" s="11">
        <f t="shared" si="72"/>
        <v>1260</v>
      </c>
      <c r="Q43" s="11">
        <f t="shared" si="72"/>
        <v>1260</v>
      </c>
      <c r="R43" s="11">
        <f t="shared" si="72"/>
        <v>1260</v>
      </c>
      <c r="S43" s="11">
        <f t="shared" si="72"/>
        <v>1260</v>
      </c>
      <c r="T43" s="11">
        <f t="shared" si="72"/>
        <v>1260</v>
      </c>
      <c r="U43" s="12"/>
      <c r="V43" s="11">
        <f t="shared" si="63"/>
        <v>1260</v>
      </c>
      <c r="W43" s="11">
        <f t="shared" ref="W43:AG43" si="73">V43</f>
        <v>1260</v>
      </c>
      <c r="X43" s="11">
        <f t="shared" si="73"/>
        <v>1260</v>
      </c>
      <c r="Y43" s="11">
        <f t="shared" si="73"/>
        <v>1260</v>
      </c>
      <c r="Z43" s="11">
        <f t="shared" si="73"/>
        <v>1260</v>
      </c>
      <c r="AA43" s="11">
        <f t="shared" si="73"/>
        <v>1260</v>
      </c>
      <c r="AB43" s="11">
        <f t="shared" si="73"/>
        <v>1260</v>
      </c>
      <c r="AC43" s="11">
        <f t="shared" si="73"/>
        <v>1260</v>
      </c>
      <c r="AD43" s="11">
        <f t="shared" si="73"/>
        <v>1260</v>
      </c>
      <c r="AE43" s="11">
        <f t="shared" si="73"/>
        <v>1260</v>
      </c>
      <c r="AF43" s="11">
        <f t="shared" si="73"/>
        <v>1260</v>
      </c>
      <c r="AG43" s="11">
        <f t="shared" si="73"/>
        <v>1260</v>
      </c>
      <c r="AH43" s="4"/>
      <c r="AI43" s="11">
        <f>AG43</f>
        <v>1260</v>
      </c>
      <c r="AJ43" s="11">
        <f t="shared" ref="AJ43:AT43" si="74">AI43</f>
        <v>1260</v>
      </c>
      <c r="AK43" s="11">
        <f t="shared" si="74"/>
        <v>1260</v>
      </c>
      <c r="AL43" s="11">
        <f t="shared" si="74"/>
        <v>1260</v>
      </c>
      <c r="AM43" s="11">
        <f t="shared" si="74"/>
        <v>1260</v>
      </c>
      <c r="AN43" s="11">
        <f t="shared" si="74"/>
        <v>1260</v>
      </c>
      <c r="AO43" s="11">
        <f t="shared" si="74"/>
        <v>1260</v>
      </c>
      <c r="AP43" s="11">
        <f t="shared" si="74"/>
        <v>1260</v>
      </c>
      <c r="AQ43" s="11">
        <f t="shared" si="74"/>
        <v>1260</v>
      </c>
      <c r="AR43" s="11">
        <f t="shared" si="74"/>
        <v>1260</v>
      </c>
      <c r="AS43" s="11">
        <f t="shared" si="74"/>
        <v>1260</v>
      </c>
      <c r="AT43" s="11">
        <f t="shared" si="74"/>
        <v>1260</v>
      </c>
      <c r="AU43" s="4"/>
      <c r="AV43" s="11">
        <f t="shared" si="68"/>
        <v>1260</v>
      </c>
      <c r="AW43" s="11">
        <f t="shared" ref="AW43:BG43" si="75">AV43</f>
        <v>1260</v>
      </c>
      <c r="AX43" s="11">
        <f t="shared" si="75"/>
        <v>1260</v>
      </c>
      <c r="AY43" s="11">
        <f t="shared" si="75"/>
        <v>1260</v>
      </c>
      <c r="AZ43" s="11">
        <f t="shared" si="75"/>
        <v>1260</v>
      </c>
      <c r="BA43" s="11">
        <f t="shared" si="75"/>
        <v>1260</v>
      </c>
      <c r="BB43" s="11">
        <f t="shared" si="75"/>
        <v>1260</v>
      </c>
      <c r="BC43" s="11">
        <f t="shared" si="75"/>
        <v>1260</v>
      </c>
      <c r="BD43" s="11">
        <f t="shared" si="75"/>
        <v>1260</v>
      </c>
      <c r="BE43" s="11">
        <f t="shared" si="75"/>
        <v>1260</v>
      </c>
      <c r="BF43" s="11">
        <f t="shared" si="75"/>
        <v>1260</v>
      </c>
      <c r="BG43" s="11">
        <f t="shared" si="75"/>
        <v>1260</v>
      </c>
      <c r="BH43" s="12"/>
      <c r="BI43" s="11">
        <f t="shared" si="70"/>
        <v>1260</v>
      </c>
      <c r="BJ43" s="11">
        <f t="shared" ref="BJ43:BT43" si="76">BI43</f>
        <v>1260</v>
      </c>
      <c r="BK43" s="11">
        <f t="shared" si="76"/>
        <v>1260</v>
      </c>
      <c r="BL43" s="11">
        <f t="shared" si="76"/>
        <v>1260</v>
      </c>
      <c r="BM43" s="11">
        <f t="shared" si="76"/>
        <v>1260</v>
      </c>
      <c r="BN43" s="11">
        <f t="shared" si="76"/>
        <v>1260</v>
      </c>
      <c r="BO43" s="11">
        <f t="shared" si="76"/>
        <v>1260</v>
      </c>
      <c r="BP43" s="11">
        <f t="shared" si="76"/>
        <v>1260</v>
      </c>
      <c r="BQ43" s="11">
        <f t="shared" si="76"/>
        <v>1260</v>
      </c>
      <c r="BR43" s="11">
        <f t="shared" si="76"/>
        <v>1260</v>
      </c>
      <c r="BS43" s="11">
        <f t="shared" si="76"/>
        <v>1260</v>
      </c>
      <c r="BT43" s="11">
        <f t="shared" si="76"/>
        <v>1260</v>
      </c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</row>
    <row r="44" spans="1:181" ht="15" x14ac:dyDescent="0.25">
      <c r="A44" s="10" t="s">
        <v>96</v>
      </c>
      <c r="B44" s="10" t="s">
        <v>91</v>
      </c>
      <c r="C44" s="10" t="s">
        <v>50</v>
      </c>
      <c r="D44" s="10">
        <v>8</v>
      </c>
      <c r="E44" s="10" t="s">
        <v>15</v>
      </c>
      <c r="F44" s="9" t="s">
        <v>97</v>
      </c>
      <c r="G44" s="2">
        <v>7392</v>
      </c>
      <c r="H44" s="2">
        <v>1500</v>
      </c>
      <c r="I44" s="2">
        <v>0</v>
      </c>
      <c r="J44" s="11">
        <v>3696</v>
      </c>
      <c r="K44" s="2">
        <f t="shared" si="61"/>
        <v>8892</v>
      </c>
      <c r="L44" s="3">
        <v>3520</v>
      </c>
      <c r="M44" s="3">
        <v>3520</v>
      </c>
      <c r="N44" s="3">
        <v>3520</v>
      </c>
      <c r="O44" s="3">
        <v>3520</v>
      </c>
      <c r="P44" s="3">
        <v>3520</v>
      </c>
      <c r="Q44" s="3">
        <v>3520</v>
      </c>
      <c r="R44" s="3">
        <v>3520</v>
      </c>
      <c r="S44" s="3">
        <v>3520</v>
      </c>
      <c r="T44" s="3">
        <v>3520</v>
      </c>
      <c r="U44" s="4"/>
      <c r="V44" s="3">
        <v>3520</v>
      </c>
      <c r="W44" s="3">
        <v>3520</v>
      </c>
      <c r="X44" s="3">
        <v>3520</v>
      </c>
      <c r="Y44" s="3">
        <v>3520</v>
      </c>
      <c r="Z44" s="3">
        <v>3520</v>
      </c>
      <c r="AA44" s="11">
        <f t="shared" ref="AA44:AB44" si="77">Z44</f>
        <v>3520</v>
      </c>
      <c r="AB44" s="11">
        <f t="shared" si="77"/>
        <v>3520</v>
      </c>
      <c r="AC44" s="3">
        <v>3696</v>
      </c>
      <c r="AD44" s="3">
        <v>3696</v>
      </c>
      <c r="AE44" s="3">
        <v>3696</v>
      </c>
      <c r="AF44" s="3">
        <v>3696</v>
      </c>
      <c r="AG44" s="3">
        <v>3696</v>
      </c>
      <c r="AH44" s="4"/>
      <c r="AI44" s="3">
        <v>3696</v>
      </c>
      <c r="AJ44" s="3">
        <v>3696</v>
      </c>
      <c r="AK44" s="3">
        <v>3696</v>
      </c>
      <c r="AL44" s="3">
        <v>3696</v>
      </c>
      <c r="AM44" s="3">
        <v>3696</v>
      </c>
      <c r="AN44" s="3">
        <v>3696</v>
      </c>
      <c r="AO44" s="3">
        <v>3696</v>
      </c>
      <c r="AP44" s="11">
        <f t="shared" ref="AP44:AT44" si="78">AO44</f>
        <v>3696</v>
      </c>
      <c r="AQ44" s="11">
        <f t="shared" si="78"/>
        <v>3696</v>
      </c>
      <c r="AR44" s="11">
        <f t="shared" si="78"/>
        <v>3696</v>
      </c>
      <c r="AS44" s="11">
        <f t="shared" si="78"/>
        <v>3696</v>
      </c>
      <c r="AT44" s="11">
        <f t="shared" si="78"/>
        <v>3696</v>
      </c>
      <c r="AU44" s="4"/>
      <c r="AV44" s="11">
        <f t="shared" si="68"/>
        <v>3696</v>
      </c>
      <c r="AW44" s="11">
        <f t="shared" ref="AW44:BG44" si="79">AV44</f>
        <v>3696</v>
      </c>
      <c r="AX44" s="11">
        <f t="shared" si="79"/>
        <v>3696</v>
      </c>
      <c r="AY44" s="11">
        <f t="shared" si="79"/>
        <v>3696</v>
      </c>
      <c r="AZ44" s="11">
        <f t="shared" si="79"/>
        <v>3696</v>
      </c>
      <c r="BA44" s="11">
        <f t="shared" si="79"/>
        <v>3696</v>
      </c>
      <c r="BB44" s="11">
        <f t="shared" si="79"/>
        <v>3696</v>
      </c>
      <c r="BC44" s="11">
        <f t="shared" si="79"/>
        <v>3696</v>
      </c>
      <c r="BD44" s="11">
        <f t="shared" si="79"/>
        <v>3696</v>
      </c>
      <c r="BE44" s="11">
        <f t="shared" si="79"/>
        <v>3696</v>
      </c>
      <c r="BF44" s="11">
        <f t="shared" si="79"/>
        <v>3696</v>
      </c>
      <c r="BG44" s="11">
        <f t="shared" si="79"/>
        <v>3696</v>
      </c>
      <c r="BH44" s="12"/>
      <c r="BI44" s="11">
        <f t="shared" si="70"/>
        <v>3696</v>
      </c>
      <c r="BJ44" s="11">
        <f t="shared" ref="BJ44:BT44" si="80">BI44</f>
        <v>3696</v>
      </c>
      <c r="BK44" s="11">
        <f t="shared" si="80"/>
        <v>3696</v>
      </c>
      <c r="BL44" s="11">
        <f t="shared" si="80"/>
        <v>3696</v>
      </c>
      <c r="BM44" s="11">
        <f t="shared" si="80"/>
        <v>3696</v>
      </c>
      <c r="BN44" s="11">
        <f t="shared" si="80"/>
        <v>3696</v>
      </c>
      <c r="BO44" s="11">
        <f t="shared" si="80"/>
        <v>3696</v>
      </c>
      <c r="BP44" s="11">
        <f t="shared" si="80"/>
        <v>3696</v>
      </c>
      <c r="BQ44" s="11">
        <f t="shared" si="80"/>
        <v>3696</v>
      </c>
      <c r="BR44" s="11">
        <f t="shared" si="80"/>
        <v>3696</v>
      </c>
      <c r="BS44" s="11">
        <f t="shared" si="80"/>
        <v>3696</v>
      </c>
      <c r="BT44" s="11">
        <f t="shared" si="80"/>
        <v>3696</v>
      </c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</row>
    <row r="45" spans="1:181" ht="15" x14ac:dyDescent="0.25">
      <c r="A45" s="9" t="s">
        <v>98</v>
      </c>
      <c r="B45" s="10" t="s">
        <v>91</v>
      </c>
      <c r="C45" s="9" t="s">
        <v>50</v>
      </c>
      <c r="D45" s="9">
        <v>8</v>
      </c>
      <c r="E45" s="10" t="s">
        <v>15</v>
      </c>
      <c r="F45" s="9" t="s">
        <v>99</v>
      </c>
      <c r="G45" s="2">
        <v>6000</v>
      </c>
      <c r="H45" s="2">
        <v>1500</v>
      </c>
      <c r="I45" s="2">
        <v>0</v>
      </c>
      <c r="J45" s="11">
        <v>3000</v>
      </c>
      <c r="K45" s="2">
        <f t="shared" si="61"/>
        <v>7500</v>
      </c>
      <c r="L45" s="3">
        <v>3000</v>
      </c>
      <c r="M45" s="3">
        <v>3000</v>
      </c>
      <c r="N45" s="3">
        <v>3000</v>
      </c>
      <c r="O45" s="3">
        <v>3000</v>
      </c>
      <c r="P45" s="3">
        <v>3000</v>
      </c>
      <c r="Q45" s="3">
        <v>3000</v>
      </c>
      <c r="R45" s="3">
        <v>3000</v>
      </c>
      <c r="S45" s="3">
        <v>3000</v>
      </c>
      <c r="T45" s="3">
        <v>3000</v>
      </c>
      <c r="U45" s="4"/>
      <c r="V45" s="3">
        <v>3000</v>
      </c>
      <c r="W45" s="11">
        <f t="shared" ref="W45:AG45" si="81">V45</f>
        <v>3000</v>
      </c>
      <c r="X45" s="11">
        <f t="shared" si="81"/>
        <v>3000</v>
      </c>
      <c r="Y45" s="11">
        <f t="shared" si="81"/>
        <v>3000</v>
      </c>
      <c r="Z45" s="11">
        <f t="shared" si="81"/>
        <v>3000</v>
      </c>
      <c r="AA45" s="11">
        <f t="shared" si="81"/>
        <v>3000</v>
      </c>
      <c r="AB45" s="11">
        <f t="shared" si="81"/>
        <v>3000</v>
      </c>
      <c r="AC45" s="11">
        <f t="shared" si="81"/>
        <v>3000</v>
      </c>
      <c r="AD45" s="11">
        <f t="shared" si="81"/>
        <v>3000</v>
      </c>
      <c r="AE45" s="11">
        <f t="shared" si="81"/>
        <v>3000</v>
      </c>
      <c r="AF45" s="11">
        <f t="shared" si="81"/>
        <v>3000</v>
      </c>
      <c r="AG45" s="11">
        <f t="shared" si="81"/>
        <v>3000</v>
      </c>
      <c r="AH45" s="4"/>
      <c r="AI45" s="11">
        <f>AG45</f>
        <v>3000</v>
      </c>
      <c r="AJ45" s="11">
        <f t="shared" ref="AJ45:AT45" si="82">AI45</f>
        <v>3000</v>
      </c>
      <c r="AK45" s="11">
        <f t="shared" si="82"/>
        <v>3000</v>
      </c>
      <c r="AL45" s="11">
        <f t="shared" si="82"/>
        <v>3000</v>
      </c>
      <c r="AM45" s="11">
        <f t="shared" si="82"/>
        <v>3000</v>
      </c>
      <c r="AN45" s="11">
        <f t="shared" si="82"/>
        <v>3000</v>
      </c>
      <c r="AO45" s="11">
        <f t="shared" si="82"/>
        <v>3000</v>
      </c>
      <c r="AP45" s="11">
        <f t="shared" si="82"/>
        <v>3000</v>
      </c>
      <c r="AQ45" s="11">
        <f t="shared" si="82"/>
        <v>3000</v>
      </c>
      <c r="AR45" s="11">
        <f t="shared" si="82"/>
        <v>3000</v>
      </c>
      <c r="AS45" s="11">
        <f t="shared" si="82"/>
        <v>3000</v>
      </c>
      <c r="AT45" s="11">
        <f t="shared" si="82"/>
        <v>3000</v>
      </c>
      <c r="AU45" s="4"/>
      <c r="AV45" s="11">
        <f t="shared" si="68"/>
        <v>3000</v>
      </c>
      <c r="AW45" s="11">
        <f t="shared" ref="AW45:BG45" si="83">AV45</f>
        <v>3000</v>
      </c>
      <c r="AX45" s="11">
        <f t="shared" si="83"/>
        <v>3000</v>
      </c>
      <c r="AY45" s="11">
        <f t="shared" si="83"/>
        <v>3000</v>
      </c>
      <c r="AZ45" s="11">
        <f t="shared" si="83"/>
        <v>3000</v>
      </c>
      <c r="BA45" s="11">
        <f t="shared" si="83"/>
        <v>3000</v>
      </c>
      <c r="BB45" s="11">
        <f t="shared" si="83"/>
        <v>3000</v>
      </c>
      <c r="BC45" s="11">
        <f t="shared" si="83"/>
        <v>3000</v>
      </c>
      <c r="BD45" s="11">
        <f t="shared" si="83"/>
        <v>3000</v>
      </c>
      <c r="BE45" s="11">
        <f t="shared" si="83"/>
        <v>3000</v>
      </c>
      <c r="BF45" s="11">
        <f t="shared" si="83"/>
        <v>3000</v>
      </c>
      <c r="BG45" s="11">
        <f t="shared" si="83"/>
        <v>3000</v>
      </c>
      <c r="BH45" s="12"/>
      <c r="BI45" s="11">
        <f t="shared" si="70"/>
        <v>3000</v>
      </c>
      <c r="BJ45" s="11">
        <f t="shared" ref="BJ45:BT45" si="84">BI45</f>
        <v>3000</v>
      </c>
      <c r="BK45" s="11">
        <f t="shared" si="84"/>
        <v>3000</v>
      </c>
      <c r="BL45" s="11">
        <f t="shared" si="84"/>
        <v>3000</v>
      </c>
      <c r="BM45" s="11">
        <f t="shared" si="84"/>
        <v>3000</v>
      </c>
      <c r="BN45" s="11">
        <f t="shared" si="84"/>
        <v>3000</v>
      </c>
      <c r="BO45" s="11">
        <f t="shared" si="84"/>
        <v>3000</v>
      </c>
      <c r="BP45" s="11">
        <f t="shared" si="84"/>
        <v>3000</v>
      </c>
      <c r="BQ45" s="11">
        <f t="shared" si="84"/>
        <v>3000</v>
      </c>
      <c r="BR45" s="11">
        <f t="shared" si="84"/>
        <v>3000</v>
      </c>
      <c r="BS45" s="11">
        <f t="shared" si="84"/>
        <v>3000</v>
      </c>
      <c r="BT45" s="11">
        <f t="shared" si="84"/>
        <v>3000</v>
      </c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</row>
    <row r="46" spans="1:181" ht="15" x14ac:dyDescent="0.25">
      <c r="A46" s="9" t="s">
        <v>100</v>
      </c>
      <c r="B46" s="10" t="s">
        <v>91</v>
      </c>
      <c r="C46" s="9" t="s">
        <v>53</v>
      </c>
      <c r="D46" s="9">
        <v>12</v>
      </c>
      <c r="E46" s="9" t="s">
        <v>24</v>
      </c>
      <c r="F46" s="9" t="s">
        <v>101</v>
      </c>
      <c r="G46" s="2">
        <v>3910</v>
      </c>
      <c r="H46" s="2">
        <v>1500</v>
      </c>
      <c r="I46" s="2">
        <v>0</v>
      </c>
      <c r="J46" s="3">
        <v>1955</v>
      </c>
      <c r="K46" s="2">
        <f t="shared" si="61"/>
        <v>5410</v>
      </c>
      <c r="L46" s="3"/>
      <c r="M46" s="3"/>
      <c r="N46" s="3"/>
      <c r="O46" s="3"/>
      <c r="P46" s="3"/>
      <c r="Q46" s="3"/>
      <c r="R46" s="3"/>
      <c r="S46" s="3"/>
      <c r="T46" s="3"/>
      <c r="U46" s="4"/>
      <c r="V46" s="3"/>
      <c r="W46" s="3"/>
      <c r="X46" s="3"/>
      <c r="Y46" s="3">
        <v>1700</v>
      </c>
      <c r="Z46" s="3">
        <v>1700</v>
      </c>
      <c r="AA46" s="3">
        <v>1700</v>
      </c>
      <c r="AB46" s="3">
        <v>1700</v>
      </c>
      <c r="AC46" s="3">
        <v>1700</v>
      </c>
      <c r="AD46" s="3">
        <v>1700</v>
      </c>
      <c r="AE46" s="3">
        <v>1700</v>
      </c>
      <c r="AF46" s="3">
        <v>1700</v>
      </c>
      <c r="AG46" s="3">
        <v>1700</v>
      </c>
      <c r="AH46" s="4"/>
      <c r="AI46" s="3">
        <v>1700</v>
      </c>
      <c r="AJ46" s="3">
        <v>1700</v>
      </c>
      <c r="AK46" s="3">
        <v>1700</v>
      </c>
      <c r="AL46" s="3">
        <v>1700</v>
      </c>
      <c r="AM46" s="3">
        <v>1700</v>
      </c>
      <c r="AN46" s="3">
        <v>1700</v>
      </c>
      <c r="AO46" s="3">
        <v>1700</v>
      </c>
      <c r="AP46" s="3">
        <v>1700</v>
      </c>
      <c r="AQ46" s="3">
        <v>1700</v>
      </c>
      <c r="AR46" s="3">
        <v>1700</v>
      </c>
      <c r="AS46" s="3">
        <v>1700</v>
      </c>
      <c r="AT46" s="3">
        <v>1700</v>
      </c>
      <c r="AU46" s="4"/>
      <c r="AV46" s="3">
        <v>1700</v>
      </c>
      <c r="AW46" s="3">
        <v>1700</v>
      </c>
      <c r="AX46" s="3">
        <v>1700</v>
      </c>
      <c r="AY46" s="3">
        <v>1700</v>
      </c>
      <c r="AZ46" s="3">
        <v>1700</v>
      </c>
      <c r="BA46" s="3">
        <v>1700</v>
      </c>
      <c r="BB46" s="3">
        <v>1700</v>
      </c>
      <c r="BC46" s="3">
        <v>1700</v>
      </c>
      <c r="BD46" s="3">
        <v>1700</v>
      </c>
      <c r="BE46" s="3">
        <v>1700</v>
      </c>
      <c r="BF46" s="3">
        <v>1700</v>
      </c>
      <c r="BG46" s="3">
        <v>1700</v>
      </c>
      <c r="BH46" s="12"/>
      <c r="BI46" s="3">
        <v>1955</v>
      </c>
      <c r="BJ46" s="3">
        <v>1955</v>
      </c>
      <c r="BK46" s="3">
        <v>1955</v>
      </c>
      <c r="BL46" s="3">
        <v>1955</v>
      </c>
      <c r="BM46" s="3">
        <v>1955</v>
      </c>
      <c r="BN46" s="3">
        <v>1955</v>
      </c>
      <c r="BO46" s="3">
        <v>1955</v>
      </c>
      <c r="BP46" s="3">
        <v>1955</v>
      </c>
      <c r="BQ46" s="3">
        <v>1955</v>
      </c>
      <c r="BR46" s="3">
        <v>1955</v>
      </c>
      <c r="BS46" s="3">
        <v>1955</v>
      </c>
      <c r="BT46" s="3">
        <v>1955</v>
      </c>
      <c r="BU46" s="3"/>
      <c r="BV46" s="3">
        <v>1955</v>
      </c>
      <c r="BW46" s="3">
        <v>1955</v>
      </c>
      <c r="BX46" s="3">
        <v>1955</v>
      </c>
      <c r="BY46" s="3">
        <v>1955</v>
      </c>
      <c r="BZ46" s="3">
        <v>1955</v>
      </c>
      <c r="CA46" s="3">
        <v>1955</v>
      </c>
      <c r="CB46" s="3">
        <v>1955</v>
      </c>
      <c r="CC46" s="3">
        <v>1955</v>
      </c>
      <c r="CD46" s="3">
        <v>1955</v>
      </c>
      <c r="CE46" s="3">
        <v>1955</v>
      </c>
      <c r="CF46" s="3">
        <v>1955</v>
      </c>
      <c r="CG46" s="3">
        <v>1955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</row>
    <row r="47" spans="1:181" ht="15" x14ac:dyDescent="0.25">
      <c r="A47" s="9" t="s">
        <v>102</v>
      </c>
      <c r="B47" s="10" t="s">
        <v>91</v>
      </c>
      <c r="C47" s="9" t="s">
        <v>50</v>
      </c>
      <c r="D47" s="9">
        <v>3</v>
      </c>
      <c r="E47" s="10" t="s">
        <v>15</v>
      </c>
      <c r="F47" s="9" t="s">
        <v>103</v>
      </c>
      <c r="G47" s="2">
        <v>7904</v>
      </c>
      <c r="H47" s="2">
        <v>1500</v>
      </c>
      <c r="I47" s="2">
        <v>0</v>
      </c>
      <c r="J47" s="3">
        <v>3952</v>
      </c>
      <c r="K47" s="2">
        <f t="shared" si="61"/>
        <v>9404</v>
      </c>
      <c r="L47" s="11">
        <v>3584.91</v>
      </c>
      <c r="M47" s="11">
        <f t="shared" ref="M47:Q47" si="85">L47</f>
        <v>3584.91</v>
      </c>
      <c r="N47" s="11">
        <f t="shared" si="85"/>
        <v>3584.91</v>
      </c>
      <c r="O47" s="11">
        <f t="shared" si="85"/>
        <v>3584.91</v>
      </c>
      <c r="P47" s="11">
        <f t="shared" si="85"/>
        <v>3584.91</v>
      </c>
      <c r="Q47" s="11">
        <f t="shared" si="85"/>
        <v>3584.91</v>
      </c>
      <c r="R47" s="3">
        <v>3585</v>
      </c>
      <c r="S47" s="3">
        <f t="shared" ref="S47:T47" si="86">R47</f>
        <v>3585</v>
      </c>
      <c r="T47" s="3">
        <f t="shared" si="86"/>
        <v>3585</v>
      </c>
      <c r="U47" s="4"/>
      <c r="V47" s="3">
        <f>T47</f>
        <v>3585</v>
      </c>
      <c r="W47" s="3">
        <f t="shared" ref="W47:AG47" si="87">V47</f>
        <v>3585</v>
      </c>
      <c r="X47" s="3">
        <f t="shared" si="87"/>
        <v>3585</v>
      </c>
      <c r="Y47" s="3">
        <f t="shared" si="87"/>
        <v>3585</v>
      </c>
      <c r="Z47" s="3">
        <f t="shared" si="87"/>
        <v>3585</v>
      </c>
      <c r="AA47" s="3">
        <f t="shared" si="87"/>
        <v>3585</v>
      </c>
      <c r="AB47" s="3">
        <f t="shared" si="87"/>
        <v>3585</v>
      </c>
      <c r="AC47" s="3">
        <f t="shared" si="87"/>
        <v>3585</v>
      </c>
      <c r="AD47" s="3">
        <f t="shared" si="87"/>
        <v>3585</v>
      </c>
      <c r="AE47" s="11">
        <f t="shared" si="87"/>
        <v>3585</v>
      </c>
      <c r="AF47" s="11">
        <f t="shared" si="87"/>
        <v>3585</v>
      </c>
      <c r="AG47" s="11">
        <f t="shared" si="87"/>
        <v>3585</v>
      </c>
      <c r="AH47" s="4"/>
      <c r="AI47" s="11">
        <f>AG47</f>
        <v>3585</v>
      </c>
      <c r="AJ47" s="11">
        <f t="shared" ref="AJ47:AM47" si="88">AI47</f>
        <v>3585</v>
      </c>
      <c r="AK47" s="11">
        <f t="shared" si="88"/>
        <v>3585</v>
      </c>
      <c r="AL47" s="11">
        <f t="shared" si="88"/>
        <v>3585</v>
      </c>
      <c r="AM47" s="11">
        <f t="shared" si="88"/>
        <v>3585</v>
      </c>
      <c r="AN47" s="3">
        <v>3764</v>
      </c>
      <c r="AO47" s="3">
        <v>3764</v>
      </c>
      <c r="AP47" s="3">
        <v>3764</v>
      </c>
      <c r="AQ47" s="3">
        <v>3764</v>
      </c>
      <c r="AR47" s="3">
        <v>3764</v>
      </c>
      <c r="AS47" s="3">
        <v>3764</v>
      </c>
      <c r="AT47" s="3">
        <v>3764</v>
      </c>
      <c r="AU47" s="4"/>
      <c r="AV47" s="3">
        <v>3764</v>
      </c>
      <c r="AW47" s="3">
        <v>3764</v>
      </c>
      <c r="AX47" s="3">
        <v>3764</v>
      </c>
      <c r="AY47" s="3">
        <v>3764</v>
      </c>
      <c r="AZ47" s="3">
        <v>3764</v>
      </c>
      <c r="BA47" s="3">
        <v>3952</v>
      </c>
      <c r="BB47" s="3">
        <v>3952</v>
      </c>
      <c r="BC47" s="3">
        <v>3952</v>
      </c>
      <c r="BD47" s="3">
        <v>3952</v>
      </c>
      <c r="BE47" s="3">
        <v>3952</v>
      </c>
      <c r="BF47" s="3">
        <v>3952</v>
      </c>
      <c r="BG47" s="3">
        <v>3952</v>
      </c>
      <c r="BH47" s="12"/>
      <c r="BI47" s="3">
        <v>3952</v>
      </c>
      <c r="BJ47" s="3">
        <v>3952</v>
      </c>
      <c r="BK47" s="3">
        <v>3952</v>
      </c>
      <c r="BL47" s="3">
        <v>3952</v>
      </c>
      <c r="BM47" s="3">
        <v>3952</v>
      </c>
      <c r="BN47" s="11">
        <f t="shared" ref="BN47:BT47" si="89">BM47</f>
        <v>3952</v>
      </c>
      <c r="BO47" s="11">
        <f t="shared" si="89"/>
        <v>3952</v>
      </c>
      <c r="BP47" s="11">
        <f t="shared" si="89"/>
        <v>3952</v>
      </c>
      <c r="BQ47" s="11">
        <f t="shared" si="89"/>
        <v>3952</v>
      </c>
      <c r="BR47" s="11">
        <f t="shared" si="89"/>
        <v>3952</v>
      </c>
      <c r="BS47" s="11">
        <f t="shared" si="89"/>
        <v>3952</v>
      </c>
      <c r="BT47" s="11">
        <f t="shared" si="89"/>
        <v>3952</v>
      </c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</row>
    <row r="48" spans="1:181" ht="15" x14ac:dyDescent="0.25">
      <c r="A48" s="9" t="s">
        <v>104</v>
      </c>
      <c r="B48" s="10" t="s">
        <v>91</v>
      </c>
      <c r="C48" s="9" t="s">
        <v>53</v>
      </c>
      <c r="D48" s="9">
        <v>9</v>
      </c>
      <c r="E48" s="9" t="s">
        <v>24</v>
      </c>
      <c r="F48" s="9" t="s">
        <v>105</v>
      </c>
      <c r="G48" s="2">
        <v>2646</v>
      </c>
      <c r="H48" s="2">
        <v>1500</v>
      </c>
      <c r="I48" s="2">
        <v>0</v>
      </c>
      <c r="J48" s="11">
        <v>1260</v>
      </c>
      <c r="K48" s="2">
        <f t="shared" si="61"/>
        <v>4146</v>
      </c>
      <c r="L48" s="11">
        <v>1260</v>
      </c>
      <c r="M48" s="11">
        <f t="shared" ref="M48:O48" si="90">L48</f>
        <v>1260</v>
      </c>
      <c r="N48" s="11">
        <f t="shared" si="90"/>
        <v>1260</v>
      </c>
      <c r="O48" s="11">
        <f t="shared" si="90"/>
        <v>1260</v>
      </c>
      <c r="P48" s="3"/>
      <c r="Q48" s="3"/>
      <c r="R48" s="3"/>
      <c r="S48" s="3"/>
      <c r="T48" s="3"/>
      <c r="U48" s="4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4"/>
      <c r="AI48" s="3"/>
      <c r="AJ48" s="3"/>
      <c r="AK48" s="3"/>
      <c r="AL48" s="3"/>
      <c r="AM48" s="3"/>
      <c r="AN48" s="3"/>
      <c r="AO48" s="3"/>
      <c r="AP48" s="3">
        <v>1260</v>
      </c>
      <c r="AQ48" s="3">
        <v>1260</v>
      </c>
      <c r="AR48" s="3">
        <v>1260</v>
      </c>
      <c r="AS48" s="3">
        <v>1260</v>
      </c>
      <c r="AT48" s="3">
        <v>1260</v>
      </c>
      <c r="AU48" s="4"/>
      <c r="AV48" s="3">
        <v>1260</v>
      </c>
      <c r="AW48" s="3">
        <v>1260</v>
      </c>
      <c r="AX48" s="3">
        <v>1260</v>
      </c>
      <c r="AY48" s="3">
        <v>1260</v>
      </c>
      <c r="AZ48" s="3">
        <v>1260</v>
      </c>
      <c r="BA48" s="3">
        <v>1260</v>
      </c>
      <c r="BB48" s="11">
        <f t="shared" ref="BB48:BG48" si="91">BA48</f>
        <v>1260</v>
      </c>
      <c r="BC48" s="11">
        <f t="shared" si="91"/>
        <v>1260</v>
      </c>
      <c r="BD48" s="11">
        <f t="shared" si="91"/>
        <v>1260</v>
      </c>
      <c r="BE48" s="11">
        <f t="shared" si="91"/>
        <v>1260</v>
      </c>
      <c r="BF48" s="11">
        <f t="shared" si="91"/>
        <v>1260</v>
      </c>
      <c r="BG48" s="11">
        <f t="shared" si="91"/>
        <v>1260</v>
      </c>
      <c r="BH48" s="12"/>
      <c r="BI48" s="11">
        <f t="shared" ref="BI48:BI49" si="92">BG48</f>
        <v>1260</v>
      </c>
      <c r="BJ48" s="11">
        <f t="shared" ref="BJ48:BJ49" si="93">BI48</f>
        <v>1260</v>
      </c>
      <c r="BK48" s="3">
        <v>1323</v>
      </c>
      <c r="BL48" s="3">
        <v>1323</v>
      </c>
      <c r="BM48" s="3">
        <v>1323</v>
      </c>
      <c r="BN48" s="3">
        <v>1323</v>
      </c>
      <c r="BO48" s="3">
        <v>1323</v>
      </c>
      <c r="BP48" s="3">
        <v>1323</v>
      </c>
      <c r="BQ48" s="3">
        <v>1323</v>
      </c>
      <c r="BR48" s="3">
        <v>1323</v>
      </c>
      <c r="BS48" s="3">
        <v>1323</v>
      </c>
      <c r="BT48" s="3">
        <v>1323</v>
      </c>
      <c r="BU48" s="3"/>
      <c r="BV48" s="3">
        <v>1323</v>
      </c>
      <c r="BW48" s="3">
        <v>1323</v>
      </c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</row>
    <row r="49" spans="1:181" ht="15" x14ac:dyDescent="0.25">
      <c r="A49" s="9" t="s">
        <v>106</v>
      </c>
      <c r="B49" s="10" t="s">
        <v>91</v>
      </c>
      <c r="C49" s="9" t="s">
        <v>53</v>
      </c>
      <c r="D49" s="9">
        <v>5</v>
      </c>
      <c r="E49" s="10" t="s">
        <v>15</v>
      </c>
      <c r="F49" s="9" t="s">
        <v>107</v>
      </c>
      <c r="G49" s="2">
        <v>2520</v>
      </c>
      <c r="H49" s="2">
        <v>1500</v>
      </c>
      <c r="I49" s="2">
        <v>0</v>
      </c>
      <c r="J49" s="11">
        <v>1260</v>
      </c>
      <c r="K49" s="2">
        <f t="shared" si="61"/>
        <v>4020</v>
      </c>
      <c r="L49" s="11">
        <v>1260</v>
      </c>
      <c r="M49" s="11">
        <f t="shared" ref="M49:T49" si="94">L49</f>
        <v>1260</v>
      </c>
      <c r="N49" s="11">
        <f t="shared" si="94"/>
        <v>1260</v>
      </c>
      <c r="O49" s="11">
        <f t="shared" si="94"/>
        <v>1260</v>
      </c>
      <c r="P49" s="11">
        <f t="shared" si="94"/>
        <v>1260</v>
      </c>
      <c r="Q49" s="11">
        <f t="shared" si="94"/>
        <v>1260</v>
      </c>
      <c r="R49" s="11">
        <f t="shared" si="94"/>
        <v>1260</v>
      </c>
      <c r="S49" s="11">
        <f t="shared" si="94"/>
        <v>1260</v>
      </c>
      <c r="T49" s="11">
        <f t="shared" si="94"/>
        <v>1260</v>
      </c>
      <c r="U49" s="12"/>
      <c r="V49" s="11">
        <f>T49</f>
        <v>1260</v>
      </c>
      <c r="W49" s="11">
        <f t="shared" ref="W49:AG49" si="95">V49</f>
        <v>1260</v>
      </c>
      <c r="X49" s="11">
        <f t="shared" si="95"/>
        <v>1260</v>
      </c>
      <c r="Y49" s="11">
        <f t="shared" si="95"/>
        <v>1260</v>
      </c>
      <c r="Z49" s="11">
        <f t="shared" si="95"/>
        <v>1260</v>
      </c>
      <c r="AA49" s="11">
        <f t="shared" si="95"/>
        <v>1260</v>
      </c>
      <c r="AB49" s="11">
        <f t="shared" si="95"/>
        <v>1260</v>
      </c>
      <c r="AC49" s="11">
        <f t="shared" si="95"/>
        <v>1260</v>
      </c>
      <c r="AD49" s="11">
        <f t="shared" si="95"/>
        <v>1260</v>
      </c>
      <c r="AE49" s="11">
        <f t="shared" si="95"/>
        <v>1260</v>
      </c>
      <c r="AF49" s="11">
        <f t="shared" si="95"/>
        <v>1260</v>
      </c>
      <c r="AG49" s="11">
        <f t="shared" si="95"/>
        <v>1260</v>
      </c>
      <c r="AH49" s="4"/>
      <c r="AI49" s="11">
        <f>AG49</f>
        <v>1260</v>
      </c>
      <c r="AJ49" s="11">
        <f t="shared" ref="AJ49:AT49" si="96">AI49</f>
        <v>1260</v>
      </c>
      <c r="AK49" s="11">
        <f t="shared" si="96"/>
        <v>1260</v>
      </c>
      <c r="AL49" s="11">
        <f t="shared" si="96"/>
        <v>1260</v>
      </c>
      <c r="AM49" s="11">
        <f t="shared" si="96"/>
        <v>1260</v>
      </c>
      <c r="AN49" s="11">
        <f t="shared" si="96"/>
        <v>1260</v>
      </c>
      <c r="AO49" s="11">
        <f t="shared" si="96"/>
        <v>1260</v>
      </c>
      <c r="AP49" s="11">
        <f t="shared" si="96"/>
        <v>1260</v>
      </c>
      <c r="AQ49" s="11">
        <f t="shared" si="96"/>
        <v>1260</v>
      </c>
      <c r="AR49" s="11">
        <f t="shared" si="96"/>
        <v>1260</v>
      </c>
      <c r="AS49" s="11">
        <f t="shared" si="96"/>
        <v>1260</v>
      </c>
      <c r="AT49" s="11">
        <f t="shared" si="96"/>
        <v>1260</v>
      </c>
      <c r="AU49" s="4"/>
      <c r="AV49" s="11">
        <f>AT49</f>
        <v>1260</v>
      </c>
      <c r="AW49" s="11">
        <f t="shared" ref="AW49:BG49" si="97">AV49</f>
        <v>1260</v>
      </c>
      <c r="AX49" s="11">
        <f t="shared" si="97"/>
        <v>1260</v>
      </c>
      <c r="AY49" s="11">
        <f t="shared" si="97"/>
        <v>1260</v>
      </c>
      <c r="AZ49" s="11">
        <f t="shared" si="97"/>
        <v>1260</v>
      </c>
      <c r="BA49" s="11">
        <f t="shared" si="97"/>
        <v>1260</v>
      </c>
      <c r="BB49" s="11">
        <f t="shared" si="97"/>
        <v>1260</v>
      </c>
      <c r="BC49" s="11">
        <f t="shared" si="97"/>
        <v>1260</v>
      </c>
      <c r="BD49" s="11">
        <f t="shared" si="97"/>
        <v>1260</v>
      </c>
      <c r="BE49" s="11">
        <f t="shared" si="97"/>
        <v>1260</v>
      </c>
      <c r="BF49" s="11">
        <f t="shared" si="97"/>
        <v>1260</v>
      </c>
      <c r="BG49" s="11">
        <f t="shared" si="97"/>
        <v>1260</v>
      </c>
      <c r="BH49" s="12"/>
      <c r="BI49" s="11">
        <f t="shared" si="92"/>
        <v>1260</v>
      </c>
      <c r="BJ49" s="11">
        <f t="shared" si="93"/>
        <v>1260</v>
      </c>
      <c r="BK49" s="11">
        <f t="shared" ref="BK49:BT49" si="98">BJ49</f>
        <v>1260</v>
      </c>
      <c r="BL49" s="11">
        <f t="shared" si="98"/>
        <v>1260</v>
      </c>
      <c r="BM49" s="11">
        <f t="shared" si="98"/>
        <v>1260</v>
      </c>
      <c r="BN49" s="11">
        <f t="shared" si="98"/>
        <v>1260</v>
      </c>
      <c r="BO49" s="11">
        <f t="shared" si="98"/>
        <v>1260</v>
      </c>
      <c r="BP49" s="11">
        <f t="shared" si="98"/>
        <v>1260</v>
      </c>
      <c r="BQ49" s="11">
        <f t="shared" si="98"/>
        <v>1260</v>
      </c>
      <c r="BR49" s="11">
        <f t="shared" si="98"/>
        <v>1260</v>
      </c>
      <c r="BS49" s="11">
        <f t="shared" si="98"/>
        <v>1260</v>
      </c>
      <c r="BT49" s="11">
        <f t="shared" si="98"/>
        <v>1260</v>
      </c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</row>
    <row r="50" spans="1:181" ht="15" x14ac:dyDescent="0.25">
      <c r="A50" s="9" t="s">
        <v>108</v>
      </c>
      <c r="B50" s="10" t="s">
        <v>91</v>
      </c>
      <c r="C50" s="9" t="s">
        <v>50</v>
      </c>
      <c r="D50" s="9">
        <v>1</v>
      </c>
      <c r="E50" s="9" t="s">
        <v>24</v>
      </c>
      <c r="F50" s="9" t="s">
        <v>109</v>
      </c>
      <c r="G50" s="2">
        <v>9638</v>
      </c>
      <c r="H50" s="2">
        <v>1500</v>
      </c>
      <c r="I50" s="2">
        <v>0</v>
      </c>
      <c r="J50" s="3">
        <v>4589</v>
      </c>
      <c r="K50" s="2">
        <f t="shared" si="61"/>
        <v>11138</v>
      </c>
      <c r="L50" s="3">
        <f t="shared" ref="L50:T50" si="99">ROUND(4632/1.06,2)</f>
        <v>4369.8100000000004</v>
      </c>
      <c r="M50" s="3">
        <f t="shared" si="99"/>
        <v>4369.8100000000004</v>
      </c>
      <c r="N50" s="3">
        <f t="shared" si="99"/>
        <v>4369.8100000000004</v>
      </c>
      <c r="O50" s="3">
        <f t="shared" si="99"/>
        <v>4369.8100000000004</v>
      </c>
      <c r="P50" s="3">
        <f t="shared" si="99"/>
        <v>4369.8100000000004</v>
      </c>
      <c r="Q50" s="3">
        <f t="shared" si="99"/>
        <v>4369.8100000000004</v>
      </c>
      <c r="R50" s="3">
        <f t="shared" si="99"/>
        <v>4369.8100000000004</v>
      </c>
      <c r="S50" s="3">
        <f t="shared" si="99"/>
        <v>4369.8100000000004</v>
      </c>
      <c r="T50" s="3">
        <f t="shared" si="99"/>
        <v>4369.8100000000004</v>
      </c>
      <c r="U50" s="4"/>
      <c r="V50" s="3">
        <f>ROUND(4632/1.06,2)</f>
        <v>4369.8100000000004</v>
      </c>
      <c r="W50" s="3">
        <v>4502.8899999999994</v>
      </c>
      <c r="X50" s="3">
        <v>4589</v>
      </c>
      <c r="Y50" s="3">
        <v>4589</v>
      </c>
      <c r="Z50" s="3">
        <v>4589</v>
      </c>
      <c r="AA50" s="3">
        <v>4589</v>
      </c>
      <c r="AB50" s="3">
        <v>4589</v>
      </c>
      <c r="AC50" s="3">
        <v>4589</v>
      </c>
      <c r="AD50" s="3">
        <v>4589</v>
      </c>
      <c r="AE50" s="3">
        <v>4589</v>
      </c>
      <c r="AF50" s="3">
        <v>4589</v>
      </c>
      <c r="AG50" s="3">
        <v>4589</v>
      </c>
      <c r="AH50" s="4"/>
      <c r="AI50" s="3">
        <v>4589</v>
      </c>
      <c r="AJ50" s="3">
        <v>4589</v>
      </c>
      <c r="AK50" s="3">
        <v>4589</v>
      </c>
      <c r="AL50" s="3">
        <v>4589</v>
      </c>
      <c r="AM50" s="3">
        <v>4589</v>
      </c>
      <c r="AN50" s="3">
        <v>4589</v>
      </c>
      <c r="AO50" s="3">
        <v>4589</v>
      </c>
      <c r="AP50" s="3">
        <v>4589</v>
      </c>
      <c r="AQ50" s="3">
        <v>4589</v>
      </c>
      <c r="AR50" s="3">
        <v>4589</v>
      </c>
      <c r="AS50" s="3">
        <v>4589</v>
      </c>
      <c r="AT50" s="3">
        <v>4589</v>
      </c>
      <c r="AU50" s="4"/>
      <c r="AV50" s="3">
        <v>4589</v>
      </c>
      <c r="AW50" s="3">
        <v>4589</v>
      </c>
      <c r="AX50" s="3">
        <v>4589</v>
      </c>
      <c r="AY50" s="3">
        <v>4589</v>
      </c>
      <c r="AZ50" s="3">
        <v>4589</v>
      </c>
      <c r="BA50" s="3">
        <v>4589</v>
      </c>
      <c r="BB50" s="3">
        <v>4589</v>
      </c>
      <c r="BC50" s="3">
        <v>4589</v>
      </c>
      <c r="BD50" s="3">
        <v>4589</v>
      </c>
      <c r="BE50" s="3">
        <v>4589</v>
      </c>
      <c r="BF50" s="3">
        <v>4589</v>
      </c>
      <c r="BG50" s="3">
        <v>4589</v>
      </c>
      <c r="BH50" s="12"/>
      <c r="BI50" s="3">
        <v>4589</v>
      </c>
      <c r="BJ50" s="3">
        <f>ROUND(4589/28*11+4819/28*17,2)</f>
        <v>4728.6400000000003</v>
      </c>
      <c r="BK50" s="3">
        <v>4819</v>
      </c>
      <c r="BL50" s="3">
        <v>4819</v>
      </c>
      <c r="BM50" s="3">
        <v>4819</v>
      </c>
      <c r="BN50" s="3">
        <v>4819</v>
      </c>
      <c r="BO50" s="3">
        <v>4819</v>
      </c>
      <c r="BP50" s="3">
        <v>4819</v>
      </c>
      <c r="BQ50" s="3">
        <v>4819</v>
      </c>
      <c r="BR50" s="3">
        <v>4819</v>
      </c>
      <c r="BS50" s="3">
        <v>4819</v>
      </c>
      <c r="BT50" s="3">
        <v>4819</v>
      </c>
      <c r="BU50" s="3"/>
      <c r="BV50" s="3">
        <v>4819</v>
      </c>
      <c r="BW50" s="3">
        <v>4819</v>
      </c>
      <c r="BX50" s="3">
        <v>4819</v>
      </c>
      <c r="BY50" s="3">
        <v>4819</v>
      </c>
      <c r="BZ50" s="3">
        <v>4819</v>
      </c>
      <c r="CA50" s="3">
        <v>4819</v>
      </c>
      <c r="CB50" s="3">
        <v>4819</v>
      </c>
      <c r="CC50" s="3">
        <v>4819</v>
      </c>
      <c r="CD50" s="3">
        <v>4819</v>
      </c>
      <c r="CE50" s="3">
        <v>4819</v>
      </c>
      <c r="CF50" s="3">
        <v>4819</v>
      </c>
      <c r="CG50" s="3">
        <v>4819</v>
      </c>
      <c r="CH50" s="3">
        <v>4819</v>
      </c>
      <c r="CI50" s="3">
        <v>4819</v>
      </c>
      <c r="CJ50" s="3">
        <v>4819</v>
      </c>
      <c r="CK50" s="3">
        <v>4819</v>
      </c>
      <c r="CL50" s="3">
        <v>4819</v>
      </c>
      <c r="CM50" s="3">
        <v>4819</v>
      </c>
      <c r="CN50" s="3">
        <v>4819</v>
      </c>
      <c r="CO50" s="3">
        <v>4819</v>
      </c>
      <c r="CP50" s="3">
        <v>4819</v>
      </c>
      <c r="CQ50" s="3">
        <v>4819</v>
      </c>
      <c r="CR50" s="3">
        <v>4819</v>
      </c>
      <c r="CS50" s="3">
        <v>4819</v>
      </c>
      <c r="CT50" s="3">
        <v>4819</v>
      </c>
      <c r="CU50" s="3">
        <f>ROUND(4819/29*11,2)</f>
        <v>1827.9</v>
      </c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</row>
    <row r="51" spans="1:181" ht="15" x14ac:dyDescent="0.25">
      <c r="A51" s="9" t="s">
        <v>110</v>
      </c>
      <c r="B51" s="10" t="s">
        <v>91</v>
      </c>
      <c r="C51" s="9" t="s">
        <v>50</v>
      </c>
      <c r="D51" s="9">
        <v>2</v>
      </c>
      <c r="E51" s="9" t="s">
        <v>24</v>
      </c>
      <c r="F51" s="9" t="s">
        <v>109</v>
      </c>
      <c r="G51" s="2">
        <v>9638</v>
      </c>
      <c r="H51" s="2">
        <v>0</v>
      </c>
      <c r="I51" s="2">
        <v>0</v>
      </c>
      <c r="J51" s="3">
        <v>3985</v>
      </c>
      <c r="K51" s="2">
        <f t="shared" si="61"/>
        <v>9638</v>
      </c>
      <c r="L51" s="3">
        <f t="shared" ref="L51:T51" si="100">ROUND(4023/1.06,2)</f>
        <v>3795.28</v>
      </c>
      <c r="M51" s="3">
        <f t="shared" si="100"/>
        <v>3795.28</v>
      </c>
      <c r="N51" s="3">
        <f t="shared" si="100"/>
        <v>3795.28</v>
      </c>
      <c r="O51" s="3">
        <f t="shared" si="100"/>
        <v>3795.28</v>
      </c>
      <c r="P51" s="3">
        <f t="shared" si="100"/>
        <v>3795.28</v>
      </c>
      <c r="Q51" s="3">
        <f t="shared" si="100"/>
        <v>3795.28</v>
      </c>
      <c r="R51" s="3">
        <f t="shared" si="100"/>
        <v>3795.28</v>
      </c>
      <c r="S51" s="3">
        <f t="shared" si="100"/>
        <v>3795.28</v>
      </c>
      <c r="T51" s="3">
        <f t="shared" si="100"/>
        <v>3795.28</v>
      </c>
      <c r="U51" s="4"/>
      <c r="V51" s="3">
        <f>ROUND(4023/1.06,2)</f>
        <v>3795.28</v>
      </c>
      <c r="W51" s="3">
        <v>3910.46</v>
      </c>
      <c r="X51" s="3">
        <v>3985</v>
      </c>
      <c r="Y51" s="3">
        <v>3985</v>
      </c>
      <c r="Z51" s="3">
        <v>3985</v>
      </c>
      <c r="AA51" s="3">
        <v>3985</v>
      </c>
      <c r="AB51" s="3">
        <v>3985</v>
      </c>
      <c r="AC51" s="3">
        <v>3985</v>
      </c>
      <c r="AD51" s="3">
        <v>3985</v>
      </c>
      <c r="AE51" s="3">
        <v>3985</v>
      </c>
      <c r="AF51" s="3">
        <v>3985</v>
      </c>
      <c r="AG51" s="3">
        <v>3985</v>
      </c>
      <c r="AH51" s="4"/>
      <c r="AI51" s="3">
        <v>3985</v>
      </c>
      <c r="AJ51" s="3">
        <v>3985</v>
      </c>
      <c r="AK51" s="3">
        <v>3985</v>
      </c>
      <c r="AL51" s="3">
        <v>3985</v>
      </c>
      <c r="AM51" s="3">
        <v>3985</v>
      </c>
      <c r="AN51" s="3">
        <v>3985</v>
      </c>
      <c r="AO51" s="3">
        <v>3985</v>
      </c>
      <c r="AP51" s="3">
        <v>3985</v>
      </c>
      <c r="AQ51" s="3">
        <v>3985</v>
      </c>
      <c r="AR51" s="3">
        <v>3985</v>
      </c>
      <c r="AS51" s="3">
        <v>3985</v>
      </c>
      <c r="AT51" s="3">
        <v>3985</v>
      </c>
      <c r="AU51" s="4"/>
      <c r="AV51" s="3">
        <v>3985</v>
      </c>
      <c r="AW51" s="3">
        <v>3985</v>
      </c>
      <c r="AX51" s="3">
        <v>3985</v>
      </c>
      <c r="AY51" s="3">
        <v>3985</v>
      </c>
      <c r="AZ51" s="3">
        <v>3985</v>
      </c>
      <c r="BA51" s="3">
        <v>3985</v>
      </c>
      <c r="BB51" s="3">
        <v>3985</v>
      </c>
      <c r="BC51" s="3">
        <v>3985</v>
      </c>
      <c r="BD51" s="3">
        <v>3985</v>
      </c>
      <c r="BE51" s="3">
        <v>3985</v>
      </c>
      <c r="BF51" s="3">
        <v>3985</v>
      </c>
      <c r="BG51" s="3">
        <v>3985</v>
      </c>
      <c r="BH51" s="12"/>
      <c r="BI51" s="3">
        <v>3985</v>
      </c>
      <c r="BJ51" s="3">
        <f>ROUND(3985/28*11+4184/28*17,2)</f>
        <v>4105.82</v>
      </c>
      <c r="BK51" s="3">
        <v>4184</v>
      </c>
      <c r="BL51" s="3">
        <v>4184</v>
      </c>
      <c r="BM51" s="3">
        <v>4184</v>
      </c>
      <c r="BN51" s="3">
        <v>4184</v>
      </c>
      <c r="BO51" s="3">
        <v>4184</v>
      </c>
      <c r="BP51" s="3">
        <v>4184</v>
      </c>
      <c r="BQ51" s="3">
        <v>4184</v>
      </c>
      <c r="BR51" s="3">
        <v>4184</v>
      </c>
      <c r="BS51" s="3">
        <v>4184</v>
      </c>
      <c r="BT51" s="3">
        <v>4184</v>
      </c>
      <c r="BU51" s="3"/>
      <c r="BV51" s="3">
        <v>4184</v>
      </c>
      <c r="BW51" s="3">
        <v>4184</v>
      </c>
      <c r="BX51" s="3">
        <v>4184</v>
      </c>
      <c r="BY51" s="3">
        <v>4184</v>
      </c>
      <c r="BZ51" s="3">
        <v>4184</v>
      </c>
      <c r="CA51" s="3">
        <v>4184</v>
      </c>
      <c r="CB51" s="3">
        <v>4184</v>
      </c>
      <c r="CC51" s="3">
        <v>4184</v>
      </c>
      <c r="CD51" s="3">
        <v>4184</v>
      </c>
      <c r="CE51" s="3">
        <v>4184</v>
      </c>
      <c r="CF51" s="3">
        <v>4184</v>
      </c>
      <c r="CG51" s="3">
        <v>4184</v>
      </c>
      <c r="CH51" s="3">
        <v>4184</v>
      </c>
      <c r="CI51" s="3">
        <v>4184</v>
      </c>
      <c r="CJ51" s="3">
        <v>4184</v>
      </c>
      <c r="CK51" s="3">
        <v>4184</v>
      </c>
      <c r="CL51" s="3">
        <v>4184</v>
      </c>
      <c r="CM51" s="3">
        <v>4184</v>
      </c>
      <c r="CN51" s="3">
        <v>4184</v>
      </c>
      <c r="CO51" s="3">
        <v>4184</v>
      </c>
      <c r="CP51" s="3">
        <v>4184</v>
      </c>
      <c r="CQ51" s="3">
        <v>4184</v>
      </c>
      <c r="CR51" s="3">
        <v>4184</v>
      </c>
      <c r="CS51" s="3">
        <v>4184</v>
      </c>
      <c r="CT51" s="3">
        <v>4184</v>
      </c>
      <c r="CU51" s="3">
        <f>ROUND(4184/29*11,2)</f>
        <v>1587.03</v>
      </c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</row>
    <row r="52" spans="1:181" ht="15" x14ac:dyDescent="0.25">
      <c r="A52" s="9" t="s">
        <v>111</v>
      </c>
      <c r="B52" s="10" t="s">
        <v>91</v>
      </c>
      <c r="C52" s="9" t="s">
        <v>73</v>
      </c>
      <c r="D52" s="9">
        <v>3</v>
      </c>
      <c r="E52" s="9" t="s">
        <v>24</v>
      </c>
      <c r="F52" s="9" t="s">
        <v>109</v>
      </c>
      <c r="G52" s="2">
        <v>8368</v>
      </c>
      <c r="H52" s="2">
        <v>0</v>
      </c>
      <c r="I52" s="2">
        <v>0</v>
      </c>
      <c r="J52" s="3">
        <v>4589</v>
      </c>
      <c r="K52" s="2">
        <f t="shared" si="61"/>
        <v>8368</v>
      </c>
      <c r="L52" s="3">
        <f t="shared" ref="L52:T52" si="101">ROUND(4632/1.06,2)</f>
        <v>4369.8100000000004</v>
      </c>
      <c r="M52" s="3">
        <f t="shared" si="101"/>
        <v>4369.8100000000004</v>
      </c>
      <c r="N52" s="3">
        <f t="shared" si="101"/>
        <v>4369.8100000000004</v>
      </c>
      <c r="O52" s="3">
        <f t="shared" si="101"/>
        <v>4369.8100000000004</v>
      </c>
      <c r="P52" s="3">
        <f t="shared" si="101"/>
        <v>4369.8100000000004</v>
      </c>
      <c r="Q52" s="3">
        <f t="shared" si="101"/>
        <v>4369.8100000000004</v>
      </c>
      <c r="R52" s="3">
        <f t="shared" si="101"/>
        <v>4369.8100000000004</v>
      </c>
      <c r="S52" s="3">
        <f t="shared" si="101"/>
        <v>4369.8100000000004</v>
      </c>
      <c r="T52" s="3">
        <f t="shared" si="101"/>
        <v>4369.8100000000004</v>
      </c>
      <c r="U52" s="4"/>
      <c r="V52" s="3">
        <f t="shared" ref="V52:V53" si="102">ROUND(4632/1.06,2)</f>
        <v>4369.8100000000004</v>
      </c>
      <c r="W52" s="3">
        <v>4502.8899999999994</v>
      </c>
      <c r="X52" s="3">
        <v>4589</v>
      </c>
      <c r="Y52" s="3">
        <v>4589</v>
      </c>
      <c r="Z52" s="3">
        <v>4589</v>
      </c>
      <c r="AA52" s="3">
        <v>4589</v>
      </c>
      <c r="AB52" s="3">
        <v>4589</v>
      </c>
      <c r="AC52" s="3">
        <v>4589</v>
      </c>
      <c r="AD52" s="3">
        <v>4589</v>
      </c>
      <c r="AE52" s="3">
        <v>4589</v>
      </c>
      <c r="AF52" s="3">
        <v>4589</v>
      </c>
      <c r="AG52" s="3">
        <v>4589</v>
      </c>
      <c r="AH52" s="4"/>
      <c r="AI52" s="3">
        <v>4589</v>
      </c>
      <c r="AJ52" s="3">
        <v>4589</v>
      </c>
      <c r="AK52" s="3">
        <v>4589</v>
      </c>
      <c r="AL52" s="3">
        <v>4589</v>
      </c>
      <c r="AM52" s="3">
        <v>4589</v>
      </c>
      <c r="AN52" s="3">
        <v>4589</v>
      </c>
      <c r="AO52" s="3">
        <v>4589</v>
      </c>
      <c r="AP52" s="3">
        <v>4589</v>
      </c>
      <c r="AQ52" s="3">
        <v>4589</v>
      </c>
      <c r="AR52" s="3">
        <v>4589</v>
      </c>
      <c r="AS52" s="3">
        <v>4589</v>
      </c>
      <c r="AT52" s="3">
        <v>4589</v>
      </c>
      <c r="AU52" s="4"/>
      <c r="AV52" s="3">
        <v>4589</v>
      </c>
      <c r="AW52" s="3">
        <v>4589</v>
      </c>
      <c r="AX52" s="3">
        <v>4589</v>
      </c>
      <c r="AY52" s="3">
        <v>4589</v>
      </c>
      <c r="AZ52" s="3">
        <v>4589</v>
      </c>
      <c r="BA52" s="3">
        <v>4589</v>
      </c>
      <c r="BB52" s="3">
        <v>4589</v>
      </c>
      <c r="BC52" s="3">
        <v>4589</v>
      </c>
      <c r="BD52" s="3">
        <v>4589</v>
      </c>
      <c r="BE52" s="3">
        <v>4589</v>
      </c>
      <c r="BF52" s="3">
        <v>4589</v>
      </c>
      <c r="BG52" s="3">
        <v>4589</v>
      </c>
      <c r="BH52" s="12"/>
      <c r="BI52" s="3">
        <v>4589</v>
      </c>
      <c r="BJ52" s="3">
        <f t="shared" ref="BJ52:BJ53" si="103">ROUND(4589/28*11+4819/28*17,2)</f>
        <v>4728.6400000000003</v>
      </c>
      <c r="BK52" s="3">
        <v>4819</v>
      </c>
      <c r="BL52" s="3">
        <v>4819</v>
      </c>
      <c r="BM52" s="3">
        <v>4819</v>
      </c>
      <c r="BN52" s="3">
        <v>4819</v>
      </c>
      <c r="BO52" s="3">
        <v>4819</v>
      </c>
      <c r="BP52" s="3">
        <v>4819</v>
      </c>
      <c r="BQ52" s="3">
        <v>4819</v>
      </c>
      <c r="BR52" s="3">
        <v>4819</v>
      </c>
      <c r="BS52" s="3">
        <v>4819</v>
      </c>
      <c r="BT52" s="3">
        <v>4819</v>
      </c>
      <c r="BU52" s="3"/>
      <c r="BV52" s="3">
        <v>4819</v>
      </c>
      <c r="BW52" s="3">
        <v>4819</v>
      </c>
      <c r="BX52" s="3">
        <v>4819</v>
      </c>
      <c r="BY52" s="3">
        <v>4819</v>
      </c>
      <c r="BZ52" s="3">
        <v>4819</v>
      </c>
      <c r="CA52" s="3">
        <v>4819</v>
      </c>
      <c r="CB52" s="3">
        <v>4819</v>
      </c>
      <c r="CC52" s="3">
        <v>4819</v>
      </c>
      <c r="CD52" s="3">
        <v>4819</v>
      </c>
      <c r="CE52" s="3">
        <v>4819</v>
      </c>
      <c r="CF52" s="3">
        <v>4819</v>
      </c>
      <c r="CG52" s="3">
        <v>4819</v>
      </c>
      <c r="CH52" s="3">
        <v>4819</v>
      </c>
      <c r="CI52" s="3">
        <v>4819</v>
      </c>
      <c r="CJ52" s="3">
        <v>4819</v>
      </c>
      <c r="CK52" s="3">
        <v>4819</v>
      </c>
      <c r="CL52" s="3">
        <v>4819</v>
      </c>
      <c r="CM52" s="3">
        <v>4819</v>
      </c>
      <c r="CN52" s="3">
        <v>4819</v>
      </c>
      <c r="CO52" s="3">
        <v>4819</v>
      </c>
      <c r="CP52" s="3">
        <v>4819</v>
      </c>
      <c r="CQ52" s="3">
        <v>4819</v>
      </c>
      <c r="CR52" s="3">
        <v>4819</v>
      </c>
      <c r="CS52" s="3">
        <v>4819</v>
      </c>
      <c r="CT52" s="3">
        <v>4819</v>
      </c>
      <c r="CU52" s="3">
        <f t="shared" ref="CU52:CU53" si="104">ROUND(4819/29*11,2)</f>
        <v>1827.9</v>
      </c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</row>
    <row r="53" spans="1:181" ht="15" x14ac:dyDescent="0.25">
      <c r="A53" s="9" t="s">
        <v>112</v>
      </c>
      <c r="B53" s="10" t="s">
        <v>91</v>
      </c>
      <c r="C53" s="9" t="s">
        <v>73</v>
      </c>
      <c r="D53" s="9">
        <v>4</v>
      </c>
      <c r="E53" s="9" t="s">
        <v>24</v>
      </c>
      <c r="F53" s="9" t="s">
        <v>109</v>
      </c>
      <c r="G53" s="2">
        <v>9638</v>
      </c>
      <c r="H53" s="2">
        <v>0</v>
      </c>
      <c r="I53" s="2">
        <v>0</v>
      </c>
      <c r="J53" s="3">
        <v>4589</v>
      </c>
      <c r="K53" s="2">
        <f t="shared" si="61"/>
        <v>9638</v>
      </c>
      <c r="L53" s="3">
        <f t="shared" ref="L53:T53" si="105">ROUND(4632/1.06,2)</f>
        <v>4369.8100000000004</v>
      </c>
      <c r="M53" s="3">
        <f t="shared" si="105"/>
        <v>4369.8100000000004</v>
      </c>
      <c r="N53" s="3">
        <f t="shared" si="105"/>
        <v>4369.8100000000004</v>
      </c>
      <c r="O53" s="3">
        <f t="shared" si="105"/>
        <v>4369.8100000000004</v>
      </c>
      <c r="P53" s="3">
        <f t="shared" si="105"/>
        <v>4369.8100000000004</v>
      </c>
      <c r="Q53" s="3">
        <f t="shared" si="105"/>
        <v>4369.8100000000004</v>
      </c>
      <c r="R53" s="3">
        <f t="shared" si="105"/>
        <v>4369.8100000000004</v>
      </c>
      <c r="S53" s="3">
        <f t="shared" si="105"/>
        <v>4369.8100000000004</v>
      </c>
      <c r="T53" s="3">
        <f t="shared" si="105"/>
        <v>4369.8100000000004</v>
      </c>
      <c r="U53" s="4"/>
      <c r="V53" s="3">
        <f t="shared" si="102"/>
        <v>4369.8100000000004</v>
      </c>
      <c r="W53" s="3">
        <v>4502.8899999999994</v>
      </c>
      <c r="X53" s="3">
        <v>4589</v>
      </c>
      <c r="Y53" s="3">
        <v>4589</v>
      </c>
      <c r="Z53" s="3">
        <v>4589</v>
      </c>
      <c r="AA53" s="3">
        <v>4589</v>
      </c>
      <c r="AB53" s="3">
        <v>4589</v>
      </c>
      <c r="AC53" s="3">
        <v>4589</v>
      </c>
      <c r="AD53" s="3">
        <v>4589</v>
      </c>
      <c r="AE53" s="3">
        <v>4589</v>
      </c>
      <c r="AF53" s="3">
        <v>4589</v>
      </c>
      <c r="AG53" s="3">
        <v>4589</v>
      </c>
      <c r="AH53" s="4"/>
      <c r="AI53" s="3">
        <v>4589</v>
      </c>
      <c r="AJ53" s="3">
        <v>4589</v>
      </c>
      <c r="AK53" s="3">
        <v>4589</v>
      </c>
      <c r="AL53" s="3">
        <v>4589</v>
      </c>
      <c r="AM53" s="3">
        <v>4589</v>
      </c>
      <c r="AN53" s="3">
        <v>4589</v>
      </c>
      <c r="AO53" s="3">
        <v>4589</v>
      </c>
      <c r="AP53" s="3">
        <v>4589</v>
      </c>
      <c r="AQ53" s="3">
        <v>4589</v>
      </c>
      <c r="AR53" s="3">
        <v>4589</v>
      </c>
      <c r="AS53" s="3">
        <v>4589</v>
      </c>
      <c r="AT53" s="3">
        <v>4589</v>
      </c>
      <c r="AU53" s="4"/>
      <c r="AV53" s="3">
        <v>4589</v>
      </c>
      <c r="AW53" s="3">
        <v>4589</v>
      </c>
      <c r="AX53" s="3">
        <v>4589</v>
      </c>
      <c r="AY53" s="3">
        <v>4589</v>
      </c>
      <c r="AZ53" s="3">
        <v>4589</v>
      </c>
      <c r="BA53" s="3">
        <v>4589</v>
      </c>
      <c r="BB53" s="3">
        <v>4589</v>
      </c>
      <c r="BC53" s="3">
        <v>4589</v>
      </c>
      <c r="BD53" s="3">
        <v>4589</v>
      </c>
      <c r="BE53" s="3">
        <v>4589</v>
      </c>
      <c r="BF53" s="3">
        <v>4589</v>
      </c>
      <c r="BG53" s="3">
        <v>4589</v>
      </c>
      <c r="BH53" s="12"/>
      <c r="BI53" s="3">
        <v>4589</v>
      </c>
      <c r="BJ53" s="3">
        <f t="shared" si="103"/>
        <v>4728.6400000000003</v>
      </c>
      <c r="BK53" s="3">
        <v>4819</v>
      </c>
      <c r="BL53" s="3">
        <v>4819</v>
      </c>
      <c r="BM53" s="3">
        <v>4819</v>
      </c>
      <c r="BN53" s="3">
        <v>4819</v>
      </c>
      <c r="BO53" s="3">
        <v>4819</v>
      </c>
      <c r="BP53" s="3">
        <v>4819</v>
      </c>
      <c r="BQ53" s="3">
        <v>4819</v>
      </c>
      <c r="BR53" s="3">
        <v>4819</v>
      </c>
      <c r="BS53" s="3">
        <v>4819</v>
      </c>
      <c r="BT53" s="3">
        <v>4819</v>
      </c>
      <c r="BU53" s="3"/>
      <c r="BV53" s="3">
        <v>4819</v>
      </c>
      <c r="BW53" s="3">
        <v>4819</v>
      </c>
      <c r="BX53" s="3">
        <v>4819</v>
      </c>
      <c r="BY53" s="3">
        <v>4819</v>
      </c>
      <c r="BZ53" s="3">
        <v>4819</v>
      </c>
      <c r="CA53" s="3">
        <v>4819</v>
      </c>
      <c r="CB53" s="3">
        <v>4819</v>
      </c>
      <c r="CC53" s="3">
        <v>4819</v>
      </c>
      <c r="CD53" s="3">
        <v>4819</v>
      </c>
      <c r="CE53" s="3">
        <v>4819</v>
      </c>
      <c r="CF53" s="3">
        <v>4819</v>
      </c>
      <c r="CG53" s="3">
        <v>4819</v>
      </c>
      <c r="CH53" s="3">
        <v>4819</v>
      </c>
      <c r="CI53" s="3">
        <v>4819</v>
      </c>
      <c r="CJ53" s="3">
        <v>4819</v>
      </c>
      <c r="CK53" s="3">
        <v>4819</v>
      </c>
      <c r="CL53" s="3">
        <v>4819</v>
      </c>
      <c r="CM53" s="3">
        <v>4819</v>
      </c>
      <c r="CN53" s="3">
        <v>4819</v>
      </c>
      <c r="CO53" s="3">
        <v>4819</v>
      </c>
      <c r="CP53" s="3">
        <v>4819</v>
      </c>
      <c r="CQ53" s="3">
        <v>4819</v>
      </c>
      <c r="CR53" s="3">
        <v>4819</v>
      </c>
      <c r="CS53" s="3">
        <v>4819</v>
      </c>
      <c r="CT53" s="3">
        <v>4819</v>
      </c>
      <c r="CU53" s="3">
        <f t="shared" si="104"/>
        <v>1827.9</v>
      </c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</row>
    <row r="54" spans="1:181" ht="15" x14ac:dyDescent="0.25">
      <c r="A54" s="9" t="s">
        <v>113</v>
      </c>
      <c r="B54" s="10" t="s">
        <v>91</v>
      </c>
      <c r="C54" s="9" t="s">
        <v>50</v>
      </c>
      <c r="D54" s="9">
        <v>5</v>
      </c>
      <c r="E54" s="9" t="s">
        <v>24</v>
      </c>
      <c r="F54" s="9" t="s">
        <v>109</v>
      </c>
      <c r="G54" s="2">
        <v>8368</v>
      </c>
      <c r="H54" s="2">
        <v>0</v>
      </c>
      <c r="I54" s="2">
        <v>0</v>
      </c>
      <c r="J54" s="3">
        <v>3985</v>
      </c>
      <c r="K54" s="2">
        <f t="shared" si="61"/>
        <v>8368</v>
      </c>
      <c r="L54" s="3">
        <f t="shared" ref="L54:T54" si="106">ROUND(4023/1.06,2)</f>
        <v>3795.28</v>
      </c>
      <c r="M54" s="3">
        <f t="shared" si="106"/>
        <v>3795.28</v>
      </c>
      <c r="N54" s="3">
        <f t="shared" si="106"/>
        <v>3795.28</v>
      </c>
      <c r="O54" s="3">
        <f t="shared" si="106"/>
        <v>3795.28</v>
      </c>
      <c r="P54" s="3">
        <f t="shared" si="106"/>
        <v>3795.28</v>
      </c>
      <c r="Q54" s="3">
        <f t="shared" si="106"/>
        <v>3795.28</v>
      </c>
      <c r="R54" s="3">
        <f t="shared" si="106"/>
        <v>3795.28</v>
      </c>
      <c r="S54" s="3">
        <f t="shared" si="106"/>
        <v>3795.28</v>
      </c>
      <c r="T54" s="3">
        <f t="shared" si="106"/>
        <v>3795.28</v>
      </c>
      <c r="U54" s="4"/>
      <c r="V54" s="3">
        <f>ROUND(4023/1.06,2)</f>
        <v>3795.28</v>
      </c>
      <c r="W54" s="3">
        <v>3910.46</v>
      </c>
      <c r="X54" s="3">
        <v>3985</v>
      </c>
      <c r="Y54" s="3">
        <v>3985</v>
      </c>
      <c r="Z54" s="3">
        <v>3985</v>
      </c>
      <c r="AA54" s="3">
        <v>3985</v>
      </c>
      <c r="AB54" s="3">
        <v>3985</v>
      </c>
      <c r="AC54" s="3">
        <v>3985</v>
      </c>
      <c r="AD54" s="3">
        <v>3985</v>
      </c>
      <c r="AE54" s="3">
        <v>3985</v>
      </c>
      <c r="AF54" s="3">
        <v>3985</v>
      </c>
      <c r="AG54" s="3">
        <v>3985</v>
      </c>
      <c r="AH54" s="4"/>
      <c r="AI54" s="3">
        <v>3985</v>
      </c>
      <c r="AJ54" s="3">
        <v>3985</v>
      </c>
      <c r="AK54" s="3">
        <v>3985</v>
      </c>
      <c r="AL54" s="3">
        <v>3985</v>
      </c>
      <c r="AM54" s="3">
        <v>3985</v>
      </c>
      <c r="AN54" s="3">
        <v>3985</v>
      </c>
      <c r="AO54" s="3">
        <v>3985</v>
      </c>
      <c r="AP54" s="3">
        <v>3985</v>
      </c>
      <c r="AQ54" s="3">
        <v>3985</v>
      </c>
      <c r="AR54" s="3">
        <v>3985</v>
      </c>
      <c r="AS54" s="3">
        <v>3985</v>
      </c>
      <c r="AT54" s="3">
        <v>3985</v>
      </c>
      <c r="AU54" s="4"/>
      <c r="AV54" s="3">
        <v>3985</v>
      </c>
      <c r="AW54" s="3">
        <v>3985</v>
      </c>
      <c r="AX54" s="3">
        <v>3985</v>
      </c>
      <c r="AY54" s="3">
        <v>3985</v>
      </c>
      <c r="AZ54" s="3">
        <v>3985</v>
      </c>
      <c r="BA54" s="3">
        <v>3985</v>
      </c>
      <c r="BB54" s="3">
        <v>3985</v>
      </c>
      <c r="BC54" s="3">
        <v>3985</v>
      </c>
      <c r="BD54" s="3">
        <v>3985</v>
      </c>
      <c r="BE54" s="3">
        <v>3985</v>
      </c>
      <c r="BF54" s="3">
        <v>3985</v>
      </c>
      <c r="BG54" s="3">
        <v>3985</v>
      </c>
      <c r="BH54" s="12"/>
      <c r="BI54" s="3">
        <v>3985</v>
      </c>
      <c r="BJ54" s="3">
        <f>ROUND(3985/28*11+4184/28*17,2)</f>
        <v>4105.82</v>
      </c>
      <c r="BK54" s="3">
        <v>4184</v>
      </c>
      <c r="BL54" s="3">
        <v>4184</v>
      </c>
      <c r="BM54" s="3">
        <v>4184</v>
      </c>
      <c r="BN54" s="3">
        <v>4184</v>
      </c>
      <c r="BO54" s="3">
        <v>4184</v>
      </c>
      <c r="BP54" s="3">
        <v>4184</v>
      </c>
      <c r="BQ54" s="3">
        <v>4184</v>
      </c>
      <c r="BR54" s="3">
        <v>4184</v>
      </c>
      <c r="BS54" s="3">
        <v>4184</v>
      </c>
      <c r="BT54" s="3">
        <v>4184</v>
      </c>
      <c r="BU54" s="3"/>
      <c r="BV54" s="3">
        <v>4184</v>
      </c>
      <c r="BW54" s="3">
        <v>4184</v>
      </c>
      <c r="BX54" s="3">
        <v>4184</v>
      </c>
      <c r="BY54" s="3">
        <v>4184</v>
      </c>
      <c r="BZ54" s="3">
        <v>4184</v>
      </c>
      <c r="CA54" s="3">
        <v>4184</v>
      </c>
      <c r="CB54" s="3">
        <v>4184</v>
      </c>
      <c r="CC54" s="3">
        <v>4184</v>
      </c>
      <c r="CD54" s="3">
        <v>4184</v>
      </c>
      <c r="CE54" s="3">
        <v>4184</v>
      </c>
      <c r="CF54" s="3">
        <v>4184</v>
      </c>
      <c r="CG54" s="3">
        <v>4184</v>
      </c>
      <c r="CH54" s="3">
        <v>4184</v>
      </c>
      <c r="CI54" s="3">
        <v>4184</v>
      </c>
      <c r="CJ54" s="3">
        <v>4184</v>
      </c>
      <c r="CK54" s="3">
        <v>4184</v>
      </c>
      <c r="CL54" s="3">
        <v>4184</v>
      </c>
      <c r="CM54" s="3">
        <v>4184</v>
      </c>
      <c r="CN54" s="3">
        <v>4184</v>
      </c>
      <c r="CO54" s="3">
        <v>4184</v>
      </c>
      <c r="CP54" s="3">
        <v>4184</v>
      </c>
      <c r="CQ54" s="3">
        <v>4184</v>
      </c>
      <c r="CR54" s="3">
        <v>4184</v>
      </c>
      <c r="CS54" s="3">
        <v>4184</v>
      </c>
      <c r="CT54" s="3">
        <v>4184</v>
      </c>
      <c r="CU54" s="3">
        <f>ROUND(4184/29*11,2)</f>
        <v>1587.03</v>
      </c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</row>
    <row r="55" spans="1:181" ht="15" x14ac:dyDescent="0.25">
      <c r="A55" s="9" t="s">
        <v>114</v>
      </c>
      <c r="B55" s="10" t="s">
        <v>91</v>
      </c>
      <c r="C55" s="9" t="s">
        <v>50</v>
      </c>
      <c r="D55" s="9">
        <v>4</v>
      </c>
      <c r="E55" s="10" t="s">
        <v>15</v>
      </c>
      <c r="F55" s="9" t="s">
        <v>115</v>
      </c>
      <c r="G55" s="2">
        <v>9870</v>
      </c>
      <c r="H55" s="2">
        <v>1500</v>
      </c>
      <c r="I55" s="2">
        <v>0</v>
      </c>
      <c r="J55" s="3">
        <v>4935</v>
      </c>
      <c r="K55" s="2">
        <f t="shared" si="61"/>
        <v>11370</v>
      </c>
      <c r="L55" s="3"/>
      <c r="M55" s="3"/>
      <c r="N55" s="3"/>
      <c r="O55" s="3"/>
      <c r="P55" s="3"/>
      <c r="Q55" s="3"/>
      <c r="R55" s="3"/>
      <c r="S55" s="3"/>
      <c r="T55" s="3"/>
      <c r="U55" s="4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4"/>
      <c r="AI55" s="3"/>
      <c r="AJ55" s="3"/>
      <c r="AK55" s="3"/>
      <c r="AL55" s="3"/>
      <c r="AM55" s="3"/>
      <c r="AN55" s="3"/>
      <c r="AO55" s="3">
        <v>4700</v>
      </c>
      <c r="AP55" s="3">
        <v>4700</v>
      </c>
      <c r="AQ55" s="3">
        <v>4700</v>
      </c>
      <c r="AR55" s="3">
        <v>4700</v>
      </c>
      <c r="AS55" s="3">
        <v>4700</v>
      </c>
      <c r="AT55" s="3">
        <v>4700</v>
      </c>
      <c r="AU55" s="4"/>
      <c r="AV55" s="3">
        <v>4700</v>
      </c>
      <c r="AW55" s="3">
        <v>4700</v>
      </c>
      <c r="AX55" s="3">
        <v>4700</v>
      </c>
      <c r="AY55" s="3">
        <v>4700</v>
      </c>
      <c r="AZ55" s="3">
        <v>4700</v>
      </c>
      <c r="BA55" s="3">
        <v>4935</v>
      </c>
      <c r="BB55" s="3">
        <v>4935</v>
      </c>
      <c r="BC55" s="3">
        <v>4935</v>
      </c>
      <c r="BD55" s="3">
        <v>4935</v>
      </c>
      <c r="BE55" s="3">
        <v>4935</v>
      </c>
      <c r="BF55" s="3">
        <v>4935</v>
      </c>
      <c r="BG55" s="3">
        <v>4935</v>
      </c>
      <c r="BH55" s="12"/>
      <c r="BI55" s="3">
        <v>4935</v>
      </c>
      <c r="BJ55" s="3">
        <v>4935</v>
      </c>
      <c r="BK55" s="3">
        <v>4935</v>
      </c>
      <c r="BL55" s="3">
        <v>4935</v>
      </c>
      <c r="BM55" s="3">
        <v>4935</v>
      </c>
      <c r="BN55" s="11">
        <f t="shared" ref="BN55:BT55" si="107">BM55</f>
        <v>4935</v>
      </c>
      <c r="BO55" s="11">
        <f t="shared" si="107"/>
        <v>4935</v>
      </c>
      <c r="BP55" s="11">
        <f t="shared" si="107"/>
        <v>4935</v>
      </c>
      <c r="BQ55" s="11">
        <f t="shared" si="107"/>
        <v>4935</v>
      </c>
      <c r="BR55" s="11">
        <f t="shared" si="107"/>
        <v>4935</v>
      </c>
      <c r="BS55" s="11">
        <f t="shared" si="107"/>
        <v>4935</v>
      </c>
      <c r="BT55" s="11">
        <f t="shared" si="107"/>
        <v>4935</v>
      </c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</row>
    <row r="56" spans="1:181" ht="15" x14ac:dyDescent="0.25">
      <c r="A56" s="9" t="s">
        <v>116</v>
      </c>
      <c r="B56" s="10" t="s">
        <v>91</v>
      </c>
      <c r="C56" s="9" t="s">
        <v>53</v>
      </c>
      <c r="D56" s="9">
        <v>4</v>
      </c>
      <c r="E56" s="10" t="s">
        <v>15</v>
      </c>
      <c r="F56" s="9" t="s">
        <v>115</v>
      </c>
      <c r="G56" s="2">
        <v>2520</v>
      </c>
      <c r="H56" s="2">
        <v>1500</v>
      </c>
      <c r="I56" s="2">
        <v>0</v>
      </c>
      <c r="J56" s="11">
        <v>1260</v>
      </c>
      <c r="K56" s="2">
        <f t="shared" si="61"/>
        <v>4020</v>
      </c>
      <c r="L56" s="3"/>
      <c r="M56" s="3"/>
      <c r="N56" s="3"/>
      <c r="O56" s="3"/>
      <c r="P56" s="3"/>
      <c r="Q56" s="3"/>
      <c r="R56" s="3"/>
      <c r="S56" s="3"/>
      <c r="T56" s="3"/>
      <c r="U56" s="4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>
        <v>1260</v>
      </c>
      <c r="AH56" s="4"/>
      <c r="AI56" s="3">
        <v>1260</v>
      </c>
      <c r="AJ56" s="3">
        <v>1260</v>
      </c>
      <c r="AK56" s="3">
        <v>1260</v>
      </c>
      <c r="AL56" s="3">
        <v>1260</v>
      </c>
      <c r="AM56" s="3">
        <v>1260</v>
      </c>
      <c r="AN56" s="3">
        <v>1260</v>
      </c>
      <c r="AO56" s="3">
        <v>1260</v>
      </c>
      <c r="AP56" s="3">
        <v>1260</v>
      </c>
      <c r="AQ56" s="3">
        <v>1260</v>
      </c>
      <c r="AR56" s="3">
        <v>1260</v>
      </c>
      <c r="AS56" s="11">
        <f t="shared" ref="AS56:AT56" si="108">AR56</f>
        <v>1260</v>
      </c>
      <c r="AT56" s="11">
        <f t="shared" si="108"/>
        <v>1260</v>
      </c>
      <c r="AU56" s="4"/>
      <c r="AV56" s="11">
        <f>AT56</f>
        <v>1260</v>
      </c>
      <c r="AW56" s="11">
        <f t="shared" ref="AW56:BG56" si="109">AV56</f>
        <v>1260</v>
      </c>
      <c r="AX56" s="11">
        <f t="shared" si="109"/>
        <v>1260</v>
      </c>
      <c r="AY56" s="11">
        <f t="shared" si="109"/>
        <v>1260</v>
      </c>
      <c r="AZ56" s="11">
        <f t="shared" si="109"/>
        <v>1260</v>
      </c>
      <c r="BA56" s="11">
        <f t="shared" si="109"/>
        <v>1260</v>
      </c>
      <c r="BB56" s="11">
        <f t="shared" si="109"/>
        <v>1260</v>
      </c>
      <c r="BC56" s="11">
        <f t="shared" si="109"/>
        <v>1260</v>
      </c>
      <c r="BD56" s="11">
        <f t="shared" si="109"/>
        <v>1260</v>
      </c>
      <c r="BE56" s="11">
        <f t="shared" si="109"/>
        <v>1260</v>
      </c>
      <c r="BF56" s="11">
        <f t="shared" si="109"/>
        <v>1260</v>
      </c>
      <c r="BG56" s="11">
        <f t="shared" si="109"/>
        <v>1260</v>
      </c>
      <c r="BH56" s="12"/>
      <c r="BI56" s="11">
        <f>BG56</f>
        <v>1260</v>
      </c>
      <c r="BJ56" s="11">
        <f t="shared" ref="BJ56:BT56" si="110">BI56</f>
        <v>1260</v>
      </c>
      <c r="BK56" s="11">
        <f t="shared" si="110"/>
        <v>1260</v>
      </c>
      <c r="BL56" s="11">
        <f t="shared" si="110"/>
        <v>1260</v>
      </c>
      <c r="BM56" s="11">
        <f t="shared" si="110"/>
        <v>1260</v>
      </c>
      <c r="BN56" s="11">
        <f t="shared" si="110"/>
        <v>1260</v>
      </c>
      <c r="BO56" s="11">
        <f t="shared" si="110"/>
        <v>1260</v>
      </c>
      <c r="BP56" s="11">
        <f t="shared" si="110"/>
        <v>1260</v>
      </c>
      <c r="BQ56" s="11">
        <f t="shared" si="110"/>
        <v>1260</v>
      </c>
      <c r="BR56" s="11">
        <f t="shared" si="110"/>
        <v>1260</v>
      </c>
      <c r="BS56" s="11">
        <f t="shared" si="110"/>
        <v>1260</v>
      </c>
      <c r="BT56" s="11">
        <f t="shared" si="110"/>
        <v>1260</v>
      </c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</row>
    <row r="57" spans="1:181" ht="15" x14ac:dyDescent="0.25">
      <c r="A57" s="9" t="s">
        <v>117</v>
      </c>
      <c r="B57" s="10" t="s">
        <v>91</v>
      </c>
      <c r="C57" s="9" t="s">
        <v>53</v>
      </c>
      <c r="D57" s="9">
        <v>8</v>
      </c>
      <c r="E57" s="9" t="s">
        <v>24</v>
      </c>
      <c r="F57" s="9" t="s">
        <v>118</v>
      </c>
      <c r="G57" s="2">
        <v>3062</v>
      </c>
      <c r="H57" s="2">
        <v>0</v>
      </c>
      <c r="I57" s="2">
        <v>0</v>
      </c>
      <c r="J57" s="3">
        <v>1458</v>
      </c>
      <c r="K57" s="2">
        <f t="shared" si="61"/>
        <v>3062</v>
      </c>
      <c r="L57" s="11"/>
      <c r="M57" s="3">
        <v>0</v>
      </c>
      <c r="N57" s="3">
        <v>1260</v>
      </c>
      <c r="O57" s="3">
        <v>1260</v>
      </c>
      <c r="P57" s="3">
        <v>1260</v>
      </c>
      <c r="Q57" s="3">
        <v>1260</v>
      </c>
      <c r="R57" s="3">
        <v>1260</v>
      </c>
      <c r="S57" s="3">
        <v>1260</v>
      </c>
      <c r="T57" s="3">
        <v>1260</v>
      </c>
      <c r="U57" s="4"/>
      <c r="V57" s="3">
        <v>1260</v>
      </c>
      <c r="W57" s="3">
        <v>1260</v>
      </c>
      <c r="X57" s="3">
        <v>1260</v>
      </c>
      <c r="Y57" s="3">
        <v>1260</v>
      </c>
      <c r="Z57" s="3">
        <v>1323</v>
      </c>
      <c r="AA57" s="3">
        <v>1323</v>
      </c>
      <c r="AB57" s="3">
        <v>1323</v>
      </c>
      <c r="AC57" s="3">
        <v>1323</v>
      </c>
      <c r="AD57" s="3">
        <v>1323</v>
      </c>
      <c r="AE57" s="3">
        <v>1323</v>
      </c>
      <c r="AF57" s="3">
        <v>1323</v>
      </c>
      <c r="AG57" s="3">
        <v>1323</v>
      </c>
      <c r="AH57" s="4"/>
      <c r="AI57" s="3">
        <v>1323</v>
      </c>
      <c r="AJ57" s="3">
        <v>1323</v>
      </c>
      <c r="AK57" s="3">
        <v>1323</v>
      </c>
      <c r="AL57" s="3">
        <v>1323</v>
      </c>
      <c r="AM57" s="3">
        <v>1389</v>
      </c>
      <c r="AN57" s="3">
        <v>1389</v>
      </c>
      <c r="AO57" s="3">
        <v>1389</v>
      </c>
      <c r="AP57" s="3">
        <v>1389</v>
      </c>
      <c r="AQ57" s="3">
        <v>1389</v>
      </c>
      <c r="AR57" s="3">
        <v>1389</v>
      </c>
      <c r="AS57" s="3">
        <v>1389</v>
      </c>
      <c r="AT57" s="3">
        <v>1389</v>
      </c>
      <c r="AU57" s="4"/>
      <c r="AV57" s="3">
        <v>1389</v>
      </c>
      <c r="AW57" s="3">
        <v>1389</v>
      </c>
      <c r="AX57" s="3">
        <v>1389</v>
      </c>
      <c r="AY57" s="3">
        <v>1389</v>
      </c>
      <c r="AZ57" s="11">
        <f>AY57</f>
        <v>1389</v>
      </c>
      <c r="BA57" s="3">
        <v>1458</v>
      </c>
      <c r="BB57" s="3">
        <v>1458</v>
      </c>
      <c r="BC57" s="3">
        <v>1458</v>
      </c>
      <c r="BD57" s="3">
        <v>1458</v>
      </c>
      <c r="BE57" s="3">
        <v>1458</v>
      </c>
      <c r="BF57" s="3">
        <v>1458</v>
      </c>
      <c r="BG57" s="3">
        <v>1458</v>
      </c>
      <c r="BH57" s="12"/>
      <c r="BI57" s="3">
        <v>1458</v>
      </c>
      <c r="BJ57" s="3">
        <v>1458</v>
      </c>
      <c r="BK57" s="3">
        <v>1458</v>
      </c>
      <c r="BL57" s="3">
        <v>1458</v>
      </c>
      <c r="BM57" s="3">
        <v>1458</v>
      </c>
      <c r="BN57" s="3">
        <v>1531</v>
      </c>
      <c r="BO57" s="3">
        <v>1531</v>
      </c>
      <c r="BP57" s="3">
        <v>1531</v>
      </c>
      <c r="BQ57" s="3">
        <v>1531</v>
      </c>
      <c r="BR57" s="3">
        <v>1531</v>
      </c>
      <c r="BS57" s="3">
        <v>1531</v>
      </c>
      <c r="BT57" s="3">
        <v>1531</v>
      </c>
      <c r="BU57" s="3"/>
      <c r="BV57" s="3">
        <v>1531</v>
      </c>
      <c r="BW57" s="3">
        <v>1531</v>
      </c>
      <c r="BX57" s="3">
        <v>1531</v>
      </c>
      <c r="BY57" s="3">
        <v>1531</v>
      </c>
      <c r="BZ57" s="3">
        <v>1531</v>
      </c>
      <c r="CA57" s="3">
        <v>1608</v>
      </c>
      <c r="CB57" s="3">
        <v>1608</v>
      </c>
      <c r="CC57" s="3">
        <v>1608</v>
      </c>
      <c r="CD57" s="3">
        <v>1608</v>
      </c>
      <c r="CE57" s="3">
        <v>1608</v>
      </c>
      <c r="CF57" s="3">
        <v>1608</v>
      </c>
      <c r="CG57" s="3">
        <v>1608</v>
      </c>
      <c r="CH57" s="3">
        <v>1608</v>
      </c>
      <c r="CI57" s="3">
        <v>1608</v>
      </c>
      <c r="CJ57" s="3">
        <v>1608</v>
      </c>
      <c r="CK57" s="3">
        <v>1608</v>
      </c>
      <c r="CL57" s="3">
        <v>1608</v>
      </c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</row>
    <row r="58" spans="1:181" ht="15" x14ac:dyDescent="0.25">
      <c r="A58" s="9" t="s">
        <v>119</v>
      </c>
      <c r="B58" s="10" t="s">
        <v>91</v>
      </c>
      <c r="C58" s="9" t="s">
        <v>53</v>
      </c>
      <c r="D58" s="9">
        <v>9</v>
      </c>
      <c r="E58" s="9" t="s">
        <v>24</v>
      </c>
      <c r="F58" s="9" t="s">
        <v>120</v>
      </c>
      <c r="G58" s="2">
        <v>3496</v>
      </c>
      <c r="H58" s="2">
        <v>0</v>
      </c>
      <c r="I58" s="2">
        <v>0</v>
      </c>
      <c r="J58" s="3">
        <v>1665</v>
      </c>
      <c r="K58" s="2">
        <f t="shared" si="61"/>
        <v>3496</v>
      </c>
      <c r="L58" s="3">
        <v>1510</v>
      </c>
      <c r="M58" s="3">
        <v>1510</v>
      </c>
      <c r="N58" s="3">
        <v>1510</v>
      </c>
      <c r="O58" s="3">
        <v>1510</v>
      </c>
      <c r="P58" s="11">
        <f t="shared" ref="P58:T58" si="111">O58</f>
        <v>1510</v>
      </c>
      <c r="Q58" s="11">
        <f t="shared" si="111"/>
        <v>1510</v>
      </c>
      <c r="R58" s="11">
        <f t="shared" si="111"/>
        <v>1510</v>
      </c>
      <c r="S58" s="11">
        <f t="shared" si="111"/>
        <v>1510</v>
      </c>
      <c r="T58" s="11">
        <f t="shared" si="111"/>
        <v>1510</v>
      </c>
      <c r="U58" s="12"/>
      <c r="V58" s="11">
        <f>T58</f>
        <v>1510</v>
      </c>
      <c r="W58" s="11">
        <f t="shared" ref="W58:AG58" si="112">V58</f>
        <v>1510</v>
      </c>
      <c r="X58" s="11">
        <f t="shared" si="112"/>
        <v>1510</v>
      </c>
      <c r="Y58" s="11">
        <f t="shared" si="112"/>
        <v>1510</v>
      </c>
      <c r="Z58" s="11">
        <f t="shared" si="112"/>
        <v>1510</v>
      </c>
      <c r="AA58" s="11">
        <f t="shared" si="112"/>
        <v>1510</v>
      </c>
      <c r="AB58" s="11">
        <f t="shared" si="112"/>
        <v>1510</v>
      </c>
      <c r="AC58" s="11">
        <f t="shared" si="112"/>
        <v>1510</v>
      </c>
      <c r="AD58" s="11">
        <f t="shared" si="112"/>
        <v>1510</v>
      </c>
      <c r="AE58" s="11">
        <f t="shared" si="112"/>
        <v>1510</v>
      </c>
      <c r="AF58" s="11">
        <f t="shared" si="112"/>
        <v>1510</v>
      </c>
      <c r="AG58" s="11">
        <f t="shared" si="112"/>
        <v>1510</v>
      </c>
      <c r="AH58" s="4"/>
      <c r="AI58" s="11">
        <f>AG58</f>
        <v>1510</v>
      </c>
      <c r="AJ58" s="11">
        <f t="shared" ref="AJ58:AL58" si="113">AI58</f>
        <v>1510</v>
      </c>
      <c r="AK58" s="11">
        <f t="shared" si="113"/>
        <v>1510</v>
      </c>
      <c r="AL58" s="11">
        <f t="shared" si="113"/>
        <v>1510</v>
      </c>
      <c r="AM58" s="3">
        <v>1586</v>
      </c>
      <c r="AN58" s="3">
        <v>1586</v>
      </c>
      <c r="AO58" s="3">
        <v>1586</v>
      </c>
      <c r="AP58" s="3">
        <v>1586</v>
      </c>
      <c r="AQ58" s="3">
        <v>1586</v>
      </c>
      <c r="AR58" s="3">
        <v>1586</v>
      </c>
      <c r="AS58" s="3">
        <v>1586</v>
      </c>
      <c r="AT58" s="3">
        <v>1586</v>
      </c>
      <c r="AU58" s="4"/>
      <c r="AV58" s="3">
        <v>1586</v>
      </c>
      <c r="AW58" s="3">
        <v>1586</v>
      </c>
      <c r="AX58" s="3">
        <v>1586</v>
      </c>
      <c r="AY58" s="3">
        <v>1586</v>
      </c>
      <c r="AZ58" s="3">
        <v>1586</v>
      </c>
      <c r="BA58" s="3">
        <v>1665</v>
      </c>
      <c r="BB58" s="3">
        <v>1665</v>
      </c>
      <c r="BC58" s="3">
        <v>1665</v>
      </c>
      <c r="BD58" s="3">
        <v>1665</v>
      </c>
      <c r="BE58" s="3">
        <v>1665</v>
      </c>
      <c r="BF58" s="3">
        <v>1665</v>
      </c>
      <c r="BG58" s="3">
        <v>1665</v>
      </c>
      <c r="BH58" s="12"/>
      <c r="BI58" s="3">
        <v>1665</v>
      </c>
      <c r="BJ58" s="3">
        <v>1665</v>
      </c>
      <c r="BK58" s="3">
        <v>1665</v>
      </c>
      <c r="BL58" s="3">
        <v>1665</v>
      </c>
      <c r="BM58" s="3">
        <v>1665</v>
      </c>
      <c r="BN58" s="3">
        <v>1748</v>
      </c>
      <c r="BO58" s="3">
        <v>1748</v>
      </c>
      <c r="BP58" s="3">
        <v>1748</v>
      </c>
      <c r="BQ58" s="3">
        <v>1748</v>
      </c>
      <c r="BR58" s="3">
        <v>1748</v>
      </c>
      <c r="BS58" s="3">
        <v>1748</v>
      </c>
      <c r="BT58" s="3">
        <v>1748</v>
      </c>
      <c r="BU58" s="3"/>
      <c r="BV58" s="3">
        <v>1748</v>
      </c>
      <c r="BW58" s="3">
        <v>1748</v>
      </c>
      <c r="BX58" s="3">
        <v>1748</v>
      </c>
      <c r="BY58" s="3">
        <v>1748</v>
      </c>
      <c r="BZ58" s="3">
        <v>1748</v>
      </c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</row>
    <row r="59" spans="1:181" ht="15" x14ac:dyDescent="0.25">
      <c r="A59" s="9" t="s">
        <v>121</v>
      </c>
      <c r="B59" s="10" t="s">
        <v>91</v>
      </c>
      <c r="C59" s="9" t="s">
        <v>50</v>
      </c>
      <c r="D59" s="9">
        <v>9</v>
      </c>
      <c r="E59" s="9" t="s">
        <v>24</v>
      </c>
      <c r="F59" s="9" t="s">
        <v>122</v>
      </c>
      <c r="G59" s="2">
        <v>7224</v>
      </c>
      <c r="H59" s="2">
        <v>0</v>
      </c>
      <c r="I59" s="2">
        <v>0</v>
      </c>
      <c r="J59" s="3">
        <v>3612</v>
      </c>
      <c r="K59" s="2">
        <f t="shared" si="61"/>
        <v>7224</v>
      </c>
      <c r="L59" s="3"/>
      <c r="M59" s="3"/>
      <c r="N59" s="3"/>
      <c r="O59" s="11"/>
      <c r="P59" s="11"/>
      <c r="Q59" s="11"/>
      <c r="R59" s="11"/>
      <c r="S59" s="11"/>
      <c r="T59" s="11"/>
      <c r="U59" s="12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4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3440</v>
      </c>
      <c r="AU59" s="4"/>
      <c r="AV59" s="3">
        <v>3440</v>
      </c>
      <c r="AW59" s="3">
        <v>3440</v>
      </c>
      <c r="AX59" s="3">
        <v>3440</v>
      </c>
      <c r="AY59" s="3">
        <v>3440</v>
      </c>
      <c r="AZ59" s="3">
        <v>3440</v>
      </c>
      <c r="BA59" s="3">
        <v>3440</v>
      </c>
      <c r="BB59" s="3">
        <v>3440</v>
      </c>
      <c r="BC59" s="3">
        <v>3440</v>
      </c>
      <c r="BD59" s="3">
        <v>3440</v>
      </c>
      <c r="BE59" s="3">
        <v>3440</v>
      </c>
      <c r="BF59" s="3">
        <v>3440</v>
      </c>
      <c r="BG59" s="3">
        <v>3612</v>
      </c>
      <c r="BH59" s="12"/>
      <c r="BI59" s="3">
        <v>3612</v>
      </c>
      <c r="BJ59" s="3">
        <v>3612</v>
      </c>
      <c r="BK59" s="3">
        <v>3612</v>
      </c>
      <c r="BL59" s="3">
        <v>3612</v>
      </c>
      <c r="BM59" s="3">
        <v>3612</v>
      </c>
      <c r="BN59" s="3">
        <v>3612</v>
      </c>
      <c r="BO59" s="3">
        <v>3612</v>
      </c>
      <c r="BP59" s="3">
        <v>3612</v>
      </c>
      <c r="BQ59" s="3">
        <v>3612</v>
      </c>
      <c r="BR59" s="3">
        <v>3612</v>
      </c>
      <c r="BS59" s="3">
        <v>3612</v>
      </c>
      <c r="BT59" s="11">
        <f>BS59</f>
        <v>3612</v>
      </c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</row>
    <row r="60" spans="1:181" ht="15" x14ac:dyDescent="0.25">
      <c r="A60" s="9" t="s">
        <v>123</v>
      </c>
      <c r="B60" s="10" t="s">
        <v>91</v>
      </c>
      <c r="C60" s="9" t="s">
        <v>73</v>
      </c>
      <c r="D60" s="9">
        <v>3</v>
      </c>
      <c r="E60" s="9" t="s">
        <v>24</v>
      </c>
      <c r="F60" s="9" t="s">
        <v>124</v>
      </c>
      <c r="G60" s="2">
        <v>9708</v>
      </c>
      <c r="H60" s="2">
        <v>1500</v>
      </c>
      <c r="I60" s="2">
        <v>0</v>
      </c>
      <c r="J60" s="3">
        <v>4854</v>
      </c>
      <c r="K60" s="2">
        <f t="shared" si="61"/>
        <v>11208</v>
      </c>
      <c r="L60" s="3">
        <v>4200</v>
      </c>
      <c r="M60" s="3">
        <v>4200</v>
      </c>
      <c r="N60" s="3">
        <v>4200</v>
      </c>
      <c r="O60" s="11">
        <f t="shared" ref="O60:T60" si="114">N60</f>
        <v>4200</v>
      </c>
      <c r="P60" s="11">
        <f t="shared" si="114"/>
        <v>4200</v>
      </c>
      <c r="Q60" s="11">
        <f t="shared" si="114"/>
        <v>4200</v>
      </c>
      <c r="R60" s="11">
        <f t="shared" si="114"/>
        <v>4200</v>
      </c>
      <c r="S60" s="11">
        <f t="shared" si="114"/>
        <v>4200</v>
      </c>
      <c r="T60" s="11">
        <f t="shared" si="114"/>
        <v>4200</v>
      </c>
      <c r="U60" s="12"/>
      <c r="V60" s="11">
        <f t="shared" ref="V60:V62" si="115">T60</f>
        <v>4200</v>
      </c>
      <c r="W60" s="11">
        <f t="shared" ref="W60:AG60" si="116">V60</f>
        <v>4200</v>
      </c>
      <c r="X60" s="11">
        <f t="shared" si="116"/>
        <v>4200</v>
      </c>
      <c r="Y60" s="11">
        <f t="shared" si="116"/>
        <v>4200</v>
      </c>
      <c r="Z60" s="11">
        <f t="shared" si="116"/>
        <v>4200</v>
      </c>
      <c r="AA60" s="11">
        <f t="shared" si="116"/>
        <v>4200</v>
      </c>
      <c r="AB60" s="11">
        <f t="shared" si="116"/>
        <v>4200</v>
      </c>
      <c r="AC60" s="11">
        <f t="shared" si="116"/>
        <v>4200</v>
      </c>
      <c r="AD60" s="11">
        <f t="shared" si="116"/>
        <v>4200</v>
      </c>
      <c r="AE60" s="11">
        <f t="shared" si="116"/>
        <v>4200</v>
      </c>
      <c r="AF60" s="11">
        <f t="shared" si="116"/>
        <v>4200</v>
      </c>
      <c r="AG60" s="11">
        <f t="shared" si="116"/>
        <v>4200</v>
      </c>
      <c r="AH60" s="4"/>
      <c r="AI60" s="3">
        <v>4515</v>
      </c>
      <c r="AJ60" s="3">
        <v>4515</v>
      </c>
      <c r="AK60" s="3">
        <v>4515</v>
      </c>
      <c r="AL60" s="3">
        <v>4515</v>
      </c>
      <c r="AM60" s="3">
        <v>4515</v>
      </c>
      <c r="AN60" s="3">
        <v>4515</v>
      </c>
      <c r="AO60" s="3">
        <v>4515</v>
      </c>
      <c r="AP60" s="3">
        <v>4515</v>
      </c>
      <c r="AQ60" s="3">
        <v>4515</v>
      </c>
      <c r="AR60" s="3">
        <v>4515</v>
      </c>
      <c r="AS60" s="3">
        <v>4515</v>
      </c>
      <c r="AT60" s="3">
        <v>4515</v>
      </c>
      <c r="AU60" s="4"/>
      <c r="AV60" s="3">
        <v>4515</v>
      </c>
      <c r="AW60" s="3">
        <v>4515</v>
      </c>
      <c r="AX60" s="3">
        <v>4515</v>
      </c>
      <c r="AY60" s="3">
        <v>4515</v>
      </c>
      <c r="AZ60" s="3">
        <v>4515</v>
      </c>
      <c r="BA60" s="3">
        <v>4515</v>
      </c>
      <c r="BB60" s="3">
        <v>4515</v>
      </c>
      <c r="BC60" s="3">
        <v>4515</v>
      </c>
      <c r="BD60" s="3">
        <v>4515</v>
      </c>
      <c r="BE60" s="3">
        <v>4515</v>
      </c>
      <c r="BF60" s="3">
        <v>4515</v>
      </c>
      <c r="BG60" s="3">
        <v>4515</v>
      </c>
      <c r="BH60" s="12"/>
      <c r="BI60" s="3">
        <v>4854</v>
      </c>
      <c r="BJ60" s="3">
        <v>4854</v>
      </c>
      <c r="BK60" s="3">
        <v>4854</v>
      </c>
      <c r="BL60" s="3">
        <v>4854</v>
      </c>
      <c r="BM60" s="3">
        <v>4854</v>
      </c>
      <c r="BN60" s="3">
        <v>4854</v>
      </c>
      <c r="BO60" s="3">
        <v>4854</v>
      </c>
      <c r="BP60" s="3">
        <v>4854</v>
      </c>
      <c r="BQ60" s="3">
        <v>4854</v>
      </c>
      <c r="BR60" s="3">
        <v>4854</v>
      </c>
      <c r="BS60" s="3">
        <v>4854</v>
      </c>
      <c r="BT60" s="3">
        <v>4854</v>
      </c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</row>
    <row r="61" spans="1:181" ht="15" x14ac:dyDescent="0.25">
      <c r="A61" s="9" t="s">
        <v>125</v>
      </c>
      <c r="B61" s="10" t="s">
        <v>91</v>
      </c>
      <c r="C61" s="9" t="s">
        <v>73</v>
      </c>
      <c r="D61" s="9">
        <v>5</v>
      </c>
      <c r="E61" s="9" t="s">
        <v>24</v>
      </c>
      <c r="F61" s="9" t="s">
        <v>124</v>
      </c>
      <c r="G61" s="2">
        <v>9708</v>
      </c>
      <c r="H61" s="2">
        <v>0</v>
      </c>
      <c r="I61" s="2">
        <v>0</v>
      </c>
      <c r="J61" s="3">
        <v>4854</v>
      </c>
      <c r="K61" s="2">
        <f t="shared" si="61"/>
        <v>9708</v>
      </c>
      <c r="L61" s="3">
        <v>4200</v>
      </c>
      <c r="M61" s="3">
        <v>4200</v>
      </c>
      <c r="N61" s="3">
        <v>4200</v>
      </c>
      <c r="O61" s="11">
        <f t="shared" ref="O61:T61" si="117">N61</f>
        <v>4200</v>
      </c>
      <c r="P61" s="11">
        <f t="shared" si="117"/>
        <v>4200</v>
      </c>
      <c r="Q61" s="11">
        <f t="shared" si="117"/>
        <v>4200</v>
      </c>
      <c r="R61" s="11">
        <f t="shared" si="117"/>
        <v>4200</v>
      </c>
      <c r="S61" s="11">
        <f t="shared" si="117"/>
        <v>4200</v>
      </c>
      <c r="T61" s="11">
        <f t="shared" si="117"/>
        <v>4200</v>
      </c>
      <c r="U61" s="12"/>
      <c r="V61" s="11">
        <f t="shared" si="115"/>
        <v>4200</v>
      </c>
      <c r="W61" s="11">
        <f t="shared" ref="W61:AG61" si="118">V61</f>
        <v>4200</v>
      </c>
      <c r="X61" s="11">
        <f t="shared" si="118"/>
        <v>4200</v>
      </c>
      <c r="Y61" s="11">
        <f t="shared" si="118"/>
        <v>4200</v>
      </c>
      <c r="Z61" s="11">
        <f t="shared" si="118"/>
        <v>4200</v>
      </c>
      <c r="AA61" s="11">
        <f t="shared" si="118"/>
        <v>4200</v>
      </c>
      <c r="AB61" s="11">
        <f t="shared" si="118"/>
        <v>4200</v>
      </c>
      <c r="AC61" s="11">
        <f t="shared" si="118"/>
        <v>4200</v>
      </c>
      <c r="AD61" s="11">
        <f t="shared" si="118"/>
        <v>4200</v>
      </c>
      <c r="AE61" s="11">
        <f t="shared" si="118"/>
        <v>4200</v>
      </c>
      <c r="AF61" s="11">
        <f t="shared" si="118"/>
        <v>4200</v>
      </c>
      <c r="AG61" s="11">
        <f t="shared" si="118"/>
        <v>4200</v>
      </c>
      <c r="AH61" s="4"/>
      <c r="AI61" s="3">
        <v>4515</v>
      </c>
      <c r="AJ61" s="3">
        <v>4515</v>
      </c>
      <c r="AK61" s="3">
        <v>4515</v>
      </c>
      <c r="AL61" s="3">
        <v>4515</v>
      </c>
      <c r="AM61" s="3">
        <v>4515</v>
      </c>
      <c r="AN61" s="3">
        <v>4515</v>
      </c>
      <c r="AO61" s="3">
        <v>4515</v>
      </c>
      <c r="AP61" s="3">
        <v>4515</v>
      </c>
      <c r="AQ61" s="3">
        <v>4515</v>
      </c>
      <c r="AR61" s="3">
        <v>4515</v>
      </c>
      <c r="AS61" s="3">
        <v>4515</v>
      </c>
      <c r="AT61" s="3">
        <v>4515</v>
      </c>
      <c r="AU61" s="4"/>
      <c r="AV61" s="3">
        <v>4515</v>
      </c>
      <c r="AW61" s="3">
        <v>4515</v>
      </c>
      <c r="AX61" s="3">
        <v>4515</v>
      </c>
      <c r="AY61" s="3">
        <v>4515</v>
      </c>
      <c r="AZ61" s="3">
        <v>4515</v>
      </c>
      <c r="BA61" s="3">
        <v>4515</v>
      </c>
      <c r="BB61" s="3">
        <v>4515</v>
      </c>
      <c r="BC61" s="3">
        <v>4515</v>
      </c>
      <c r="BD61" s="3">
        <v>4515</v>
      </c>
      <c r="BE61" s="3">
        <v>4515</v>
      </c>
      <c r="BF61" s="3">
        <v>4515</v>
      </c>
      <c r="BG61" s="3">
        <v>4515</v>
      </c>
      <c r="BH61" s="12"/>
      <c r="BI61" s="3">
        <v>4854</v>
      </c>
      <c r="BJ61" s="3">
        <v>4854</v>
      </c>
      <c r="BK61" s="3">
        <v>4854</v>
      </c>
      <c r="BL61" s="3">
        <v>4854</v>
      </c>
      <c r="BM61" s="3">
        <v>4854</v>
      </c>
      <c r="BN61" s="3">
        <v>4854</v>
      </c>
      <c r="BO61" s="3">
        <v>4854</v>
      </c>
      <c r="BP61" s="3">
        <v>4854</v>
      </c>
      <c r="BQ61" s="3">
        <v>4854</v>
      </c>
      <c r="BR61" s="3">
        <v>4854</v>
      </c>
      <c r="BS61" s="3">
        <v>4854</v>
      </c>
      <c r="BT61" s="3">
        <v>4854</v>
      </c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</row>
    <row r="62" spans="1:181" ht="15" x14ac:dyDescent="0.25">
      <c r="A62" s="9" t="s">
        <v>126</v>
      </c>
      <c r="B62" s="10" t="s">
        <v>91</v>
      </c>
      <c r="C62" s="9" t="s">
        <v>73</v>
      </c>
      <c r="D62" s="9">
        <v>4</v>
      </c>
      <c r="E62" s="9" t="s">
        <v>24</v>
      </c>
      <c r="F62" s="9" t="s">
        <v>127</v>
      </c>
      <c r="G62" s="2">
        <v>9708</v>
      </c>
      <c r="H62" s="2">
        <v>0</v>
      </c>
      <c r="I62" s="2">
        <v>0</v>
      </c>
      <c r="J62" s="3">
        <v>4854</v>
      </c>
      <c r="K62" s="2">
        <f t="shared" si="61"/>
        <v>9708</v>
      </c>
      <c r="L62" s="3">
        <v>4200</v>
      </c>
      <c r="M62" s="3">
        <v>4200</v>
      </c>
      <c r="N62" s="3">
        <v>4200</v>
      </c>
      <c r="O62" s="11">
        <f t="shared" ref="O62:T62" si="119">N62</f>
        <v>4200</v>
      </c>
      <c r="P62" s="11">
        <f t="shared" si="119"/>
        <v>4200</v>
      </c>
      <c r="Q62" s="11">
        <f t="shared" si="119"/>
        <v>4200</v>
      </c>
      <c r="R62" s="11">
        <f t="shared" si="119"/>
        <v>4200</v>
      </c>
      <c r="S62" s="11">
        <f t="shared" si="119"/>
        <v>4200</v>
      </c>
      <c r="T62" s="11">
        <f t="shared" si="119"/>
        <v>4200</v>
      </c>
      <c r="U62" s="12"/>
      <c r="V62" s="11">
        <f t="shared" si="115"/>
        <v>4200</v>
      </c>
      <c r="W62" s="11">
        <f t="shared" ref="W62:AG62" si="120">V62</f>
        <v>4200</v>
      </c>
      <c r="X62" s="11">
        <f t="shared" si="120"/>
        <v>4200</v>
      </c>
      <c r="Y62" s="11">
        <f t="shared" si="120"/>
        <v>4200</v>
      </c>
      <c r="Z62" s="11">
        <f t="shared" si="120"/>
        <v>4200</v>
      </c>
      <c r="AA62" s="11">
        <f t="shared" si="120"/>
        <v>4200</v>
      </c>
      <c r="AB62" s="11">
        <f t="shared" si="120"/>
        <v>4200</v>
      </c>
      <c r="AC62" s="11">
        <f t="shared" si="120"/>
        <v>4200</v>
      </c>
      <c r="AD62" s="11">
        <f t="shared" si="120"/>
        <v>4200</v>
      </c>
      <c r="AE62" s="11">
        <f t="shared" si="120"/>
        <v>4200</v>
      </c>
      <c r="AF62" s="11">
        <f t="shared" si="120"/>
        <v>4200</v>
      </c>
      <c r="AG62" s="11">
        <f t="shared" si="120"/>
        <v>4200</v>
      </c>
      <c r="AH62" s="4"/>
      <c r="AI62" s="3">
        <v>4515</v>
      </c>
      <c r="AJ62" s="3">
        <v>4515</v>
      </c>
      <c r="AK62" s="3">
        <v>4515</v>
      </c>
      <c r="AL62" s="3">
        <v>4515</v>
      </c>
      <c r="AM62" s="3">
        <v>4515</v>
      </c>
      <c r="AN62" s="3">
        <v>4515</v>
      </c>
      <c r="AO62" s="3">
        <v>4515</v>
      </c>
      <c r="AP62" s="3">
        <v>4515</v>
      </c>
      <c r="AQ62" s="3">
        <v>4515</v>
      </c>
      <c r="AR62" s="3">
        <v>4515</v>
      </c>
      <c r="AS62" s="3">
        <v>4515</v>
      </c>
      <c r="AT62" s="3">
        <v>4515</v>
      </c>
      <c r="AU62" s="4"/>
      <c r="AV62" s="3">
        <v>4515</v>
      </c>
      <c r="AW62" s="3">
        <v>4515</v>
      </c>
      <c r="AX62" s="3">
        <v>4515</v>
      </c>
      <c r="AY62" s="3">
        <v>4515</v>
      </c>
      <c r="AZ62" s="3">
        <v>4515</v>
      </c>
      <c r="BA62" s="3">
        <v>4515</v>
      </c>
      <c r="BB62" s="3">
        <v>4515</v>
      </c>
      <c r="BC62" s="3">
        <v>4515</v>
      </c>
      <c r="BD62" s="3">
        <v>4515</v>
      </c>
      <c r="BE62" s="3">
        <v>4515</v>
      </c>
      <c r="BF62" s="3">
        <v>4515</v>
      </c>
      <c r="BG62" s="3">
        <v>4515</v>
      </c>
      <c r="BH62" s="12"/>
      <c r="BI62" s="3">
        <v>4854</v>
      </c>
      <c r="BJ62" s="3">
        <v>4854</v>
      </c>
      <c r="BK62" s="3">
        <v>4854</v>
      </c>
      <c r="BL62" s="3">
        <v>4854</v>
      </c>
      <c r="BM62" s="3">
        <v>4854</v>
      </c>
      <c r="BN62" s="3">
        <v>4854</v>
      </c>
      <c r="BO62" s="3">
        <v>4854</v>
      </c>
      <c r="BP62" s="3">
        <v>4854</v>
      </c>
      <c r="BQ62" s="3">
        <v>4854</v>
      </c>
      <c r="BR62" s="3">
        <v>4854</v>
      </c>
      <c r="BS62" s="3">
        <v>4854</v>
      </c>
      <c r="BT62" s="3">
        <v>4854</v>
      </c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</row>
    <row r="63" spans="1:181" ht="15" x14ac:dyDescent="0.25">
      <c r="A63" s="9" t="s">
        <v>128</v>
      </c>
      <c r="B63" s="10" t="s">
        <v>91</v>
      </c>
      <c r="C63" s="9" t="s">
        <v>53</v>
      </c>
      <c r="D63" s="9">
        <v>1</v>
      </c>
      <c r="E63" s="9" t="s">
        <v>24</v>
      </c>
      <c r="F63" s="9" t="s">
        <v>129</v>
      </c>
      <c r="G63" s="2">
        <v>3600</v>
      </c>
      <c r="H63" s="2">
        <v>1500</v>
      </c>
      <c r="I63" s="2">
        <v>0</v>
      </c>
      <c r="J63" s="3"/>
      <c r="K63" s="2">
        <f t="shared" si="61"/>
        <v>5100</v>
      </c>
      <c r="L63" s="11"/>
      <c r="M63" s="11"/>
      <c r="N63" s="11"/>
      <c r="O63" s="3"/>
      <c r="P63" s="11"/>
      <c r="Q63" s="3"/>
      <c r="R63" s="3"/>
      <c r="S63" s="3"/>
      <c r="T63" s="3"/>
      <c r="U63" s="4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4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4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12"/>
      <c r="BI63" s="3"/>
      <c r="BJ63" s="3"/>
      <c r="BK63" s="3"/>
      <c r="BL63" s="3"/>
      <c r="BM63" s="3"/>
      <c r="BN63" s="3">
        <v>1800</v>
      </c>
      <c r="BO63" s="3">
        <v>1800</v>
      </c>
      <c r="BP63" s="3">
        <v>1800</v>
      </c>
      <c r="BQ63" s="3">
        <v>1800</v>
      </c>
      <c r="BR63" s="3">
        <v>1800</v>
      </c>
      <c r="BS63" s="3">
        <v>1800</v>
      </c>
      <c r="BT63" s="3">
        <v>1800</v>
      </c>
      <c r="BU63" s="3"/>
      <c r="BV63" s="3">
        <v>1800</v>
      </c>
      <c r="BW63" s="3">
        <v>1800</v>
      </c>
      <c r="BX63" s="3">
        <v>1800</v>
      </c>
      <c r="BY63" s="3">
        <v>1800</v>
      </c>
      <c r="BZ63" s="3">
        <v>1800</v>
      </c>
      <c r="CA63" s="3">
        <v>1800</v>
      </c>
      <c r="CB63" s="3">
        <v>1800</v>
      </c>
      <c r="CC63" s="3">
        <v>1800</v>
      </c>
      <c r="CD63" s="3">
        <v>1800</v>
      </c>
      <c r="CE63" s="3">
        <v>1800</v>
      </c>
      <c r="CF63" s="3">
        <v>1800</v>
      </c>
      <c r="CG63" s="3">
        <v>1800</v>
      </c>
      <c r="CH63" s="3">
        <v>1800</v>
      </c>
      <c r="CI63" s="3">
        <v>1800</v>
      </c>
      <c r="CJ63" s="3">
        <v>1800</v>
      </c>
      <c r="CK63" s="3">
        <v>1800</v>
      </c>
      <c r="CL63" s="3">
        <v>1980</v>
      </c>
      <c r="CM63" s="3">
        <v>1980</v>
      </c>
      <c r="CN63" s="3">
        <v>1980</v>
      </c>
      <c r="CO63" s="3">
        <v>1980</v>
      </c>
      <c r="CP63" s="3">
        <v>1980</v>
      </c>
      <c r="CQ63" s="3">
        <v>1980</v>
      </c>
      <c r="CR63" s="3">
        <v>1980</v>
      </c>
      <c r="CS63" s="3">
        <v>1980</v>
      </c>
      <c r="CT63" s="3">
        <v>1980</v>
      </c>
      <c r="CU63" s="3">
        <v>1980</v>
      </c>
      <c r="CV63" s="3">
        <v>1980</v>
      </c>
      <c r="CW63" s="3">
        <v>1980</v>
      </c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</row>
    <row r="64" spans="1:181" ht="15" x14ac:dyDescent="0.25">
      <c r="A64" s="9" t="s">
        <v>130</v>
      </c>
      <c r="B64" s="10" t="s">
        <v>91</v>
      </c>
      <c r="C64" s="9" t="s">
        <v>53</v>
      </c>
      <c r="D64" s="9">
        <v>2</v>
      </c>
      <c r="E64" s="9" t="s">
        <v>24</v>
      </c>
      <c r="F64" s="9" t="s">
        <v>129</v>
      </c>
      <c r="G64" s="2">
        <v>3000</v>
      </c>
      <c r="H64" s="2">
        <v>1500</v>
      </c>
      <c r="I64" s="2">
        <v>0</v>
      </c>
      <c r="J64" s="3"/>
      <c r="K64" s="2">
        <f t="shared" si="61"/>
        <v>4500</v>
      </c>
      <c r="L64" s="11"/>
      <c r="M64" s="11"/>
      <c r="N64" s="11"/>
      <c r="O64" s="3"/>
      <c r="P64" s="11"/>
      <c r="Q64" s="3"/>
      <c r="R64" s="3"/>
      <c r="S64" s="3"/>
      <c r="T64" s="3"/>
      <c r="U64" s="4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4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4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12"/>
      <c r="BI64" s="3"/>
      <c r="BJ64" s="3"/>
      <c r="BK64" s="3"/>
      <c r="BL64" s="3"/>
      <c r="BM64" s="3"/>
      <c r="BN64" s="3">
        <v>1500</v>
      </c>
      <c r="BO64" s="3">
        <v>1500</v>
      </c>
      <c r="BP64" s="3">
        <v>1500</v>
      </c>
      <c r="BQ64" s="3">
        <v>1500</v>
      </c>
      <c r="BR64" s="3">
        <v>1500</v>
      </c>
      <c r="BS64" s="3">
        <v>1500</v>
      </c>
      <c r="BT64" s="3">
        <v>1500</v>
      </c>
      <c r="BU64" s="3"/>
      <c r="BV64" s="3">
        <v>1500</v>
      </c>
      <c r="BW64" s="3">
        <v>1500</v>
      </c>
      <c r="BX64" s="3">
        <v>1500</v>
      </c>
      <c r="BY64" s="3">
        <v>1500</v>
      </c>
      <c r="BZ64" s="3">
        <v>1500</v>
      </c>
      <c r="CA64" s="3">
        <v>1500</v>
      </c>
      <c r="CB64" s="3">
        <v>1500</v>
      </c>
      <c r="CC64" s="3">
        <v>1500</v>
      </c>
      <c r="CD64" s="3">
        <v>1500</v>
      </c>
      <c r="CE64" s="3">
        <v>1500</v>
      </c>
      <c r="CF64" s="3">
        <v>1500</v>
      </c>
      <c r="CG64" s="3">
        <v>1500</v>
      </c>
      <c r="CH64" s="3">
        <v>1500</v>
      </c>
      <c r="CI64" s="3">
        <v>1500</v>
      </c>
      <c r="CJ64" s="3">
        <v>1500</v>
      </c>
      <c r="CK64" s="3">
        <v>1500</v>
      </c>
      <c r="CL64" s="3">
        <v>1650</v>
      </c>
      <c r="CM64" s="3">
        <v>1650</v>
      </c>
      <c r="CN64" s="3">
        <v>1650</v>
      </c>
      <c r="CO64" s="3">
        <v>1650</v>
      </c>
      <c r="CP64" s="3">
        <v>1650</v>
      </c>
      <c r="CQ64" s="3">
        <v>1650</v>
      </c>
      <c r="CR64" s="3">
        <v>1650</v>
      </c>
      <c r="CS64" s="3">
        <v>1650</v>
      </c>
      <c r="CT64" s="3">
        <v>1650</v>
      </c>
      <c r="CU64" s="3">
        <v>1650</v>
      </c>
      <c r="CV64" s="3">
        <v>1650</v>
      </c>
      <c r="CW64" s="3">
        <v>1650</v>
      </c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</row>
    <row r="65" spans="1:181" ht="15" x14ac:dyDescent="0.25">
      <c r="A65" s="9" t="s">
        <v>131</v>
      </c>
      <c r="B65" s="10" t="s">
        <v>91</v>
      </c>
      <c r="C65" s="9" t="s">
        <v>50</v>
      </c>
      <c r="D65" s="9">
        <v>12</v>
      </c>
      <c r="E65" s="9" t="s">
        <v>24</v>
      </c>
      <c r="F65" s="9" t="s">
        <v>132</v>
      </c>
      <c r="G65" s="2">
        <v>17092.5</v>
      </c>
      <c r="H65" s="2">
        <v>5300</v>
      </c>
      <c r="I65" s="2">
        <v>0</v>
      </c>
      <c r="J65" s="3">
        <v>5565</v>
      </c>
      <c r="K65" s="2">
        <f t="shared" si="61"/>
        <v>22392.5</v>
      </c>
      <c r="L65" s="3">
        <v>5300</v>
      </c>
      <c r="M65" s="3">
        <v>5300</v>
      </c>
      <c r="N65" s="3">
        <v>5300</v>
      </c>
      <c r="O65" s="3">
        <v>5300</v>
      </c>
      <c r="P65" s="3">
        <v>5300</v>
      </c>
      <c r="Q65" s="3">
        <v>5300</v>
      </c>
      <c r="R65" s="3">
        <v>5300</v>
      </c>
      <c r="S65" s="3">
        <v>5300</v>
      </c>
      <c r="T65" s="3">
        <v>5300</v>
      </c>
      <c r="U65" s="4"/>
      <c r="V65" s="3">
        <v>5300</v>
      </c>
      <c r="W65" s="3">
        <v>5300</v>
      </c>
      <c r="X65" s="3">
        <v>5300</v>
      </c>
      <c r="Y65" s="3">
        <v>5300</v>
      </c>
      <c r="Z65" s="3">
        <v>5300</v>
      </c>
      <c r="AA65" s="3">
        <v>5300</v>
      </c>
      <c r="AB65" s="3">
        <v>5300</v>
      </c>
      <c r="AC65" s="3">
        <v>5300</v>
      </c>
      <c r="AD65" s="3">
        <v>5300</v>
      </c>
      <c r="AE65" s="3">
        <v>5300</v>
      </c>
      <c r="AF65" s="3">
        <v>5300</v>
      </c>
      <c r="AG65" s="3">
        <v>5300</v>
      </c>
      <c r="AH65" s="4"/>
      <c r="AI65" s="3">
        <v>5300</v>
      </c>
      <c r="AJ65" s="3">
        <v>5300</v>
      </c>
      <c r="AK65" s="3">
        <v>5300</v>
      </c>
      <c r="AL65" s="3">
        <v>5300</v>
      </c>
      <c r="AM65" s="3">
        <v>5300</v>
      </c>
      <c r="AN65" s="3">
        <v>5300</v>
      </c>
      <c r="AO65" s="3">
        <v>5300</v>
      </c>
      <c r="AP65" s="3">
        <v>5300</v>
      </c>
      <c r="AQ65" s="3">
        <v>5300</v>
      </c>
      <c r="AR65" s="3">
        <v>5300</v>
      </c>
      <c r="AS65" s="3">
        <v>5300</v>
      </c>
      <c r="AT65" s="3">
        <v>5300</v>
      </c>
      <c r="AU65" s="4"/>
      <c r="AV65" s="3">
        <v>5300</v>
      </c>
      <c r="AW65" s="3">
        <v>5300</v>
      </c>
      <c r="AX65" s="3">
        <v>5300</v>
      </c>
      <c r="AY65" s="3">
        <v>5300</v>
      </c>
      <c r="AZ65" s="3">
        <v>5300</v>
      </c>
      <c r="BA65" s="3">
        <f>ROUND(5300/30*14+5565/30*16,2)</f>
        <v>5441.33</v>
      </c>
      <c r="BB65" s="3">
        <v>5565</v>
      </c>
      <c r="BC65" s="3">
        <v>5565</v>
      </c>
      <c r="BD65" s="3">
        <v>5565</v>
      </c>
      <c r="BE65" s="3">
        <v>5565</v>
      </c>
      <c r="BF65" s="3">
        <v>5565</v>
      </c>
      <c r="BG65" s="3">
        <v>5565</v>
      </c>
      <c r="BH65" s="12"/>
      <c r="BI65" s="3">
        <v>5565</v>
      </c>
      <c r="BJ65" s="3">
        <v>5565</v>
      </c>
      <c r="BK65" s="3">
        <v>5565</v>
      </c>
      <c r="BL65" s="3">
        <v>5565</v>
      </c>
      <c r="BM65" s="3">
        <v>5565</v>
      </c>
      <c r="BN65" s="3">
        <f>ROUND(5565/30*14+5697.5/30*16,2)</f>
        <v>5635.67</v>
      </c>
      <c r="BO65" s="3">
        <v>5697.5</v>
      </c>
      <c r="BP65" s="3">
        <v>5697.5</v>
      </c>
      <c r="BQ65" s="3">
        <v>5697.5</v>
      </c>
      <c r="BR65" s="3">
        <v>5697.5</v>
      </c>
      <c r="BS65" s="3">
        <v>5697.5</v>
      </c>
      <c r="BT65" s="3">
        <v>5697.5</v>
      </c>
      <c r="BU65" s="3"/>
      <c r="BV65" s="3">
        <v>5697.5</v>
      </c>
      <c r="BW65" s="3">
        <v>5697.5</v>
      </c>
      <c r="BX65" s="3">
        <v>5697.5</v>
      </c>
      <c r="BY65" s="3">
        <v>5697.5</v>
      </c>
      <c r="BZ65" s="3">
        <v>5697.5</v>
      </c>
      <c r="CA65" s="3">
        <v>5697.5</v>
      </c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</row>
    <row r="66" spans="1:181" ht="15" x14ac:dyDescent="0.25">
      <c r="A66" s="9" t="s">
        <v>133</v>
      </c>
      <c r="B66" s="10" t="s">
        <v>91</v>
      </c>
      <c r="C66" s="9" t="s">
        <v>50</v>
      </c>
      <c r="D66" s="9">
        <v>11</v>
      </c>
      <c r="E66" s="9" t="s">
        <v>24</v>
      </c>
      <c r="F66" s="9" t="s">
        <v>134</v>
      </c>
      <c r="G66" s="2">
        <v>13545</v>
      </c>
      <c r="H66" s="2">
        <v>4200</v>
      </c>
      <c r="I66" s="2">
        <v>0</v>
      </c>
      <c r="J66" s="3">
        <v>4410</v>
      </c>
      <c r="K66" s="2">
        <f t="shared" si="61"/>
        <v>17745</v>
      </c>
      <c r="L66" s="3">
        <v>4200</v>
      </c>
      <c r="M66" s="3">
        <v>4200</v>
      </c>
      <c r="N66" s="3">
        <v>4200</v>
      </c>
      <c r="O66" s="3">
        <v>4200</v>
      </c>
      <c r="P66" s="3">
        <v>4200</v>
      </c>
      <c r="Q66" s="3">
        <v>4200</v>
      </c>
      <c r="R66" s="3">
        <v>4200</v>
      </c>
      <c r="S66" s="3">
        <v>4200</v>
      </c>
      <c r="T66" s="3">
        <v>4200</v>
      </c>
      <c r="U66" s="4"/>
      <c r="V66" s="3">
        <v>4200</v>
      </c>
      <c r="W66" s="3">
        <v>4200</v>
      </c>
      <c r="X66" s="3">
        <v>4200</v>
      </c>
      <c r="Y66" s="3">
        <v>4200</v>
      </c>
      <c r="Z66" s="3">
        <v>4200</v>
      </c>
      <c r="AA66" s="3">
        <v>4200</v>
      </c>
      <c r="AB66" s="3">
        <v>4200</v>
      </c>
      <c r="AC66" s="3">
        <v>4200</v>
      </c>
      <c r="AD66" s="3">
        <v>4200</v>
      </c>
      <c r="AE66" s="3">
        <v>4200</v>
      </c>
      <c r="AF66" s="3">
        <v>4200</v>
      </c>
      <c r="AG66" s="3">
        <v>4200</v>
      </c>
      <c r="AH66" s="4"/>
      <c r="AI66" s="3">
        <v>4200</v>
      </c>
      <c r="AJ66" s="3">
        <v>4200</v>
      </c>
      <c r="AK66" s="3">
        <v>4200</v>
      </c>
      <c r="AL66" s="3">
        <v>4200</v>
      </c>
      <c r="AM66" s="3">
        <v>4200</v>
      </c>
      <c r="AN66" s="3">
        <v>4200</v>
      </c>
      <c r="AO66" s="3">
        <v>4200</v>
      </c>
      <c r="AP66" s="3">
        <v>4200</v>
      </c>
      <c r="AQ66" s="3">
        <v>4200</v>
      </c>
      <c r="AR66" s="3">
        <v>4200</v>
      </c>
      <c r="AS66" s="3">
        <v>4200</v>
      </c>
      <c r="AT66" s="3">
        <v>4200</v>
      </c>
      <c r="AU66" s="4"/>
      <c r="AV66" s="3">
        <v>4200</v>
      </c>
      <c r="AW66" s="3">
        <v>4200</v>
      </c>
      <c r="AX66" s="3">
        <v>4200</v>
      </c>
      <c r="AY66" s="3">
        <v>4200</v>
      </c>
      <c r="AZ66" s="3">
        <v>4200</v>
      </c>
      <c r="BA66" s="3">
        <f>ROUND(4200/30*14+4410/30*16,2)</f>
        <v>4312</v>
      </c>
      <c r="BB66" s="3">
        <v>4410</v>
      </c>
      <c r="BC66" s="3">
        <v>4410</v>
      </c>
      <c r="BD66" s="3">
        <v>4410</v>
      </c>
      <c r="BE66" s="3">
        <v>4410</v>
      </c>
      <c r="BF66" s="3">
        <v>4410</v>
      </c>
      <c r="BG66" s="3">
        <v>4410</v>
      </c>
      <c r="BH66" s="12"/>
      <c r="BI66" s="3">
        <v>4410</v>
      </c>
      <c r="BJ66" s="3">
        <v>4410</v>
      </c>
      <c r="BK66" s="3">
        <v>4410</v>
      </c>
      <c r="BL66" s="3">
        <v>4410</v>
      </c>
      <c r="BM66" s="3">
        <v>4410</v>
      </c>
      <c r="BN66" s="3">
        <f>ROUND(4410/30*14+4515/30*16,2)</f>
        <v>4466</v>
      </c>
      <c r="BO66" s="3">
        <v>4515</v>
      </c>
      <c r="BP66" s="3">
        <v>4515</v>
      </c>
      <c r="BQ66" s="3">
        <v>4515</v>
      </c>
      <c r="BR66" s="3">
        <v>4515</v>
      </c>
      <c r="BS66" s="3">
        <v>4515</v>
      </c>
      <c r="BT66" s="3">
        <v>4515</v>
      </c>
      <c r="BU66" s="3"/>
      <c r="BV66" s="3">
        <v>4515</v>
      </c>
      <c r="BW66" s="3">
        <v>4515</v>
      </c>
      <c r="BX66" s="3">
        <v>4515</v>
      </c>
      <c r="BY66" s="3">
        <v>4515</v>
      </c>
      <c r="BZ66" s="3">
        <v>4515</v>
      </c>
      <c r="CA66" s="3">
        <v>4515</v>
      </c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</row>
    <row r="67" spans="1:181" ht="15" x14ac:dyDescent="0.25">
      <c r="G67" s="2"/>
      <c r="H67" s="2"/>
      <c r="I67" s="2"/>
      <c r="J67" s="3"/>
      <c r="K67" s="2"/>
      <c r="L67" s="3"/>
      <c r="M67" s="3"/>
      <c r="N67" s="3"/>
      <c r="O67" s="3"/>
      <c r="P67" s="3"/>
      <c r="Q67" s="3"/>
      <c r="R67" s="3"/>
      <c r="S67" s="3"/>
      <c r="T67" s="3"/>
      <c r="U67" s="4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4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4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12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</row>
    <row r="68" spans="1:181" ht="15" x14ac:dyDescent="0.25">
      <c r="A68" s="9" t="s">
        <v>135</v>
      </c>
      <c r="B68" s="9" t="s">
        <v>136</v>
      </c>
      <c r="C68" s="9" t="s">
        <v>137</v>
      </c>
      <c r="D68" s="9">
        <v>8</v>
      </c>
      <c r="E68" s="10" t="s">
        <v>15</v>
      </c>
      <c r="F68" s="9" t="s">
        <v>138</v>
      </c>
      <c r="G68" s="2">
        <v>0</v>
      </c>
      <c r="H68" s="2">
        <v>0</v>
      </c>
      <c r="I68" s="2">
        <v>0</v>
      </c>
      <c r="J68" s="11">
        <v>2701</v>
      </c>
      <c r="K68" s="2">
        <f t="shared" ref="K68:K76" si="121">SUM(G68:I68)</f>
        <v>0</v>
      </c>
      <c r="L68" s="3"/>
      <c r="M68" s="3"/>
      <c r="N68" s="3"/>
      <c r="O68" s="3"/>
      <c r="P68" s="3"/>
      <c r="Q68" s="3"/>
      <c r="R68" s="3"/>
      <c r="S68" s="3"/>
      <c r="T68" s="3"/>
      <c r="U68" s="4"/>
      <c r="V68" s="3"/>
      <c r="W68" s="3"/>
      <c r="X68" s="3"/>
      <c r="Y68" s="3"/>
      <c r="Z68" s="3"/>
      <c r="AA68" s="3"/>
      <c r="AB68" s="3"/>
      <c r="AC68" s="3">
        <v>2450</v>
      </c>
      <c r="AD68" s="3">
        <v>2450</v>
      </c>
      <c r="AE68" s="3">
        <v>2450</v>
      </c>
      <c r="AF68" s="3">
        <v>2450</v>
      </c>
      <c r="AG68" s="3">
        <v>2450</v>
      </c>
      <c r="AH68" s="4"/>
      <c r="AI68" s="3">
        <v>2450</v>
      </c>
      <c r="AJ68" s="3">
        <v>2450</v>
      </c>
      <c r="AK68" s="3">
        <v>2450</v>
      </c>
      <c r="AL68" s="3">
        <v>2450</v>
      </c>
      <c r="AM68" s="3">
        <v>2450</v>
      </c>
      <c r="AN68" s="3">
        <v>2450</v>
      </c>
      <c r="AO68" s="3">
        <v>2450</v>
      </c>
      <c r="AP68" s="3">
        <v>2572</v>
      </c>
      <c r="AQ68" s="3">
        <v>2572</v>
      </c>
      <c r="AR68" s="3">
        <v>2572</v>
      </c>
      <c r="AS68" s="3">
        <v>2572</v>
      </c>
      <c r="AT68" s="3">
        <v>2572</v>
      </c>
      <c r="AU68" s="4"/>
      <c r="AV68" s="3">
        <v>2572</v>
      </c>
      <c r="AW68" s="3">
        <v>2572</v>
      </c>
      <c r="AX68" s="3">
        <v>2572</v>
      </c>
      <c r="AY68" s="3">
        <v>2572</v>
      </c>
      <c r="AZ68" s="3">
        <v>2572</v>
      </c>
      <c r="BA68" s="3">
        <v>2572</v>
      </c>
      <c r="BB68" s="3">
        <v>2572</v>
      </c>
      <c r="BC68" s="11">
        <f t="shared" ref="BC68:BG68" si="122">BB68</f>
        <v>2572</v>
      </c>
      <c r="BD68" s="11">
        <f t="shared" si="122"/>
        <v>2572</v>
      </c>
      <c r="BE68" s="11">
        <f t="shared" si="122"/>
        <v>2572</v>
      </c>
      <c r="BF68" s="11">
        <f t="shared" si="122"/>
        <v>2572</v>
      </c>
      <c r="BG68" s="11">
        <f t="shared" si="122"/>
        <v>2572</v>
      </c>
      <c r="BH68" s="12"/>
      <c r="BI68" s="11">
        <v>2701</v>
      </c>
      <c r="BJ68" s="11">
        <f t="shared" ref="BJ68:BN68" si="123">BI68</f>
        <v>2701</v>
      </c>
      <c r="BK68" s="11">
        <f t="shared" si="123"/>
        <v>2701</v>
      </c>
      <c r="BL68" s="11">
        <f t="shared" si="123"/>
        <v>2701</v>
      </c>
      <c r="BM68" s="11">
        <f t="shared" si="123"/>
        <v>2701</v>
      </c>
      <c r="BN68" s="11">
        <f t="shared" si="123"/>
        <v>2701</v>
      </c>
      <c r="BO68" s="11">
        <f t="shared" ref="BO68:BO69" si="124">BN68-609.9</f>
        <v>2091.1</v>
      </c>
      <c r="BP68" s="11"/>
      <c r="BQ68" s="11"/>
      <c r="BR68" s="11"/>
      <c r="BS68" s="3">
        <v>0</v>
      </c>
      <c r="BT68" s="3">
        <v>0</v>
      </c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</row>
    <row r="69" spans="1:181" ht="15" x14ac:dyDescent="0.25">
      <c r="A69" s="9" t="s">
        <v>139</v>
      </c>
      <c r="B69" s="9" t="s">
        <v>136</v>
      </c>
      <c r="C69" s="9" t="s">
        <v>140</v>
      </c>
      <c r="D69" s="9">
        <v>8</v>
      </c>
      <c r="E69" s="10" t="s">
        <v>15</v>
      </c>
      <c r="F69" s="9" t="s">
        <v>138</v>
      </c>
      <c r="G69" s="2">
        <v>0</v>
      </c>
      <c r="H69" s="2">
        <v>0</v>
      </c>
      <c r="I69" s="2">
        <v>0</v>
      </c>
      <c r="J69" s="11">
        <v>2701</v>
      </c>
      <c r="K69" s="2">
        <f t="shared" si="121"/>
        <v>0</v>
      </c>
      <c r="L69" s="3"/>
      <c r="M69" s="3"/>
      <c r="N69" s="3"/>
      <c r="O69" s="3"/>
      <c r="P69" s="3"/>
      <c r="Q69" s="3"/>
      <c r="R69" s="3"/>
      <c r="S69" s="3"/>
      <c r="T69" s="3"/>
      <c r="U69" s="4"/>
      <c r="V69" s="3"/>
      <c r="W69" s="3"/>
      <c r="X69" s="3"/>
      <c r="Y69" s="3"/>
      <c r="Z69" s="3"/>
      <c r="AA69" s="3"/>
      <c r="AB69" s="3"/>
      <c r="AC69" s="3">
        <v>2450</v>
      </c>
      <c r="AD69" s="3">
        <v>2450</v>
      </c>
      <c r="AE69" s="3">
        <v>2450</v>
      </c>
      <c r="AF69" s="3">
        <v>2450</v>
      </c>
      <c r="AG69" s="3">
        <v>2450</v>
      </c>
      <c r="AH69" s="4"/>
      <c r="AI69" s="3">
        <v>2450</v>
      </c>
      <c r="AJ69" s="3">
        <v>2450</v>
      </c>
      <c r="AK69" s="3">
        <v>2450</v>
      </c>
      <c r="AL69" s="3">
        <v>2450</v>
      </c>
      <c r="AM69" s="3">
        <v>2450</v>
      </c>
      <c r="AN69" s="3">
        <v>2450</v>
      </c>
      <c r="AO69" s="3">
        <v>2450</v>
      </c>
      <c r="AP69" s="3">
        <v>2572</v>
      </c>
      <c r="AQ69" s="3">
        <v>2572</v>
      </c>
      <c r="AR69" s="3">
        <v>2572</v>
      </c>
      <c r="AS69" s="3">
        <v>2572</v>
      </c>
      <c r="AT69" s="3">
        <v>2572</v>
      </c>
      <c r="AU69" s="4"/>
      <c r="AV69" s="3">
        <v>2572</v>
      </c>
      <c r="AW69" s="3">
        <v>2572</v>
      </c>
      <c r="AX69" s="3">
        <v>2572</v>
      </c>
      <c r="AY69" s="3">
        <v>2572</v>
      </c>
      <c r="AZ69" s="3">
        <v>2572</v>
      </c>
      <c r="BA69" s="3">
        <v>2572</v>
      </c>
      <c r="BB69" s="3">
        <v>2572</v>
      </c>
      <c r="BC69" s="11">
        <f t="shared" ref="BC69:BG69" si="125">BB69</f>
        <v>2572</v>
      </c>
      <c r="BD69" s="11">
        <f t="shared" si="125"/>
        <v>2572</v>
      </c>
      <c r="BE69" s="11">
        <f t="shared" si="125"/>
        <v>2572</v>
      </c>
      <c r="BF69" s="11">
        <f t="shared" si="125"/>
        <v>2572</v>
      </c>
      <c r="BG69" s="11">
        <f t="shared" si="125"/>
        <v>2572</v>
      </c>
      <c r="BH69" s="12"/>
      <c r="BI69" s="11">
        <v>2701</v>
      </c>
      <c r="BJ69" s="11">
        <f t="shared" ref="BJ69:BN69" si="126">BI69</f>
        <v>2701</v>
      </c>
      <c r="BK69" s="11">
        <f t="shared" si="126"/>
        <v>2701</v>
      </c>
      <c r="BL69" s="11">
        <f t="shared" si="126"/>
        <v>2701</v>
      </c>
      <c r="BM69" s="11">
        <f t="shared" si="126"/>
        <v>2701</v>
      </c>
      <c r="BN69" s="11">
        <f t="shared" si="126"/>
        <v>2701</v>
      </c>
      <c r="BO69" s="11">
        <f t="shared" si="124"/>
        <v>2091.1</v>
      </c>
      <c r="BP69" s="11"/>
      <c r="BQ69" s="11"/>
      <c r="BR69" s="11"/>
      <c r="BS69" s="3">
        <v>0</v>
      </c>
      <c r="BT69" s="3">
        <v>0</v>
      </c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</row>
    <row r="70" spans="1:181" ht="15" x14ac:dyDescent="0.25">
      <c r="A70" s="9" t="s">
        <v>141</v>
      </c>
      <c r="B70" s="9" t="s">
        <v>136</v>
      </c>
      <c r="C70" s="9" t="s">
        <v>142</v>
      </c>
      <c r="D70" s="9">
        <v>8</v>
      </c>
      <c r="E70" s="10" t="s">
        <v>15</v>
      </c>
      <c r="F70" s="9" t="s">
        <v>138</v>
      </c>
      <c r="G70" s="2">
        <v>5144</v>
      </c>
      <c r="H70" s="2">
        <v>1000</v>
      </c>
      <c r="I70" s="2">
        <v>0</v>
      </c>
      <c r="J70" s="11">
        <v>2572</v>
      </c>
      <c r="K70" s="2">
        <f t="shared" si="121"/>
        <v>6144</v>
      </c>
      <c r="L70" s="3"/>
      <c r="M70" s="3"/>
      <c r="N70" s="3"/>
      <c r="O70" s="3"/>
      <c r="P70" s="3"/>
      <c r="Q70" s="3"/>
      <c r="R70" s="3"/>
      <c r="S70" s="3"/>
      <c r="T70" s="3"/>
      <c r="U70" s="4"/>
      <c r="V70" s="3"/>
      <c r="W70" s="3"/>
      <c r="X70" s="3"/>
      <c r="Y70" s="3"/>
      <c r="Z70" s="3"/>
      <c r="AA70" s="3"/>
      <c r="AB70" s="3"/>
      <c r="AC70" s="3">
        <v>2450</v>
      </c>
      <c r="AD70" s="3">
        <v>2450</v>
      </c>
      <c r="AE70" s="3">
        <v>2450</v>
      </c>
      <c r="AF70" s="3">
        <v>2450</v>
      </c>
      <c r="AG70" s="3">
        <v>2450</v>
      </c>
      <c r="AH70" s="4"/>
      <c r="AI70" s="3">
        <v>2450</v>
      </c>
      <c r="AJ70" s="3">
        <v>2450</v>
      </c>
      <c r="AK70" s="3">
        <v>2450</v>
      </c>
      <c r="AL70" s="3">
        <v>2450</v>
      </c>
      <c r="AM70" s="3">
        <v>2450</v>
      </c>
      <c r="AN70" s="3">
        <v>2450</v>
      </c>
      <c r="AO70" s="3">
        <v>2450</v>
      </c>
      <c r="AP70" s="3">
        <v>2572</v>
      </c>
      <c r="AQ70" s="3">
        <v>2572</v>
      </c>
      <c r="AR70" s="3">
        <v>2572</v>
      </c>
      <c r="AS70" s="3">
        <v>2572</v>
      </c>
      <c r="AT70" s="3">
        <v>2572</v>
      </c>
      <c r="AU70" s="4"/>
      <c r="AV70" s="3">
        <v>2572</v>
      </c>
      <c r="AW70" s="3">
        <v>2572</v>
      </c>
      <c r="AX70" s="3">
        <v>2572</v>
      </c>
      <c r="AY70" s="3">
        <v>2572</v>
      </c>
      <c r="AZ70" s="3">
        <v>2572</v>
      </c>
      <c r="BA70" s="3">
        <v>2572</v>
      </c>
      <c r="BB70" s="3">
        <v>2572</v>
      </c>
      <c r="BC70" s="11">
        <f t="shared" ref="BC70:BG70" si="127">BB70</f>
        <v>2572</v>
      </c>
      <c r="BD70" s="11">
        <f t="shared" si="127"/>
        <v>2572</v>
      </c>
      <c r="BE70" s="11">
        <f t="shared" si="127"/>
        <v>2572</v>
      </c>
      <c r="BF70" s="11">
        <f t="shared" si="127"/>
        <v>2572</v>
      </c>
      <c r="BG70" s="11">
        <f t="shared" si="127"/>
        <v>2572</v>
      </c>
      <c r="BH70" s="12"/>
      <c r="BI70" s="11">
        <f>BG70</f>
        <v>2572</v>
      </c>
      <c r="BJ70" s="11">
        <f t="shared" ref="BJ70:BT70" si="128">BI70</f>
        <v>2572</v>
      </c>
      <c r="BK70" s="11">
        <f t="shared" si="128"/>
        <v>2572</v>
      </c>
      <c r="BL70" s="11">
        <f t="shared" si="128"/>
        <v>2572</v>
      </c>
      <c r="BM70" s="11">
        <f t="shared" si="128"/>
        <v>2572</v>
      </c>
      <c r="BN70" s="11">
        <f t="shared" si="128"/>
        <v>2572</v>
      </c>
      <c r="BO70" s="11">
        <f t="shared" si="128"/>
        <v>2572</v>
      </c>
      <c r="BP70" s="11">
        <f t="shared" si="128"/>
        <v>2572</v>
      </c>
      <c r="BQ70" s="11">
        <f t="shared" si="128"/>
        <v>2572</v>
      </c>
      <c r="BR70" s="11">
        <f t="shared" si="128"/>
        <v>2572</v>
      </c>
      <c r="BS70" s="11">
        <f t="shared" si="128"/>
        <v>2572</v>
      </c>
      <c r="BT70" s="11">
        <f t="shared" si="128"/>
        <v>2572</v>
      </c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</row>
    <row r="71" spans="1:181" ht="15" x14ac:dyDescent="0.25">
      <c r="A71" s="9" t="s">
        <v>143</v>
      </c>
      <c r="B71" s="9" t="s">
        <v>136</v>
      </c>
      <c r="C71" s="9" t="s">
        <v>142</v>
      </c>
      <c r="D71" s="9">
        <v>3</v>
      </c>
      <c r="E71" s="10" t="s">
        <v>15</v>
      </c>
      <c r="F71" s="9" t="s">
        <v>144</v>
      </c>
      <c r="G71" s="2">
        <v>3780</v>
      </c>
      <c r="H71" s="2">
        <v>1000</v>
      </c>
      <c r="I71" s="2">
        <v>0</v>
      </c>
      <c r="J71" s="3">
        <v>3048.39</v>
      </c>
      <c r="K71" s="2">
        <f t="shared" si="121"/>
        <v>4780</v>
      </c>
      <c r="L71" s="3"/>
      <c r="M71" s="3"/>
      <c r="N71" s="3"/>
      <c r="O71" s="3"/>
      <c r="P71" s="3"/>
      <c r="Q71" s="3"/>
      <c r="R71" s="3"/>
      <c r="S71" s="3"/>
      <c r="T71" s="3"/>
      <c r="U71" s="4"/>
      <c r="V71" s="3"/>
      <c r="W71" s="3"/>
      <c r="X71" s="3"/>
      <c r="Y71" s="3">
        <f t="shared" ref="Y71:Y76" si="129">ROUND(Z71/30*11,2)</f>
        <v>660</v>
      </c>
      <c r="Z71" s="3">
        <v>1800</v>
      </c>
      <c r="AA71" s="3">
        <v>1800</v>
      </c>
      <c r="AB71" s="3">
        <v>1800</v>
      </c>
      <c r="AC71" s="3">
        <v>1800</v>
      </c>
      <c r="AD71" s="3">
        <v>1800</v>
      </c>
      <c r="AE71" s="3">
        <v>1800</v>
      </c>
      <c r="AF71" s="3">
        <v>1800</v>
      </c>
      <c r="AG71" s="3">
        <f t="shared" ref="AG71:AG76" si="130">ROUND(AF71*11/31,2)</f>
        <v>638.71</v>
      </c>
      <c r="AH71" s="4"/>
      <c r="AI71" s="3">
        <f t="shared" ref="AI71:AI76" si="131">AF71-AG71+AF71</f>
        <v>2961.29</v>
      </c>
      <c r="AJ71" s="3">
        <v>1800</v>
      </c>
      <c r="AK71" s="3">
        <v>1800</v>
      </c>
      <c r="AL71" s="3">
        <v>1890</v>
      </c>
      <c r="AM71" s="3">
        <v>1890</v>
      </c>
      <c r="AN71" s="3">
        <v>1890</v>
      </c>
      <c r="AO71" s="3">
        <v>1890</v>
      </c>
      <c r="AP71" s="3">
        <v>1890</v>
      </c>
      <c r="AQ71" s="3">
        <v>1890</v>
      </c>
      <c r="AR71" s="3">
        <v>1890</v>
      </c>
      <c r="AS71" s="3">
        <v>1890</v>
      </c>
      <c r="AT71" s="3">
        <v>731.61000000000013</v>
      </c>
      <c r="AU71" s="4"/>
      <c r="AV71" s="3">
        <v>3048.39</v>
      </c>
      <c r="AW71" s="3">
        <v>1890</v>
      </c>
      <c r="AX71" s="3">
        <v>1890</v>
      </c>
      <c r="AY71" s="3">
        <v>1890</v>
      </c>
      <c r="AZ71" s="3">
        <v>1890</v>
      </c>
      <c r="BA71" s="3">
        <v>1890</v>
      </c>
      <c r="BB71" s="3">
        <v>1890</v>
      </c>
      <c r="BC71" s="3">
        <v>1890</v>
      </c>
      <c r="BD71" s="3">
        <v>1890</v>
      </c>
      <c r="BE71" s="3">
        <v>1890</v>
      </c>
      <c r="BF71" s="3">
        <v>1890</v>
      </c>
      <c r="BG71" s="3">
        <v>731.61</v>
      </c>
      <c r="BH71" s="12"/>
      <c r="BI71" s="3">
        <f t="shared" ref="BI71:BI73" si="132">1890-BG71+1890</f>
        <v>3048.39</v>
      </c>
      <c r="BJ71" s="3">
        <v>1890</v>
      </c>
      <c r="BK71" s="3">
        <v>1890</v>
      </c>
      <c r="BL71" s="3">
        <v>1890</v>
      </c>
      <c r="BM71" s="11">
        <f t="shared" ref="BM71:BS71" si="133">BL71</f>
        <v>1890</v>
      </c>
      <c r="BN71" s="11">
        <f t="shared" si="133"/>
        <v>1890</v>
      </c>
      <c r="BO71" s="11">
        <f t="shared" si="133"/>
        <v>1890</v>
      </c>
      <c r="BP71" s="11">
        <f t="shared" si="133"/>
        <v>1890</v>
      </c>
      <c r="BQ71" s="11">
        <f t="shared" si="133"/>
        <v>1890</v>
      </c>
      <c r="BR71" s="11">
        <f t="shared" si="133"/>
        <v>1890</v>
      </c>
      <c r="BS71" s="11">
        <f t="shared" si="133"/>
        <v>1890</v>
      </c>
      <c r="BT71" s="11">
        <v>731.61</v>
      </c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</row>
    <row r="72" spans="1:181" ht="15" x14ac:dyDescent="0.25">
      <c r="A72" s="9" t="s">
        <v>145</v>
      </c>
      <c r="B72" s="9" t="s">
        <v>136</v>
      </c>
      <c r="C72" s="9" t="s">
        <v>142</v>
      </c>
      <c r="D72" s="9">
        <v>5</v>
      </c>
      <c r="E72" s="10" t="s">
        <v>15</v>
      </c>
      <c r="F72" s="9" t="s">
        <v>144</v>
      </c>
      <c r="G72" s="2">
        <v>3780</v>
      </c>
      <c r="H72" s="2">
        <v>1000</v>
      </c>
      <c r="I72" s="2">
        <v>0</v>
      </c>
      <c r="J72" s="3">
        <v>3048.39</v>
      </c>
      <c r="K72" s="2">
        <f t="shared" si="121"/>
        <v>4780</v>
      </c>
      <c r="U72" s="4"/>
      <c r="X72" s="3"/>
      <c r="Y72" s="3">
        <f t="shared" si="129"/>
        <v>660</v>
      </c>
      <c r="Z72" s="3">
        <v>1800</v>
      </c>
      <c r="AA72" s="3">
        <v>1800</v>
      </c>
      <c r="AB72" s="3">
        <v>1800</v>
      </c>
      <c r="AC72" s="3">
        <v>1800</v>
      </c>
      <c r="AD72" s="3">
        <v>1800</v>
      </c>
      <c r="AE72" s="3">
        <v>1800</v>
      </c>
      <c r="AF72" s="3">
        <v>1800</v>
      </c>
      <c r="AG72" s="3">
        <f t="shared" si="130"/>
        <v>638.71</v>
      </c>
      <c r="AH72" s="4"/>
      <c r="AI72" s="3">
        <f t="shared" si="131"/>
        <v>2961.29</v>
      </c>
      <c r="AJ72" s="3">
        <v>1800</v>
      </c>
      <c r="AK72" s="3">
        <v>1800</v>
      </c>
      <c r="AL72" s="3">
        <v>1890</v>
      </c>
      <c r="AM72" s="3">
        <v>1890</v>
      </c>
      <c r="AN72" s="3">
        <v>1890</v>
      </c>
      <c r="AO72" s="3">
        <v>1890</v>
      </c>
      <c r="AP72" s="3">
        <v>1890</v>
      </c>
      <c r="AQ72" s="3">
        <v>1890</v>
      </c>
      <c r="AR72" s="3">
        <v>1890</v>
      </c>
      <c r="AS72" s="3">
        <v>1890</v>
      </c>
      <c r="AT72" s="3">
        <v>731.61000000000013</v>
      </c>
      <c r="AU72" s="4"/>
      <c r="AV72" s="3">
        <v>3048.39</v>
      </c>
      <c r="AW72" s="3">
        <v>1890</v>
      </c>
      <c r="AX72" s="3">
        <v>1890</v>
      </c>
      <c r="AY72" s="3">
        <v>1890</v>
      </c>
      <c r="AZ72" s="3">
        <v>1890</v>
      </c>
      <c r="BA72" s="3">
        <v>1890</v>
      </c>
      <c r="BB72" s="3">
        <v>1890</v>
      </c>
      <c r="BC72" s="3">
        <v>1890</v>
      </c>
      <c r="BD72" s="3">
        <v>1890</v>
      </c>
      <c r="BE72" s="3">
        <v>1890</v>
      </c>
      <c r="BF72" s="3">
        <v>1890</v>
      </c>
      <c r="BG72" s="3">
        <v>731.61</v>
      </c>
      <c r="BH72" s="12"/>
      <c r="BI72" s="3">
        <f t="shared" si="132"/>
        <v>3048.39</v>
      </c>
      <c r="BJ72" s="3">
        <v>1890</v>
      </c>
      <c r="BK72" s="3">
        <v>1890</v>
      </c>
      <c r="BL72" s="3">
        <v>1890</v>
      </c>
      <c r="BM72" s="11">
        <f t="shared" ref="BM72:BS72" si="134">BL72</f>
        <v>1890</v>
      </c>
      <c r="BN72" s="11">
        <f t="shared" si="134"/>
        <v>1890</v>
      </c>
      <c r="BO72" s="11">
        <f t="shared" si="134"/>
        <v>1890</v>
      </c>
      <c r="BP72" s="11">
        <f t="shared" si="134"/>
        <v>1890</v>
      </c>
      <c r="BQ72" s="11">
        <f t="shared" si="134"/>
        <v>1890</v>
      </c>
      <c r="BR72" s="11">
        <f t="shared" si="134"/>
        <v>1890</v>
      </c>
      <c r="BS72" s="11">
        <f t="shared" si="134"/>
        <v>1890</v>
      </c>
      <c r="BT72" s="11">
        <v>731.61</v>
      </c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</row>
    <row r="73" spans="1:181" ht="15" x14ac:dyDescent="0.25">
      <c r="A73" s="9" t="s">
        <v>146</v>
      </c>
      <c r="B73" s="9" t="s">
        <v>136</v>
      </c>
      <c r="C73" s="9" t="s">
        <v>142</v>
      </c>
      <c r="D73" s="9">
        <v>9</v>
      </c>
      <c r="E73" s="10" t="s">
        <v>15</v>
      </c>
      <c r="F73" s="9" t="s">
        <v>144</v>
      </c>
      <c r="G73" s="2">
        <v>3780</v>
      </c>
      <c r="H73" s="2">
        <v>1000</v>
      </c>
      <c r="I73" s="2">
        <v>0</v>
      </c>
      <c r="J73" s="3">
        <v>3048.39</v>
      </c>
      <c r="K73" s="2">
        <f t="shared" si="121"/>
        <v>4780</v>
      </c>
      <c r="U73" s="4"/>
      <c r="X73" s="3"/>
      <c r="Y73" s="3">
        <f t="shared" si="129"/>
        <v>660</v>
      </c>
      <c r="Z73" s="3">
        <v>1800</v>
      </c>
      <c r="AA73" s="3">
        <v>1800</v>
      </c>
      <c r="AB73" s="3">
        <v>1800</v>
      </c>
      <c r="AC73" s="3">
        <v>1800</v>
      </c>
      <c r="AD73" s="3">
        <v>1800</v>
      </c>
      <c r="AE73" s="3">
        <v>1800</v>
      </c>
      <c r="AF73" s="3">
        <v>1800</v>
      </c>
      <c r="AG73" s="3">
        <f t="shared" si="130"/>
        <v>638.71</v>
      </c>
      <c r="AH73" s="4"/>
      <c r="AI73" s="3">
        <f t="shared" si="131"/>
        <v>2961.29</v>
      </c>
      <c r="AJ73" s="3">
        <v>1800</v>
      </c>
      <c r="AK73" s="3">
        <v>1800</v>
      </c>
      <c r="AL73" s="3">
        <v>1890</v>
      </c>
      <c r="AM73" s="3">
        <v>1890</v>
      </c>
      <c r="AN73" s="3">
        <v>1890</v>
      </c>
      <c r="AO73" s="3">
        <v>1890</v>
      </c>
      <c r="AP73" s="3">
        <v>1890</v>
      </c>
      <c r="AQ73" s="3">
        <v>1890</v>
      </c>
      <c r="AR73" s="3">
        <v>1890</v>
      </c>
      <c r="AS73" s="3">
        <v>1890</v>
      </c>
      <c r="AT73" s="3">
        <v>731.61000000000013</v>
      </c>
      <c r="AU73" s="4"/>
      <c r="AV73" s="3">
        <v>3048.39</v>
      </c>
      <c r="AW73" s="3">
        <v>1890</v>
      </c>
      <c r="AX73" s="3">
        <v>1890</v>
      </c>
      <c r="AY73" s="3">
        <v>1890</v>
      </c>
      <c r="AZ73" s="3">
        <v>1890</v>
      </c>
      <c r="BA73" s="3">
        <v>1890</v>
      </c>
      <c r="BB73" s="3">
        <v>1890</v>
      </c>
      <c r="BC73" s="3">
        <v>1890</v>
      </c>
      <c r="BD73" s="3">
        <v>1890</v>
      </c>
      <c r="BE73" s="3">
        <v>1890</v>
      </c>
      <c r="BF73" s="3">
        <v>1890</v>
      </c>
      <c r="BG73" s="3">
        <v>731.61</v>
      </c>
      <c r="BH73" s="12"/>
      <c r="BI73" s="3">
        <f t="shared" si="132"/>
        <v>3048.39</v>
      </c>
      <c r="BJ73" s="3">
        <v>1890</v>
      </c>
      <c r="BK73" s="3">
        <v>1890</v>
      </c>
      <c r="BL73" s="3">
        <v>1890</v>
      </c>
      <c r="BM73" s="11">
        <f t="shared" ref="BM73:BS73" si="135">BL73</f>
        <v>1890</v>
      </c>
      <c r="BN73" s="11">
        <f t="shared" si="135"/>
        <v>1890</v>
      </c>
      <c r="BO73" s="11">
        <f t="shared" si="135"/>
        <v>1890</v>
      </c>
      <c r="BP73" s="11">
        <f t="shared" si="135"/>
        <v>1890</v>
      </c>
      <c r="BQ73" s="11">
        <f t="shared" si="135"/>
        <v>1890</v>
      </c>
      <c r="BR73" s="11">
        <f t="shared" si="135"/>
        <v>1890</v>
      </c>
      <c r="BS73" s="11">
        <f t="shared" si="135"/>
        <v>1890</v>
      </c>
      <c r="BT73" s="11">
        <v>731.61</v>
      </c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</row>
    <row r="74" spans="1:181" ht="15" x14ac:dyDescent="0.25">
      <c r="A74" s="9" t="s">
        <v>147</v>
      </c>
      <c r="B74" s="9" t="s">
        <v>136</v>
      </c>
      <c r="C74" s="9" t="s">
        <v>142</v>
      </c>
      <c r="D74" s="9">
        <v>10</v>
      </c>
      <c r="E74" s="10" t="s">
        <v>15</v>
      </c>
      <c r="F74" s="9" t="s">
        <v>144</v>
      </c>
      <c r="G74" s="2">
        <v>3780</v>
      </c>
      <c r="H74" s="2">
        <v>1000</v>
      </c>
      <c r="I74" s="2">
        <v>0</v>
      </c>
      <c r="J74" s="3">
        <v>2879.0299999999997</v>
      </c>
      <c r="K74" s="2">
        <f t="shared" si="121"/>
        <v>4780</v>
      </c>
      <c r="U74" s="4"/>
      <c r="X74" s="3"/>
      <c r="Y74" s="3">
        <f t="shared" si="129"/>
        <v>623.33000000000004</v>
      </c>
      <c r="Z74" s="3">
        <v>1700</v>
      </c>
      <c r="AA74" s="3">
        <v>1700</v>
      </c>
      <c r="AB74" s="3">
        <v>1700</v>
      </c>
      <c r="AC74" s="3">
        <v>1700</v>
      </c>
      <c r="AD74" s="3">
        <v>1700</v>
      </c>
      <c r="AE74" s="3">
        <v>1700</v>
      </c>
      <c r="AF74" s="3">
        <v>1700</v>
      </c>
      <c r="AG74" s="3">
        <f t="shared" si="130"/>
        <v>603.23</v>
      </c>
      <c r="AH74" s="4"/>
      <c r="AI74" s="3">
        <f t="shared" si="131"/>
        <v>2796.77</v>
      </c>
      <c r="AJ74" s="3">
        <v>1700</v>
      </c>
      <c r="AK74" s="3">
        <v>1700</v>
      </c>
      <c r="AL74" s="3">
        <v>1785</v>
      </c>
      <c r="AM74" s="3">
        <v>1785</v>
      </c>
      <c r="AN74" s="3">
        <v>1785</v>
      </c>
      <c r="AO74" s="3">
        <v>1785</v>
      </c>
      <c r="AP74" s="3">
        <v>1785</v>
      </c>
      <c r="AQ74" s="3">
        <v>1785</v>
      </c>
      <c r="AR74" s="3">
        <v>1785</v>
      </c>
      <c r="AS74" s="3">
        <v>1785</v>
      </c>
      <c r="AT74" s="3">
        <v>690.97</v>
      </c>
      <c r="AU74" s="4"/>
      <c r="AV74" s="3">
        <v>2879.0299999999997</v>
      </c>
      <c r="AW74" s="3">
        <v>1785</v>
      </c>
      <c r="AX74" s="3">
        <v>1785</v>
      </c>
      <c r="AY74" s="3">
        <v>1785</v>
      </c>
      <c r="AZ74" s="3">
        <v>1785</v>
      </c>
      <c r="BA74" s="3">
        <v>1785</v>
      </c>
      <c r="BB74" s="3">
        <v>1785</v>
      </c>
      <c r="BC74" s="3">
        <v>1785</v>
      </c>
      <c r="BD74" s="3">
        <v>1785</v>
      </c>
      <c r="BE74" s="3">
        <v>1785</v>
      </c>
      <c r="BF74" s="3">
        <v>1785</v>
      </c>
      <c r="BG74" s="3">
        <v>690.97</v>
      </c>
      <c r="BH74" s="12"/>
      <c r="BI74" s="3">
        <f>1785-BG74+1785</f>
        <v>2879.0299999999997</v>
      </c>
      <c r="BJ74" s="3">
        <v>1785</v>
      </c>
      <c r="BK74" s="3">
        <v>1785</v>
      </c>
      <c r="BL74" s="3">
        <v>1785</v>
      </c>
      <c r="BM74" s="11">
        <f t="shared" ref="BM74:BS74" si="136">BL74</f>
        <v>1785</v>
      </c>
      <c r="BN74" s="11">
        <f t="shared" si="136"/>
        <v>1785</v>
      </c>
      <c r="BO74" s="11">
        <f t="shared" si="136"/>
        <v>1785</v>
      </c>
      <c r="BP74" s="11">
        <f t="shared" si="136"/>
        <v>1785</v>
      </c>
      <c r="BQ74" s="11">
        <f t="shared" si="136"/>
        <v>1785</v>
      </c>
      <c r="BR74" s="11">
        <f t="shared" si="136"/>
        <v>1785</v>
      </c>
      <c r="BS74" s="11">
        <f t="shared" si="136"/>
        <v>1785</v>
      </c>
      <c r="BT74" s="11">
        <v>690.97</v>
      </c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</row>
    <row r="75" spans="1:181" ht="15" x14ac:dyDescent="0.25">
      <c r="A75" s="9" t="s">
        <v>148</v>
      </c>
      <c r="B75" s="9" t="s">
        <v>136</v>
      </c>
      <c r="C75" s="9" t="s">
        <v>142</v>
      </c>
      <c r="D75" s="9">
        <v>11</v>
      </c>
      <c r="E75" s="10" t="s">
        <v>15</v>
      </c>
      <c r="F75" s="9" t="s">
        <v>144</v>
      </c>
      <c r="G75" s="2">
        <v>3780</v>
      </c>
      <c r="H75" s="2">
        <v>1000</v>
      </c>
      <c r="I75" s="2">
        <v>0</v>
      </c>
      <c r="J75" s="3">
        <v>3048.39</v>
      </c>
      <c r="K75" s="2">
        <f t="shared" si="121"/>
        <v>4780</v>
      </c>
      <c r="L75" s="3"/>
      <c r="M75" s="3"/>
      <c r="N75" s="3"/>
      <c r="O75" s="3"/>
      <c r="P75" s="3"/>
      <c r="Q75" s="3"/>
      <c r="R75" s="3"/>
      <c r="S75" s="3"/>
      <c r="T75" s="3"/>
      <c r="U75" s="4"/>
      <c r="V75" s="3"/>
      <c r="W75" s="3"/>
      <c r="X75" s="3"/>
      <c r="Y75" s="3">
        <f t="shared" si="129"/>
        <v>660</v>
      </c>
      <c r="Z75" s="3">
        <v>1800</v>
      </c>
      <c r="AA75" s="3">
        <v>1800</v>
      </c>
      <c r="AB75" s="3">
        <v>1800</v>
      </c>
      <c r="AC75" s="3">
        <v>1800</v>
      </c>
      <c r="AD75" s="3">
        <v>1800</v>
      </c>
      <c r="AE75" s="3">
        <v>1800</v>
      </c>
      <c r="AF75" s="3">
        <v>1800</v>
      </c>
      <c r="AG75" s="3">
        <f t="shared" si="130"/>
        <v>638.71</v>
      </c>
      <c r="AH75" s="4"/>
      <c r="AI75" s="3">
        <f t="shared" si="131"/>
        <v>2961.29</v>
      </c>
      <c r="AJ75" s="3">
        <v>1800</v>
      </c>
      <c r="AK75" s="3">
        <v>1800</v>
      </c>
      <c r="AL75" s="3">
        <v>1890</v>
      </c>
      <c r="AM75" s="3">
        <v>1890</v>
      </c>
      <c r="AN75" s="3">
        <v>1890</v>
      </c>
      <c r="AO75" s="3">
        <v>1890</v>
      </c>
      <c r="AP75" s="3">
        <v>1890</v>
      </c>
      <c r="AQ75" s="3">
        <v>1890</v>
      </c>
      <c r="AR75" s="3">
        <v>1890</v>
      </c>
      <c r="AS75" s="3">
        <v>1890</v>
      </c>
      <c r="AT75" s="3">
        <v>731.61000000000013</v>
      </c>
      <c r="AU75" s="4"/>
      <c r="AV75" s="3">
        <v>3048.39</v>
      </c>
      <c r="AW75" s="3">
        <v>1890</v>
      </c>
      <c r="AX75" s="3">
        <v>1890</v>
      </c>
      <c r="AY75" s="3">
        <v>1890</v>
      </c>
      <c r="AZ75" s="3">
        <v>1890</v>
      </c>
      <c r="BA75" s="3">
        <v>1890</v>
      </c>
      <c r="BB75" s="3">
        <v>1890</v>
      </c>
      <c r="BC75" s="3">
        <v>1890</v>
      </c>
      <c r="BD75" s="3">
        <v>1890</v>
      </c>
      <c r="BE75" s="3">
        <v>1890</v>
      </c>
      <c r="BF75" s="3">
        <v>1890</v>
      </c>
      <c r="BG75" s="3">
        <v>731.61</v>
      </c>
      <c r="BH75" s="12"/>
      <c r="BI75" s="3">
        <f t="shared" ref="BI75:BI76" si="137">1890-BG75+1890</f>
        <v>3048.39</v>
      </c>
      <c r="BJ75" s="3">
        <v>1890</v>
      </c>
      <c r="BK75" s="3">
        <v>1890</v>
      </c>
      <c r="BL75" s="3">
        <v>1890</v>
      </c>
      <c r="BM75" s="11">
        <f t="shared" ref="BM75:BS75" si="138">BL75</f>
        <v>1890</v>
      </c>
      <c r="BN75" s="11">
        <f t="shared" si="138"/>
        <v>1890</v>
      </c>
      <c r="BO75" s="11">
        <f t="shared" si="138"/>
        <v>1890</v>
      </c>
      <c r="BP75" s="11">
        <f t="shared" si="138"/>
        <v>1890</v>
      </c>
      <c r="BQ75" s="11">
        <f t="shared" si="138"/>
        <v>1890</v>
      </c>
      <c r="BR75" s="11">
        <f t="shared" si="138"/>
        <v>1890</v>
      </c>
      <c r="BS75" s="11">
        <f t="shared" si="138"/>
        <v>1890</v>
      </c>
      <c r="BT75" s="11">
        <v>731.61</v>
      </c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</row>
    <row r="76" spans="1:181" ht="15" x14ac:dyDescent="0.25">
      <c r="A76" s="9" t="s">
        <v>149</v>
      </c>
      <c r="B76" s="9" t="s">
        <v>136</v>
      </c>
      <c r="C76" s="9" t="s">
        <v>142</v>
      </c>
      <c r="D76" s="9">
        <v>13</v>
      </c>
      <c r="E76" s="10" t="s">
        <v>15</v>
      </c>
      <c r="F76" s="9" t="s">
        <v>144</v>
      </c>
      <c r="G76" s="2">
        <v>3780</v>
      </c>
      <c r="H76" s="2">
        <v>1000</v>
      </c>
      <c r="I76" s="2">
        <v>0</v>
      </c>
      <c r="J76" s="3">
        <v>3048.39</v>
      </c>
      <c r="K76" s="2">
        <f t="shared" si="121"/>
        <v>4780</v>
      </c>
      <c r="L76" s="3"/>
      <c r="M76" s="3"/>
      <c r="N76" s="3"/>
      <c r="O76" s="3"/>
      <c r="P76" s="3"/>
      <c r="Q76" s="3"/>
      <c r="R76" s="3"/>
      <c r="S76" s="3"/>
      <c r="T76" s="3"/>
      <c r="U76" s="4"/>
      <c r="V76" s="3"/>
      <c r="W76" s="3"/>
      <c r="X76" s="3"/>
      <c r="Y76" s="3">
        <f t="shared" si="129"/>
        <v>660</v>
      </c>
      <c r="Z76" s="3">
        <v>1800</v>
      </c>
      <c r="AA76" s="3">
        <v>1800</v>
      </c>
      <c r="AB76" s="3">
        <v>1800</v>
      </c>
      <c r="AC76" s="3">
        <v>1800</v>
      </c>
      <c r="AD76" s="3">
        <v>1800</v>
      </c>
      <c r="AE76" s="3">
        <v>1800</v>
      </c>
      <c r="AF76" s="3">
        <v>1800</v>
      </c>
      <c r="AG76" s="3">
        <f t="shared" si="130"/>
        <v>638.71</v>
      </c>
      <c r="AH76" s="4"/>
      <c r="AI76" s="3">
        <f t="shared" si="131"/>
        <v>2961.29</v>
      </c>
      <c r="AJ76" s="3">
        <v>1800</v>
      </c>
      <c r="AK76" s="3">
        <v>1800</v>
      </c>
      <c r="AL76" s="3">
        <v>1890</v>
      </c>
      <c r="AM76" s="3">
        <v>1890</v>
      </c>
      <c r="AN76" s="3">
        <v>1890</v>
      </c>
      <c r="AO76" s="3">
        <v>1890</v>
      </c>
      <c r="AP76" s="3">
        <v>1890</v>
      </c>
      <c r="AQ76" s="3">
        <v>1890</v>
      </c>
      <c r="AR76" s="3">
        <v>1890</v>
      </c>
      <c r="AS76" s="3">
        <v>1890</v>
      </c>
      <c r="AT76" s="3">
        <v>731.61000000000013</v>
      </c>
      <c r="AU76" s="4"/>
      <c r="AV76" s="3">
        <v>3048.39</v>
      </c>
      <c r="AW76" s="3">
        <v>1890</v>
      </c>
      <c r="AX76" s="3">
        <v>1890</v>
      </c>
      <c r="AY76" s="3">
        <v>1890</v>
      </c>
      <c r="AZ76" s="3">
        <v>1890</v>
      </c>
      <c r="BA76" s="3">
        <v>1890</v>
      </c>
      <c r="BB76" s="3">
        <v>1890</v>
      </c>
      <c r="BC76" s="3">
        <v>1890</v>
      </c>
      <c r="BD76" s="3">
        <v>1890</v>
      </c>
      <c r="BE76" s="3">
        <v>1890</v>
      </c>
      <c r="BF76" s="3">
        <v>1890</v>
      </c>
      <c r="BG76" s="3">
        <v>731.61</v>
      </c>
      <c r="BH76" s="12"/>
      <c r="BI76" s="3">
        <f t="shared" si="137"/>
        <v>3048.39</v>
      </c>
      <c r="BJ76" s="3">
        <v>1890</v>
      </c>
      <c r="BK76" s="3">
        <v>1890</v>
      </c>
      <c r="BL76" s="3">
        <v>1890</v>
      </c>
      <c r="BM76" s="11">
        <f t="shared" ref="BM76:BS76" si="139">BL76</f>
        <v>1890</v>
      </c>
      <c r="BN76" s="11">
        <f t="shared" si="139"/>
        <v>1890</v>
      </c>
      <c r="BO76" s="11">
        <f t="shared" si="139"/>
        <v>1890</v>
      </c>
      <c r="BP76" s="11">
        <f t="shared" si="139"/>
        <v>1890</v>
      </c>
      <c r="BQ76" s="11">
        <f t="shared" si="139"/>
        <v>1890</v>
      </c>
      <c r="BR76" s="11">
        <f t="shared" si="139"/>
        <v>1890</v>
      </c>
      <c r="BS76" s="11">
        <f t="shared" si="139"/>
        <v>1890</v>
      </c>
      <c r="BT76" s="11">
        <v>731.61</v>
      </c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</row>
    <row r="77" spans="1:181" ht="15" x14ac:dyDescent="0.25">
      <c r="A77" s="14" t="s">
        <v>150</v>
      </c>
      <c r="B77" s="9" t="s">
        <v>136</v>
      </c>
      <c r="C77" s="9" t="s">
        <v>142</v>
      </c>
      <c r="D77" s="9">
        <v>12</v>
      </c>
      <c r="E77" s="9" t="s">
        <v>24</v>
      </c>
      <c r="F77" s="14" t="s">
        <v>151</v>
      </c>
      <c r="G77" s="2"/>
      <c r="H77" s="2"/>
      <c r="I77" s="2"/>
      <c r="J77" s="3"/>
      <c r="K77" s="2"/>
      <c r="L77" s="3"/>
      <c r="M77" s="3"/>
      <c r="N77" s="3"/>
      <c r="O77" s="3"/>
      <c r="P77" s="3"/>
      <c r="Q77" s="3"/>
      <c r="R77" s="3"/>
      <c r="S77" s="3"/>
      <c r="T77" s="3"/>
      <c r="U77" s="4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4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4"/>
      <c r="AV77" s="3"/>
      <c r="AW77" s="3"/>
      <c r="AX77" s="3"/>
      <c r="AY77" s="3"/>
      <c r="AZ77" s="11"/>
      <c r="BA77" s="11"/>
      <c r="BB77" s="11"/>
      <c r="BC77" s="11"/>
      <c r="BD77" s="11"/>
      <c r="BE77" s="11"/>
      <c r="BF77" s="11"/>
      <c r="BG77" s="3"/>
      <c r="BH77" s="12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>
        <f>3000/30*16</f>
        <v>1600</v>
      </c>
      <c r="BT77" s="3">
        <v>3000</v>
      </c>
      <c r="BU77" s="3"/>
      <c r="BV77" s="3">
        <v>3000</v>
      </c>
      <c r="BW77" s="3">
        <v>3000</v>
      </c>
      <c r="BX77" s="3">
        <v>3000</v>
      </c>
      <c r="BY77" s="3">
        <v>3000</v>
      </c>
      <c r="BZ77" s="3">
        <v>3000</v>
      </c>
      <c r="CA77" s="3">
        <v>3000</v>
      </c>
      <c r="CB77" s="3">
        <v>3000</v>
      </c>
      <c r="CC77" s="3">
        <v>3000</v>
      </c>
      <c r="CD77" s="3">
        <v>3000</v>
      </c>
      <c r="CE77" s="3">
        <v>3000</v>
      </c>
      <c r="CF77" s="3">
        <f>3000/30*14+3150/30*16</f>
        <v>3080</v>
      </c>
      <c r="CG77" s="3">
        <v>3150</v>
      </c>
      <c r="CH77" s="3">
        <v>3150</v>
      </c>
      <c r="CI77" s="3">
        <v>3150</v>
      </c>
      <c r="CJ77" s="3">
        <v>3150</v>
      </c>
      <c r="CK77" s="3">
        <v>3150</v>
      </c>
      <c r="CL77" s="3">
        <v>3150</v>
      </c>
      <c r="CM77" s="3">
        <v>3150</v>
      </c>
      <c r="CN77" s="3">
        <v>3150</v>
      </c>
      <c r="CO77" s="3">
        <v>3150</v>
      </c>
      <c r="CP77" s="3">
        <v>3150</v>
      </c>
      <c r="CQ77" s="3">
        <v>3150</v>
      </c>
      <c r="CR77" s="3">
        <f>3150/30*14</f>
        <v>1470</v>
      </c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</row>
    <row r="78" spans="1:181" ht="15" x14ac:dyDescent="0.25">
      <c r="A78" s="14" t="s">
        <v>152</v>
      </c>
      <c r="B78" s="9" t="s">
        <v>136</v>
      </c>
      <c r="C78" s="9" t="s">
        <v>153</v>
      </c>
      <c r="D78" s="9">
        <v>3</v>
      </c>
      <c r="E78" s="9" t="s">
        <v>24</v>
      </c>
      <c r="F78" s="14" t="s">
        <v>154</v>
      </c>
      <c r="G78" s="2"/>
      <c r="H78" s="2"/>
      <c r="I78" s="2"/>
      <c r="J78" s="3"/>
      <c r="K78" s="2"/>
      <c r="L78" s="3"/>
      <c r="M78" s="3"/>
      <c r="N78" s="3"/>
      <c r="O78" s="3"/>
      <c r="P78" s="3"/>
      <c r="Q78" s="3"/>
      <c r="R78" s="3"/>
      <c r="S78" s="3"/>
      <c r="T78" s="3"/>
      <c r="U78" s="4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4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4"/>
      <c r="AV78" s="3"/>
      <c r="AW78" s="3"/>
      <c r="AX78" s="3"/>
      <c r="AY78" s="3"/>
      <c r="AZ78" s="11"/>
      <c r="BA78" s="11"/>
      <c r="BB78" s="11"/>
      <c r="BC78" s="11"/>
      <c r="BD78" s="11"/>
      <c r="BE78" s="11"/>
      <c r="BF78" s="11"/>
      <c r="BG78" s="3"/>
      <c r="BH78" s="12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>
        <v>1900</v>
      </c>
      <c r="BU78" s="3"/>
      <c r="BV78" s="3">
        <v>1900</v>
      </c>
      <c r="BW78" s="3">
        <v>1900</v>
      </c>
      <c r="BX78" s="3">
        <v>1900</v>
      </c>
      <c r="BY78" s="3">
        <v>1900</v>
      </c>
      <c r="BZ78" s="3">
        <v>1900</v>
      </c>
      <c r="CA78" s="3">
        <v>1900</v>
      </c>
      <c r="CB78" s="3">
        <v>1900</v>
      </c>
      <c r="CC78" s="3">
        <v>1900</v>
      </c>
      <c r="CD78" s="3">
        <v>1900</v>
      </c>
      <c r="CE78" s="3">
        <v>1900</v>
      </c>
      <c r="CF78" s="3">
        <v>1900</v>
      </c>
      <c r="CG78" s="3">
        <v>1900</v>
      </c>
      <c r="CH78" s="3">
        <v>1900</v>
      </c>
      <c r="CI78" s="3">
        <v>1900</v>
      </c>
      <c r="CJ78" s="3">
        <v>1900</v>
      </c>
      <c r="CK78" s="3">
        <v>1900</v>
      </c>
      <c r="CL78" s="3">
        <v>1900</v>
      </c>
      <c r="CM78" s="3">
        <v>1900</v>
      </c>
      <c r="CN78" s="3">
        <v>1900</v>
      </c>
      <c r="CO78" s="3">
        <v>1900</v>
      </c>
      <c r="CP78" s="3">
        <v>1900</v>
      </c>
      <c r="CQ78" s="3">
        <v>1900</v>
      </c>
      <c r="CR78" s="3">
        <v>1900</v>
      </c>
      <c r="CS78" s="3">
        <v>2090</v>
      </c>
      <c r="CT78" s="3">
        <v>2090</v>
      </c>
      <c r="CU78" s="3">
        <v>2090</v>
      </c>
      <c r="CV78" s="3">
        <v>2090</v>
      </c>
      <c r="CW78" s="3">
        <v>2090</v>
      </c>
      <c r="CX78" s="3">
        <v>2090</v>
      </c>
      <c r="CY78" s="3">
        <v>2090</v>
      </c>
      <c r="CZ78" s="3">
        <v>2090</v>
      </c>
      <c r="DA78" s="3">
        <v>2090</v>
      </c>
      <c r="DB78" s="3">
        <v>2090</v>
      </c>
      <c r="DC78" s="3">
        <v>2090</v>
      </c>
      <c r="DD78" s="3">
        <v>2090</v>
      </c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</row>
    <row r="79" spans="1:181" ht="15" x14ac:dyDescent="0.25">
      <c r="A79" s="14" t="s">
        <v>155</v>
      </c>
      <c r="B79" s="9" t="s">
        <v>156</v>
      </c>
      <c r="C79" s="9" t="s">
        <v>140</v>
      </c>
      <c r="D79" s="9">
        <v>15</v>
      </c>
      <c r="E79" s="9" t="s">
        <v>24</v>
      </c>
      <c r="F79" s="14" t="s">
        <v>157</v>
      </c>
      <c r="G79" s="2"/>
      <c r="H79" s="2"/>
      <c r="I79" s="2"/>
      <c r="J79" s="3"/>
      <c r="K79" s="2"/>
      <c r="L79" s="3"/>
      <c r="M79" s="3"/>
      <c r="N79" s="3"/>
      <c r="O79" s="3"/>
      <c r="P79" s="3"/>
      <c r="Q79" s="3"/>
      <c r="R79" s="3"/>
      <c r="S79" s="3"/>
      <c r="T79" s="3"/>
      <c r="U79" s="4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4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4"/>
      <c r="AV79" s="3"/>
      <c r="AW79" s="3"/>
      <c r="AX79" s="3"/>
      <c r="AY79" s="3"/>
      <c r="AZ79" s="11"/>
      <c r="BA79" s="11"/>
      <c r="BB79" s="11"/>
      <c r="BC79" s="11"/>
      <c r="BD79" s="11"/>
      <c r="BE79" s="11"/>
      <c r="BF79" s="11"/>
      <c r="BG79" s="3"/>
      <c r="BH79" s="12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>
        <f>ROUND(2200/31*17,2)</f>
        <v>1206.45</v>
      </c>
      <c r="BU79" s="3"/>
      <c r="BV79" s="3">
        <v>2200</v>
      </c>
      <c r="BW79" s="3">
        <v>2200</v>
      </c>
      <c r="BX79" s="3">
        <v>2200</v>
      </c>
      <c r="BY79" s="3">
        <v>2200</v>
      </c>
      <c r="BZ79" s="3">
        <v>2200</v>
      </c>
      <c r="CA79" s="3">
        <v>2200</v>
      </c>
      <c r="CB79" s="3">
        <v>2200</v>
      </c>
      <c r="CC79" s="3">
        <v>2200</v>
      </c>
      <c r="CD79" s="3">
        <v>2200</v>
      </c>
      <c r="CE79" s="3">
        <v>2200</v>
      </c>
      <c r="CF79" s="3">
        <v>2200</v>
      </c>
      <c r="CG79" s="3">
        <v>2200</v>
      </c>
      <c r="CH79" s="3">
        <v>2200</v>
      </c>
      <c r="CI79" s="3">
        <v>2200</v>
      </c>
      <c r="CJ79" s="3">
        <v>2200</v>
      </c>
      <c r="CK79" s="3">
        <v>2200</v>
      </c>
      <c r="CL79" s="3">
        <v>2200</v>
      </c>
      <c r="CM79" s="3">
        <v>2200</v>
      </c>
      <c r="CN79" s="3">
        <v>2200</v>
      </c>
      <c r="CO79" s="3">
        <v>2200</v>
      </c>
      <c r="CP79" s="3">
        <v>2200</v>
      </c>
      <c r="CQ79" s="3">
        <v>2200</v>
      </c>
      <c r="CR79" s="3">
        <v>2200</v>
      </c>
      <c r="CS79" s="3">
        <f>ROUND(2200/31*14,2)+ROUND(2420/31*17,2)</f>
        <v>2320.6499999999996</v>
      </c>
      <c r="CT79" s="3">
        <v>2420</v>
      </c>
      <c r="CU79" s="3">
        <v>2420</v>
      </c>
      <c r="CV79" s="3">
        <v>2420</v>
      </c>
      <c r="CW79" s="3">
        <v>2420</v>
      </c>
      <c r="CX79" s="3">
        <v>2420</v>
      </c>
      <c r="CY79" s="3">
        <v>2420</v>
      </c>
      <c r="CZ79" s="3">
        <v>2420</v>
      </c>
      <c r="DA79" s="3">
        <v>2420</v>
      </c>
      <c r="DB79" s="3">
        <v>2420</v>
      </c>
      <c r="DC79" s="3">
        <v>2420</v>
      </c>
      <c r="DD79" s="3">
        <v>2420</v>
      </c>
      <c r="DE79" s="3">
        <f>ROUND(2420/31*14,2)</f>
        <v>1092.9000000000001</v>
      </c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</row>
    <row r="80" spans="1:181" ht="15" x14ac:dyDescent="0.25">
      <c r="A80" s="14" t="s">
        <v>158</v>
      </c>
      <c r="B80" s="9" t="s">
        <v>156</v>
      </c>
      <c r="C80" s="9" t="s">
        <v>159</v>
      </c>
      <c r="D80" s="9">
        <v>1</v>
      </c>
      <c r="E80" s="9" t="s">
        <v>24</v>
      </c>
      <c r="F80" s="14" t="s">
        <v>160</v>
      </c>
      <c r="G80" s="2"/>
      <c r="H80" s="2"/>
      <c r="I80" s="2"/>
      <c r="J80" s="3"/>
      <c r="K80" s="2"/>
      <c r="L80" s="3"/>
      <c r="M80" s="3"/>
      <c r="N80" s="3"/>
      <c r="O80" s="3"/>
      <c r="P80" s="3"/>
      <c r="Q80" s="3"/>
      <c r="R80" s="3"/>
      <c r="S80" s="3"/>
      <c r="T80" s="3"/>
      <c r="U80" s="4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4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4"/>
      <c r="AV80" s="3"/>
      <c r="AW80" s="3"/>
      <c r="AX80" s="3"/>
      <c r="AY80" s="3"/>
      <c r="AZ80" s="11"/>
      <c r="BA80" s="11"/>
      <c r="BB80" s="11"/>
      <c r="BC80" s="11"/>
      <c r="BD80" s="11"/>
      <c r="BE80" s="11"/>
      <c r="BF80" s="11"/>
      <c r="BG80" s="3"/>
      <c r="BH80" s="12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15">
        <f t="shared" ref="BV80:CS80" si="140">2600/2</f>
        <v>1300</v>
      </c>
      <c r="BW80" s="15">
        <f t="shared" si="140"/>
        <v>1300</v>
      </c>
      <c r="BX80" s="15">
        <f t="shared" si="140"/>
        <v>1300</v>
      </c>
      <c r="BY80" s="15">
        <f t="shared" si="140"/>
        <v>1300</v>
      </c>
      <c r="BZ80" s="15">
        <f t="shared" si="140"/>
        <v>1300</v>
      </c>
      <c r="CA80" s="15">
        <f t="shared" si="140"/>
        <v>1300</v>
      </c>
      <c r="CB80" s="15">
        <f t="shared" si="140"/>
        <v>1300</v>
      </c>
      <c r="CC80" s="15">
        <f t="shared" si="140"/>
        <v>1300</v>
      </c>
      <c r="CD80" s="15">
        <f t="shared" si="140"/>
        <v>1300</v>
      </c>
      <c r="CE80" s="15">
        <f t="shared" si="140"/>
        <v>1300</v>
      </c>
      <c r="CF80" s="15">
        <f t="shared" si="140"/>
        <v>1300</v>
      </c>
      <c r="CG80" s="3">
        <f t="shared" si="140"/>
        <v>1300</v>
      </c>
      <c r="CH80" s="3">
        <f t="shared" si="140"/>
        <v>1300</v>
      </c>
      <c r="CI80" s="3">
        <f t="shared" si="140"/>
        <v>1300</v>
      </c>
      <c r="CJ80" s="3">
        <f t="shared" si="140"/>
        <v>1300</v>
      </c>
      <c r="CK80" s="3">
        <f t="shared" si="140"/>
        <v>1300</v>
      </c>
      <c r="CL80" s="3">
        <f t="shared" si="140"/>
        <v>1300</v>
      </c>
      <c r="CM80" s="3">
        <f t="shared" si="140"/>
        <v>1300</v>
      </c>
      <c r="CN80" s="3">
        <f t="shared" si="140"/>
        <v>1300</v>
      </c>
      <c r="CO80" s="3">
        <f t="shared" si="140"/>
        <v>1300</v>
      </c>
      <c r="CP80" s="3">
        <f t="shared" si="140"/>
        <v>1300</v>
      </c>
      <c r="CQ80" s="3">
        <f t="shared" si="140"/>
        <v>1300</v>
      </c>
      <c r="CR80" s="3">
        <f t="shared" si="140"/>
        <v>1300</v>
      </c>
      <c r="CS80" s="3">
        <f t="shared" si="140"/>
        <v>1300</v>
      </c>
      <c r="CT80" s="3">
        <f t="shared" ref="CT80:DE80" si="141">2860/2</f>
        <v>1430</v>
      </c>
      <c r="CU80" s="3">
        <f t="shared" si="141"/>
        <v>1430</v>
      </c>
      <c r="CV80" s="3">
        <f t="shared" si="141"/>
        <v>1430</v>
      </c>
      <c r="CW80" s="3">
        <f t="shared" si="141"/>
        <v>1430</v>
      </c>
      <c r="CX80" s="3">
        <f t="shared" si="141"/>
        <v>1430</v>
      </c>
      <c r="CY80" s="3">
        <f t="shared" si="141"/>
        <v>1430</v>
      </c>
      <c r="CZ80" s="3">
        <f t="shared" si="141"/>
        <v>1430</v>
      </c>
      <c r="DA80" s="3">
        <f t="shared" si="141"/>
        <v>1430</v>
      </c>
      <c r="DB80" s="3">
        <f t="shared" si="141"/>
        <v>1430</v>
      </c>
      <c r="DC80" s="3">
        <f t="shared" si="141"/>
        <v>1430</v>
      </c>
      <c r="DD80" s="3">
        <f t="shared" si="141"/>
        <v>1430</v>
      </c>
      <c r="DE80" s="3">
        <f t="shared" si="141"/>
        <v>1430</v>
      </c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</row>
    <row r="81" spans="1:181" ht="15" x14ac:dyDescent="0.25">
      <c r="A81" s="14" t="s">
        <v>161</v>
      </c>
      <c r="B81" s="9" t="s">
        <v>156</v>
      </c>
      <c r="C81" s="9" t="s">
        <v>159</v>
      </c>
      <c r="D81" s="9">
        <v>1</v>
      </c>
      <c r="E81" s="9" t="s">
        <v>24</v>
      </c>
      <c r="F81" s="14" t="s">
        <v>162</v>
      </c>
      <c r="G81" s="2"/>
      <c r="H81" s="2"/>
      <c r="I81" s="2"/>
      <c r="J81" s="3"/>
      <c r="K81" s="2"/>
      <c r="L81" s="3"/>
      <c r="M81" s="3"/>
      <c r="N81" s="3"/>
      <c r="O81" s="3"/>
      <c r="P81" s="3"/>
      <c r="Q81" s="3"/>
      <c r="R81" s="3"/>
      <c r="S81" s="3"/>
      <c r="T81" s="3"/>
      <c r="U81" s="4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4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4"/>
      <c r="AV81" s="3"/>
      <c r="AW81" s="3"/>
      <c r="AX81" s="3"/>
      <c r="AY81" s="3"/>
      <c r="AZ81" s="11"/>
      <c r="BA81" s="11"/>
      <c r="BB81" s="11"/>
      <c r="BC81" s="11"/>
      <c r="BD81" s="11"/>
      <c r="BE81" s="11"/>
      <c r="BF81" s="11"/>
      <c r="BG81" s="3"/>
      <c r="BH81" s="12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15">
        <f t="shared" ref="BV81:CS81" si="142">2600/2</f>
        <v>1300</v>
      </c>
      <c r="BW81" s="15">
        <f t="shared" si="142"/>
        <v>1300</v>
      </c>
      <c r="BX81" s="15">
        <f t="shared" si="142"/>
        <v>1300</v>
      </c>
      <c r="BY81" s="15">
        <f t="shared" si="142"/>
        <v>1300</v>
      </c>
      <c r="BZ81" s="15">
        <f t="shared" si="142"/>
        <v>1300</v>
      </c>
      <c r="CA81" s="15">
        <f t="shared" si="142"/>
        <v>1300</v>
      </c>
      <c r="CB81" s="15">
        <f t="shared" si="142"/>
        <v>1300</v>
      </c>
      <c r="CC81" s="15">
        <f t="shared" si="142"/>
        <v>1300</v>
      </c>
      <c r="CD81" s="15">
        <f t="shared" si="142"/>
        <v>1300</v>
      </c>
      <c r="CE81" s="15">
        <f t="shared" si="142"/>
        <v>1300</v>
      </c>
      <c r="CF81" s="15">
        <f t="shared" si="142"/>
        <v>1300</v>
      </c>
      <c r="CG81" s="3">
        <f t="shared" si="142"/>
        <v>1300</v>
      </c>
      <c r="CH81" s="3">
        <f t="shared" si="142"/>
        <v>1300</v>
      </c>
      <c r="CI81" s="3">
        <f t="shared" si="142"/>
        <v>1300</v>
      </c>
      <c r="CJ81" s="3">
        <f t="shared" si="142"/>
        <v>1300</v>
      </c>
      <c r="CK81" s="3">
        <f t="shared" si="142"/>
        <v>1300</v>
      </c>
      <c r="CL81" s="3">
        <f t="shared" si="142"/>
        <v>1300</v>
      </c>
      <c r="CM81" s="3">
        <f t="shared" si="142"/>
        <v>1300</v>
      </c>
      <c r="CN81" s="3">
        <f t="shared" si="142"/>
        <v>1300</v>
      </c>
      <c r="CO81" s="3">
        <f t="shared" si="142"/>
        <v>1300</v>
      </c>
      <c r="CP81" s="3">
        <f t="shared" si="142"/>
        <v>1300</v>
      </c>
      <c r="CQ81" s="3">
        <f t="shared" si="142"/>
        <v>1300</v>
      </c>
      <c r="CR81" s="3">
        <f t="shared" si="142"/>
        <v>1300</v>
      </c>
      <c r="CS81" s="3">
        <f t="shared" si="142"/>
        <v>1300</v>
      </c>
      <c r="CT81" s="3">
        <f t="shared" ref="CT81:DE81" si="143">2860/2</f>
        <v>1430</v>
      </c>
      <c r="CU81" s="3">
        <f t="shared" si="143"/>
        <v>1430</v>
      </c>
      <c r="CV81" s="3">
        <f t="shared" si="143"/>
        <v>1430</v>
      </c>
      <c r="CW81" s="3">
        <f t="shared" si="143"/>
        <v>1430</v>
      </c>
      <c r="CX81" s="3">
        <f t="shared" si="143"/>
        <v>1430</v>
      </c>
      <c r="CY81" s="3">
        <f t="shared" si="143"/>
        <v>1430</v>
      </c>
      <c r="CZ81" s="3">
        <f t="shared" si="143"/>
        <v>1430</v>
      </c>
      <c r="DA81" s="3">
        <f t="shared" si="143"/>
        <v>1430</v>
      </c>
      <c r="DB81" s="3">
        <f t="shared" si="143"/>
        <v>1430</v>
      </c>
      <c r="DC81" s="3">
        <f t="shared" si="143"/>
        <v>1430</v>
      </c>
      <c r="DD81" s="3">
        <f t="shared" si="143"/>
        <v>1430</v>
      </c>
      <c r="DE81" s="3">
        <f t="shared" si="143"/>
        <v>1430</v>
      </c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</row>
    <row r="82" spans="1:181" ht="15" x14ac:dyDescent="0.25">
      <c r="B82" s="9"/>
      <c r="C82" s="9"/>
      <c r="D82" s="9"/>
      <c r="E82" s="9"/>
      <c r="G82" s="2"/>
      <c r="H82" s="2"/>
      <c r="I82" s="2"/>
      <c r="J82" s="3"/>
      <c r="K82" s="2"/>
      <c r="L82" s="3"/>
      <c r="M82" s="3"/>
      <c r="N82" s="3"/>
      <c r="O82" s="3"/>
      <c r="P82" s="3"/>
      <c r="Q82" s="3"/>
      <c r="R82" s="3"/>
      <c r="S82" s="3"/>
      <c r="T82" s="3"/>
      <c r="U82" s="4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4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4"/>
      <c r="AV82" s="3"/>
      <c r="AW82" s="3"/>
      <c r="AX82" s="3"/>
      <c r="AY82" s="3"/>
      <c r="AZ82" s="11"/>
      <c r="BA82" s="11"/>
      <c r="BB82" s="11"/>
      <c r="BC82" s="11"/>
      <c r="BD82" s="11"/>
      <c r="BE82" s="11"/>
      <c r="BF82" s="11"/>
      <c r="BG82" s="3"/>
      <c r="BH82" s="12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</row>
    <row r="83" spans="1:181" ht="15" x14ac:dyDescent="0.25">
      <c r="A83" s="9" t="s">
        <v>163</v>
      </c>
      <c r="B83" s="9" t="s">
        <v>164</v>
      </c>
      <c r="C83" s="9" t="s">
        <v>50</v>
      </c>
      <c r="D83" s="9">
        <v>17</v>
      </c>
      <c r="E83" s="9" t="s">
        <v>24</v>
      </c>
      <c r="F83" s="9" t="s">
        <v>165</v>
      </c>
      <c r="G83" s="2">
        <v>12000</v>
      </c>
      <c r="H83" s="2">
        <v>2000</v>
      </c>
      <c r="I83" s="2">
        <v>0</v>
      </c>
      <c r="J83" s="3"/>
      <c r="K83" s="2">
        <f t="shared" ref="K83:K117" si="144">SUM(G83:I83)</f>
        <v>14000</v>
      </c>
      <c r="L83" s="3"/>
      <c r="M83" s="3"/>
      <c r="N83" s="3"/>
      <c r="O83" s="3"/>
      <c r="P83" s="3"/>
      <c r="Q83" s="3"/>
      <c r="R83" s="3"/>
      <c r="S83" s="3"/>
      <c r="T83" s="3"/>
      <c r="U83" s="4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4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4"/>
      <c r="AV83" s="3"/>
      <c r="AW83" s="3"/>
      <c r="AX83" s="3"/>
      <c r="AY83" s="3"/>
      <c r="AZ83" s="11"/>
      <c r="BA83" s="11"/>
      <c r="BB83" s="11"/>
      <c r="BC83" s="11"/>
      <c r="BD83" s="11"/>
      <c r="BE83" s="11"/>
      <c r="BF83" s="11"/>
      <c r="BG83" s="3"/>
      <c r="BH83" s="12"/>
      <c r="BI83" s="3"/>
      <c r="BJ83" s="3"/>
      <c r="BK83" s="3"/>
      <c r="BL83" s="3"/>
      <c r="BM83" s="3">
        <v>6000</v>
      </c>
      <c r="BN83" s="3">
        <v>6000</v>
      </c>
      <c r="BO83" s="3">
        <v>6000</v>
      </c>
      <c r="BP83" s="3">
        <v>6000</v>
      </c>
      <c r="BQ83" s="3">
        <v>6000</v>
      </c>
      <c r="BR83" s="3">
        <v>6000</v>
      </c>
      <c r="BS83" s="3">
        <v>6000</v>
      </c>
      <c r="BT83" s="3">
        <v>6000</v>
      </c>
      <c r="BU83" s="3"/>
      <c r="BV83" s="3">
        <v>6000</v>
      </c>
      <c r="BW83" s="3">
        <v>6000</v>
      </c>
      <c r="BX83" s="3">
        <v>6000</v>
      </c>
      <c r="BY83" s="3">
        <v>6000</v>
      </c>
      <c r="BZ83" s="3">
        <v>6000</v>
      </c>
      <c r="CA83" s="3">
        <v>6000</v>
      </c>
      <c r="CB83" s="3">
        <v>6000</v>
      </c>
      <c r="CC83" s="3">
        <v>6000</v>
      </c>
      <c r="CD83" s="3">
        <v>6000</v>
      </c>
      <c r="CE83" s="3">
        <v>6000</v>
      </c>
      <c r="CF83" s="3">
        <v>6000</v>
      </c>
      <c r="CG83" s="3">
        <v>6000</v>
      </c>
      <c r="CH83" s="3">
        <v>6000</v>
      </c>
      <c r="CI83" s="3">
        <v>6000</v>
      </c>
      <c r="CJ83" s="3">
        <v>6000</v>
      </c>
      <c r="CK83" s="3">
        <v>6600</v>
      </c>
      <c r="CL83" s="3">
        <v>6600</v>
      </c>
      <c r="CM83" s="3">
        <v>6600</v>
      </c>
      <c r="CN83" s="3">
        <v>6600</v>
      </c>
      <c r="CO83" s="3">
        <v>6600</v>
      </c>
      <c r="CP83" s="3">
        <v>6600</v>
      </c>
      <c r="CQ83" s="3">
        <v>6600</v>
      </c>
      <c r="CR83" s="3">
        <v>6600</v>
      </c>
      <c r="CS83" s="3">
        <v>6600</v>
      </c>
      <c r="CT83" s="3">
        <v>6600</v>
      </c>
      <c r="CU83" s="3">
        <v>6600</v>
      </c>
      <c r="CV83" s="3">
        <v>6600</v>
      </c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</row>
    <row r="84" spans="1:181" ht="15" x14ac:dyDescent="0.25">
      <c r="A84" s="9" t="s">
        <v>166</v>
      </c>
      <c r="B84" s="9" t="s">
        <v>164</v>
      </c>
      <c r="C84" s="9" t="s">
        <v>50</v>
      </c>
      <c r="D84" s="9">
        <v>1</v>
      </c>
      <c r="E84" s="9" t="s">
        <v>24</v>
      </c>
      <c r="F84" s="9" t="s">
        <v>167</v>
      </c>
      <c r="G84" s="2">
        <v>6740</v>
      </c>
      <c r="H84" s="2">
        <v>2000</v>
      </c>
      <c r="I84" s="2">
        <v>0</v>
      </c>
      <c r="J84" s="3">
        <v>3370</v>
      </c>
      <c r="K84" s="2">
        <f t="shared" si="144"/>
        <v>8740</v>
      </c>
      <c r="U84" s="4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4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4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>
        <v>3370</v>
      </c>
      <c r="BG84" s="3">
        <v>3370</v>
      </c>
      <c r="BH84" s="12"/>
      <c r="BI84" s="3">
        <v>3370</v>
      </c>
      <c r="BJ84" s="3">
        <v>3370</v>
      </c>
      <c r="BK84" s="3">
        <v>3370</v>
      </c>
      <c r="BL84" s="3">
        <v>3370</v>
      </c>
      <c r="BM84" s="3">
        <v>3370</v>
      </c>
      <c r="BN84" s="3">
        <v>3370</v>
      </c>
      <c r="BO84" s="3">
        <v>3370</v>
      </c>
      <c r="BP84" s="3">
        <v>3370</v>
      </c>
      <c r="BQ84" s="3">
        <v>3370</v>
      </c>
      <c r="BR84" s="3">
        <v>3370</v>
      </c>
      <c r="BS84" s="3">
        <v>3370</v>
      </c>
      <c r="BT84" s="3">
        <v>3370</v>
      </c>
      <c r="BU84" s="3"/>
      <c r="BV84" s="3">
        <v>3370</v>
      </c>
      <c r="BW84" s="3">
        <v>3370</v>
      </c>
      <c r="BX84" s="3">
        <v>3370</v>
      </c>
      <c r="BY84" s="3">
        <v>3370</v>
      </c>
      <c r="BZ84" s="3">
        <v>3370</v>
      </c>
      <c r="CA84" s="3">
        <v>3370</v>
      </c>
      <c r="CB84" s="3">
        <v>3370</v>
      </c>
      <c r="CC84" s="3">
        <v>3370</v>
      </c>
      <c r="CD84" s="3">
        <v>3370</v>
      </c>
      <c r="CE84" s="3">
        <v>3709</v>
      </c>
      <c r="CF84" s="3">
        <v>3709</v>
      </c>
      <c r="CG84" s="3">
        <v>3709</v>
      </c>
      <c r="CH84" s="3">
        <v>3709</v>
      </c>
      <c r="CI84" s="3">
        <v>3709</v>
      </c>
      <c r="CJ84" s="3">
        <v>3709</v>
      </c>
      <c r="CK84" s="3">
        <v>3709</v>
      </c>
      <c r="CL84" s="3">
        <v>3709</v>
      </c>
      <c r="CM84" s="3">
        <v>3709</v>
      </c>
      <c r="CN84" s="3">
        <v>3709</v>
      </c>
      <c r="CO84" s="3">
        <v>3709</v>
      </c>
      <c r="CP84" s="3">
        <v>3709</v>
      </c>
      <c r="CQ84" s="3">
        <v>3709</v>
      </c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</row>
    <row r="85" spans="1:181" ht="15" x14ac:dyDescent="0.25">
      <c r="A85" s="9" t="s">
        <v>168</v>
      </c>
      <c r="B85" s="9" t="s">
        <v>164</v>
      </c>
      <c r="C85" s="9" t="s">
        <v>50</v>
      </c>
      <c r="D85" s="9">
        <v>2</v>
      </c>
      <c r="E85" s="9" t="s">
        <v>24</v>
      </c>
      <c r="F85" s="9" t="s">
        <v>167</v>
      </c>
      <c r="G85" s="2">
        <v>11490</v>
      </c>
      <c r="H85" s="2">
        <v>2000</v>
      </c>
      <c r="I85" s="2">
        <v>0</v>
      </c>
      <c r="J85" s="3">
        <v>5745</v>
      </c>
      <c r="K85" s="2">
        <f t="shared" si="144"/>
        <v>13490</v>
      </c>
      <c r="U85" s="4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4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4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>
        <v>5745</v>
      </c>
      <c r="BG85" s="3">
        <v>5745</v>
      </c>
      <c r="BH85" s="12"/>
      <c r="BI85" s="3">
        <v>5745</v>
      </c>
      <c r="BJ85" s="3">
        <v>5745</v>
      </c>
      <c r="BK85" s="3">
        <v>5745</v>
      </c>
      <c r="BL85" s="3">
        <v>5745</v>
      </c>
      <c r="BM85" s="3">
        <v>5745</v>
      </c>
      <c r="BN85" s="3">
        <v>5745</v>
      </c>
      <c r="BO85" s="3">
        <v>5745</v>
      </c>
      <c r="BP85" s="3">
        <v>5745</v>
      </c>
      <c r="BQ85" s="3">
        <v>5745</v>
      </c>
      <c r="BR85" s="3">
        <v>5745</v>
      </c>
      <c r="BS85" s="3">
        <v>5745</v>
      </c>
      <c r="BT85" s="3">
        <v>5745</v>
      </c>
      <c r="BU85" s="3"/>
      <c r="BV85" s="3">
        <v>5745</v>
      </c>
      <c r="BW85" s="3">
        <v>5745</v>
      </c>
      <c r="BX85" s="3">
        <v>5745</v>
      </c>
      <c r="BY85" s="3">
        <v>5745</v>
      </c>
      <c r="BZ85" s="3">
        <v>5745</v>
      </c>
      <c r="CA85" s="3">
        <v>5745</v>
      </c>
      <c r="CB85" s="3">
        <v>5745</v>
      </c>
      <c r="CC85" s="3">
        <v>5745</v>
      </c>
      <c r="CD85" s="3">
        <v>5745</v>
      </c>
      <c r="CE85" s="3">
        <v>6319</v>
      </c>
      <c r="CF85" s="3">
        <v>6319</v>
      </c>
      <c r="CG85" s="3">
        <v>6319</v>
      </c>
      <c r="CH85" s="3">
        <v>6319</v>
      </c>
      <c r="CI85" s="3">
        <v>6319</v>
      </c>
      <c r="CJ85" s="3">
        <v>6319</v>
      </c>
      <c r="CK85" s="3">
        <v>6319</v>
      </c>
      <c r="CL85" s="3">
        <v>6319</v>
      </c>
      <c r="CM85" s="3">
        <v>6319</v>
      </c>
      <c r="CN85" s="3">
        <v>6319</v>
      </c>
      <c r="CO85" s="3">
        <v>6319</v>
      </c>
      <c r="CP85" s="3">
        <v>6319</v>
      </c>
      <c r="CQ85" s="3">
        <v>6319</v>
      </c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</row>
    <row r="86" spans="1:181" ht="15" x14ac:dyDescent="0.25">
      <c r="A86" s="9" t="s">
        <v>169</v>
      </c>
      <c r="B86" s="9" t="s">
        <v>164</v>
      </c>
      <c r="C86" s="9" t="s">
        <v>50</v>
      </c>
      <c r="D86" s="9">
        <v>3</v>
      </c>
      <c r="E86" s="9" t="s">
        <v>24</v>
      </c>
      <c r="F86" s="9" t="s">
        <v>167</v>
      </c>
      <c r="G86" s="2">
        <v>11490</v>
      </c>
      <c r="H86" s="2">
        <v>2000</v>
      </c>
      <c r="I86" s="2">
        <v>0</v>
      </c>
      <c r="J86" s="3">
        <v>5745</v>
      </c>
      <c r="K86" s="2">
        <f t="shared" si="144"/>
        <v>13490</v>
      </c>
      <c r="U86" s="4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4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4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>
        <v>5745</v>
      </c>
      <c r="BG86" s="3">
        <v>5745</v>
      </c>
      <c r="BH86" s="12"/>
      <c r="BI86" s="3">
        <v>5745</v>
      </c>
      <c r="BJ86" s="3">
        <v>5745</v>
      </c>
      <c r="BK86" s="3">
        <v>5745</v>
      </c>
      <c r="BL86" s="3">
        <v>5745</v>
      </c>
      <c r="BM86" s="3">
        <v>5745</v>
      </c>
      <c r="BN86" s="3">
        <v>5745</v>
      </c>
      <c r="BO86" s="3">
        <v>5745</v>
      </c>
      <c r="BP86" s="3">
        <v>5745</v>
      </c>
      <c r="BQ86" s="3">
        <v>5745</v>
      </c>
      <c r="BR86" s="3">
        <v>5745</v>
      </c>
      <c r="BS86" s="3">
        <v>5745</v>
      </c>
      <c r="BT86" s="3">
        <v>5745</v>
      </c>
      <c r="BU86" s="3"/>
      <c r="BV86" s="3">
        <v>5745</v>
      </c>
      <c r="BW86" s="3">
        <v>5745</v>
      </c>
      <c r="BX86" s="3">
        <v>5745</v>
      </c>
      <c r="BY86" s="3">
        <v>5745</v>
      </c>
      <c r="BZ86" s="3">
        <v>5745</v>
      </c>
      <c r="CA86" s="3">
        <v>5745</v>
      </c>
      <c r="CB86" s="3">
        <v>5745</v>
      </c>
      <c r="CC86" s="3">
        <v>5745</v>
      </c>
      <c r="CD86" s="3">
        <v>5745</v>
      </c>
      <c r="CE86" s="3">
        <v>6319</v>
      </c>
      <c r="CF86" s="3">
        <v>6319</v>
      </c>
      <c r="CG86" s="3">
        <v>6319</v>
      </c>
      <c r="CH86" s="3">
        <v>6319</v>
      </c>
      <c r="CI86" s="3">
        <v>6319</v>
      </c>
      <c r="CJ86" s="3">
        <v>6319</v>
      </c>
      <c r="CK86" s="3">
        <v>6319</v>
      </c>
      <c r="CL86" s="3">
        <v>6319</v>
      </c>
      <c r="CM86" s="3">
        <v>6319</v>
      </c>
      <c r="CN86" s="3">
        <v>6319</v>
      </c>
      <c r="CO86" s="3">
        <v>6319</v>
      </c>
      <c r="CP86" s="3">
        <v>6319</v>
      </c>
      <c r="CQ86" s="3">
        <v>6319</v>
      </c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</row>
    <row r="87" spans="1:181" ht="15" x14ac:dyDescent="0.25">
      <c r="A87" s="9" t="s">
        <v>170</v>
      </c>
      <c r="B87" s="9" t="s">
        <v>164</v>
      </c>
      <c r="C87" s="9" t="s">
        <v>50</v>
      </c>
      <c r="D87" s="9" t="s">
        <v>47</v>
      </c>
      <c r="E87" s="9" t="s">
        <v>24</v>
      </c>
      <c r="F87" s="9" t="s">
        <v>167</v>
      </c>
      <c r="G87" s="2">
        <v>11490</v>
      </c>
      <c r="H87" s="2">
        <v>2000</v>
      </c>
      <c r="I87" s="2">
        <v>0</v>
      </c>
      <c r="J87" s="3">
        <v>5745</v>
      </c>
      <c r="K87" s="2">
        <f t="shared" si="144"/>
        <v>13490</v>
      </c>
      <c r="L87" s="3"/>
      <c r="M87" s="3"/>
      <c r="N87" s="3"/>
      <c r="O87" s="3"/>
      <c r="P87" s="3"/>
      <c r="Q87" s="3"/>
      <c r="R87" s="3"/>
      <c r="S87" s="3"/>
      <c r="T87" s="3"/>
      <c r="U87" s="4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4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4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>
        <v>5745</v>
      </c>
      <c r="BG87" s="3">
        <v>5745</v>
      </c>
      <c r="BH87" s="12"/>
      <c r="BI87" s="3">
        <v>5745</v>
      </c>
      <c r="BJ87" s="3">
        <v>5745</v>
      </c>
      <c r="BK87" s="3">
        <v>5745</v>
      </c>
      <c r="BL87" s="3">
        <v>5745</v>
      </c>
      <c r="BM87" s="3">
        <v>5745</v>
      </c>
      <c r="BN87" s="3">
        <v>5745</v>
      </c>
      <c r="BO87" s="3">
        <v>5745</v>
      </c>
      <c r="BP87" s="3">
        <v>5745</v>
      </c>
      <c r="BQ87" s="3">
        <v>5745</v>
      </c>
      <c r="BR87" s="3">
        <v>5745</v>
      </c>
      <c r="BS87" s="3">
        <v>5745</v>
      </c>
      <c r="BT87" s="3">
        <v>5745</v>
      </c>
      <c r="BU87" s="3"/>
      <c r="BV87" s="3">
        <v>5745</v>
      </c>
      <c r="BW87" s="3">
        <v>5745</v>
      </c>
      <c r="BX87" s="3">
        <v>5745</v>
      </c>
      <c r="BY87" s="3">
        <v>5745</v>
      </c>
      <c r="BZ87" s="3">
        <v>5745</v>
      </c>
      <c r="CA87" s="3">
        <v>5745</v>
      </c>
      <c r="CB87" s="3">
        <v>5745</v>
      </c>
      <c r="CC87" s="3">
        <v>5745</v>
      </c>
      <c r="CD87" s="3">
        <v>5745</v>
      </c>
      <c r="CE87" s="3">
        <v>6319</v>
      </c>
      <c r="CF87" s="3">
        <v>6319</v>
      </c>
      <c r="CG87" s="3">
        <v>6319</v>
      </c>
      <c r="CH87" s="3">
        <v>6319</v>
      </c>
      <c r="CI87" s="3">
        <v>6319</v>
      </c>
      <c r="CJ87" s="3">
        <v>6319</v>
      </c>
      <c r="CK87" s="3">
        <v>6319</v>
      </c>
      <c r="CL87" s="3">
        <v>6319</v>
      </c>
      <c r="CM87" s="3">
        <v>6319</v>
      </c>
      <c r="CN87" s="3">
        <v>6319</v>
      </c>
      <c r="CO87" s="3">
        <v>6319</v>
      </c>
      <c r="CP87" s="3">
        <v>6319</v>
      </c>
      <c r="CQ87" s="3">
        <v>6319</v>
      </c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</row>
    <row r="88" spans="1:181" ht="15" x14ac:dyDescent="0.25">
      <c r="A88" s="9" t="s">
        <v>171</v>
      </c>
      <c r="B88" s="9" t="s">
        <v>164</v>
      </c>
      <c r="C88" s="9" t="s">
        <v>50</v>
      </c>
      <c r="D88" s="9">
        <v>5</v>
      </c>
      <c r="E88" s="9" t="s">
        <v>24</v>
      </c>
      <c r="F88" s="9" t="s">
        <v>167</v>
      </c>
      <c r="G88" s="2">
        <v>11490</v>
      </c>
      <c r="H88" s="2">
        <v>2000</v>
      </c>
      <c r="I88" s="2">
        <v>0</v>
      </c>
      <c r="J88" s="3">
        <v>5745</v>
      </c>
      <c r="K88" s="2">
        <f t="shared" si="144"/>
        <v>13490</v>
      </c>
      <c r="L88" s="3"/>
      <c r="M88" s="3"/>
      <c r="N88" s="3"/>
      <c r="O88" s="3"/>
      <c r="P88" s="3"/>
      <c r="Q88" s="3"/>
      <c r="R88" s="3"/>
      <c r="S88" s="3"/>
      <c r="T88" s="3"/>
      <c r="U88" s="4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4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4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>
        <v>5745</v>
      </c>
      <c r="BG88" s="3">
        <v>5745</v>
      </c>
      <c r="BH88" s="12"/>
      <c r="BI88" s="3">
        <v>5745</v>
      </c>
      <c r="BJ88" s="3">
        <v>5745</v>
      </c>
      <c r="BK88" s="3">
        <v>5745</v>
      </c>
      <c r="BL88" s="3">
        <v>5745</v>
      </c>
      <c r="BM88" s="3">
        <v>5745</v>
      </c>
      <c r="BN88" s="3">
        <v>5745</v>
      </c>
      <c r="BO88" s="3">
        <v>5745</v>
      </c>
      <c r="BP88" s="3">
        <v>5745</v>
      </c>
      <c r="BQ88" s="3">
        <v>5745</v>
      </c>
      <c r="BR88" s="3">
        <v>5745</v>
      </c>
      <c r="BS88" s="3">
        <v>5745</v>
      </c>
      <c r="BT88" s="3">
        <v>5745</v>
      </c>
      <c r="BU88" s="3"/>
      <c r="BV88" s="3">
        <v>5745</v>
      </c>
      <c r="BW88" s="3">
        <v>5745</v>
      </c>
      <c r="BX88" s="3">
        <v>5745</v>
      </c>
      <c r="BY88" s="3">
        <v>5745</v>
      </c>
      <c r="BZ88" s="3">
        <v>5745</v>
      </c>
      <c r="CA88" s="3">
        <v>5745</v>
      </c>
      <c r="CB88" s="3">
        <v>5745</v>
      </c>
      <c r="CC88" s="3">
        <v>5745</v>
      </c>
      <c r="CD88" s="3">
        <v>5745</v>
      </c>
      <c r="CE88" s="3">
        <v>6319</v>
      </c>
      <c r="CF88" s="3">
        <v>6319</v>
      </c>
      <c r="CG88" s="3">
        <v>6319</v>
      </c>
      <c r="CH88" s="3">
        <v>6319</v>
      </c>
      <c r="CI88" s="3">
        <v>6319</v>
      </c>
      <c r="CJ88" s="3">
        <v>6319</v>
      </c>
      <c r="CK88" s="3">
        <v>6319</v>
      </c>
      <c r="CL88" s="3">
        <v>6319</v>
      </c>
      <c r="CM88" s="3">
        <v>6319</v>
      </c>
      <c r="CN88" s="3">
        <v>6319</v>
      </c>
      <c r="CO88" s="3">
        <v>6319</v>
      </c>
      <c r="CP88" s="3">
        <v>6319</v>
      </c>
      <c r="CQ88" s="3">
        <v>6319</v>
      </c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</row>
    <row r="89" spans="1:181" ht="15" x14ac:dyDescent="0.25">
      <c r="A89" s="9" t="s">
        <v>172</v>
      </c>
      <c r="B89" s="9" t="s">
        <v>164</v>
      </c>
      <c r="C89" s="9" t="s">
        <v>50</v>
      </c>
      <c r="D89" s="9">
        <v>6</v>
      </c>
      <c r="E89" s="9" t="s">
        <v>24</v>
      </c>
      <c r="F89" s="9" t="s">
        <v>167</v>
      </c>
      <c r="G89" s="2">
        <v>9410</v>
      </c>
      <c r="H89" s="2">
        <v>2000</v>
      </c>
      <c r="I89" s="2">
        <v>0</v>
      </c>
      <c r="J89" s="3">
        <v>4705</v>
      </c>
      <c r="K89" s="2">
        <f t="shared" si="144"/>
        <v>11410</v>
      </c>
      <c r="L89" s="3"/>
      <c r="M89" s="3"/>
      <c r="N89" s="3"/>
      <c r="O89" s="3"/>
      <c r="P89" s="3"/>
      <c r="Q89" s="3"/>
      <c r="R89" s="3"/>
      <c r="S89" s="3"/>
      <c r="T89" s="3"/>
      <c r="U89" s="4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4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4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>
        <v>4705</v>
      </c>
      <c r="BG89" s="3">
        <v>4705</v>
      </c>
      <c r="BH89" s="12"/>
      <c r="BI89" s="3">
        <v>4705</v>
      </c>
      <c r="BJ89" s="3">
        <v>4705</v>
      </c>
      <c r="BK89" s="3">
        <v>4705</v>
      </c>
      <c r="BL89" s="3">
        <v>4705</v>
      </c>
      <c r="BM89" s="3">
        <v>4705</v>
      </c>
      <c r="BN89" s="3">
        <v>4705</v>
      </c>
      <c r="BO89" s="3">
        <v>4705</v>
      </c>
      <c r="BP89" s="3">
        <v>4705</v>
      </c>
      <c r="BQ89" s="3">
        <v>4705</v>
      </c>
      <c r="BR89" s="3">
        <v>4705</v>
      </c>
      <c r="BS89" s="3">
        <v>4705</v>
      </c>
      <c r="BT89" s="3">
        <v>4705</v>
      </c>
      <c r="BU89" s="3"/>
      <c r="BV89" s="3">
        <v>4705</v>
      </c>
      <c r="BW89" s="3">
        <v>4705</v>
      </c>
      <c r="BX89" s="3">
        <v>4705</v>
      </c>
      <c r="BY89" s="3">
        <v>4705</v>
      </c>
      <c r="BZ89" s="3">
        <v>4705</v>
      </c>
      <c r="CA89" s="3">
        <v>4705</v>
      </c>
      <c r="CB89" s="3">
        <v>4705</v>
      </c>
      <c r="CC89" s="3">
        <v>4705</v>
      </c>
      <c r="CD89" s="3">
        <v>4705</v>
      </c>
      <c r="CE89" s="3">
        <v>5176</v>
      </c>
      <c r="CF89" s="3">
        <v>5176</v>
      </c>
      <c r="CG89" s="3">
        <v>5176</v>
      </c>
      <c r="CH89" s="3">
        <v>5176</v>
      </c>
      <c r="CI89" s="3">
        <v>5176</v>
      </c>
      <c r="CJ89" s="3">
        <v>5176</v>
      </c>
      <c r="CK89" s="3">
        <v>5176</v>
      </c>
      <c r="CL89" s="3">
        <v>5176</v>
      </c>
      <c r="CM89" s="3">
        <v>5176</v>
      </c>
      <c r="CN89" s="3">
        <v>5176</v>
      </c>
      <c r="CO89" s="3">
        <v>5176</v>
      </c>
      <c r="CP89" s="3">
        <v>5176</v>
      </c>
      <c r="CQ89" s="3">
        <v>5176</v>
      </c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</row>
    <row r="90" spans="1:181" ht="15" x14ac:dyDescent="0.25">
      <c r="A90" s="9" t="s">
        <v>173</v>
      </c>
      <c r="B90" s="9" t="s">
        <v>164</v>
      </c>
      <c r="C90" s="9" t="s">
        <v>53</v>
      </c>
      <c r="D90" s="9">
        <v>8</v>
      </c>
      <c r="E90" s="9" t="s">
        <v>24</v>
      </c>
      <c r="F90" s="9" t="s">
        <v>174</v>
      </c>
      <c r="G90" s="2">
        <v>5000</v>
      </c>
      <c r="H90" s="2">
        <v>2000</v>
      </c>
      <c r="I90" s="2">
        <v>0</v>
      </c>
      <c r="J90" s="3"/>
      <c r="K90" s="2">
        <f t="shared" si="144"/>
        <v>7000</v>
      </c>
      <c r="L90" s="3"/>
      <c r="M90" s="3"/>
      <c r="N90" s="3"/>
      <c r="O90" s="3"/>
      <c r="P90" s="3"/>
      <c r="Q90" s="3"/>
      <c r="R90" s="3"/>
      <c r="S90" s="3"/>
      <c r="T90" s="3"/>
      <c r="U90" s="4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4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4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12"/>
      <c r="BI90" s="3"/>
      <c r="BJ90" s="3"/>
      <c r="BK90" s="3"/>
      <c r="BL90" s="3">
        <v>2500</v>
      </c>
      <c r="BM90" s="3">
        <v>2500</v>
      </c>
      <c r="BN90" s="3">
        <v>2500</v>
      </c>
      <c r="BO90" s="3">
        <v>2500</v>
      </c>
      <c r="BP90" s="3">
        <v>2500</v>
      </c>
      <c r="BQ90" s="3">
        <v>2500</v>
      </c>
      <c r="BR90" s="3">
        <v>2500</v>
      </c>
      <c r="BS90" s="3">
        <v>2500</v>
      </c>
      <c r="BT90" s="3">
        <v>2500</v>
      </c>
      <c r="BU90" s="3"/>
      <c r="BV90" s="3">
        <v>2500</v>
      </c>
      <c r="BW90" s="3">
        <v>2500</v>
      </c>
      <c r="BX90" s="3">
        <v>2500</v>
      </c>
      <c r="BY90" s="3">
        <v>2500</v>
      </c>
      <c r="BZ90" s="3">
        <v>2500</v>
      </c>
      <c r="CA90" s="3">
        <v>2500</v>
      </c>
      <c r="CB90" s="3">
        <v>2500</v>
      </c>
      <c r="CC90" s="3">
        <v>2500</v>
      </c>
      <c r="CD90" s="3">
        <v>2500</v>
      </c>
      <c r="CE90" s="3">
        <v>2500</v>
      </c>
      <c r="CF90" s="3">
        <v>2500</v>
      </c>
      <c r="CG90" s="3">
        <v>2500</v>
      </c>
      <c r="CH90" s="3">
        <v>2500</v>
      </c>
      <c r="CI90" s="3">
        <v>2500</v>
      </c>
      <c r="CJ90" s="3">
        <v>2500</v>
      </c>
      <c r="CK90" s="3">
        <v>2500</v>
      </c>
      <c r="CL90" s="3">
        <v>2500</v>
      </c>
      <c r="CM90" s="3">
        <v>2500</v>
      </c>
      <c r="CN90" s="3">
        <v>2500</v>
      </c>
      <c r="CO90" s="3">
        <v>2500</v>
      </c>
      <c r="CP90" s="3">
        <v>2500</v>
      </c>
      <c r="CQ90" s="3">
        <v>2500</v>
      </c>
      <c r="CR90" s="3">
        <v>2500</v>
      </c>
      <c r="CS90" s="3">
        <v>2500</v>
      </c>
      <c r="CT90" s="3">
        <v>2500</v>
      </c>
      <c r="CU90" s="3">
        <v>2500</v>
      </c>
      <c r="CV90" s="3">
        <v>2875</v>
      </c>
      <c r="CW90" s="3">
        <v>2875</v>
      </c>
      <c r="CX90" s="3">
        <v>2875</v>
      </c>
      <c r="CY90" s="3">
        <v>2875</v>
      </c>
      <c r="CZ90" s="3">
        <v>2875</v>
      </c>
      <c r="DA90" s="3">
        <v>2875</v>
      </c>
      <c r="DB90" s="3">
        <v>2875</v>
      </c>
      <c r="DC90" s="3">
        <v>2875</v>
      </c>
      <c r="DD90" s="3">
        <v>2875</v>
      </c>
      <c r="DE90" s="3">
        <v>2875</v>
      </c>
      <c r="DF90" s="3">
        <v>2875</v>
      </c>
      <c r="DG90" s="3">
        <v>2875</v>
      </c>
      <c r="DH90" s="3">
        <v>2875</v>
      </c>
      <c r="DI90" s="3">
        <v>2875</v>
      </c>
      <c r="DJ90" s="3">
        <v>2875</v>
      </c>
      <c r="DK90" s="3">
        <v>2875</v>
      </c>
      <c r="DL90" s="3">
        <v>2875</v>
      </c>
      <c r="DM90" s="3">
        <v>2875</v>
      </c>
      <c r="DN90" s="3">
        <v>2875</v>
      </c>
      <c r="DO90" s="3">
        <v>2875</v>
      </c>
      <c r="DP90" s="3">
        <v>2875</v>
      </c>
      <c r="DQ90" s="3">
        <v>2875</v>
      </c>
      <c r="DR90" s="3">
        <v>2875</v>
      </c>
      <c r="DS90" s="3">
        <v>2875</v>
      </c>
      <c r="DT90" s="3">
        <v>2875</v>
      </c>
      <c r="DU90" s="3">
        <v>2875</v>
      </c>
      <c r="DV90" s="3">
        <v>2875</v>
      </c>
      <c r="DW90" s="3">
        <v>2875</v>
      </c>
      <c r="DX90" s="3">
        <v>2875</v>
      </c>
      <c r="DY90" s="3">
        <v>2875</v>
      </c>
      <c r="DZ90" s="3">
        <v>2875</v>
      </c>
      <c r="EA90" s="3">
        <v>2875</v>
      </c>
      <c r="EB90" s="3">
        <v>2875</v>
      </c>
      <c r="EC90" s="3">
        <v>2875</v>
      </c>
      <c r="ED90" s="3">
        <v>2875</v>
      </c>
      <c r="EE90" s="3">
        <v>2875</v>
      </c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</row>
    <row r="91" spans="1:181" ht="15" x14ac:dyDescent="0.25">
      <c r="A91" s="9" t="s">
        <v>175</v>
      </c>
      <c r="B91" s="9" t="s">
        <v>164</v>
      </c>
      <c r="C91" s="9" t="s">
        <v>53</v>
      </c>
      <c r="D91" s="9">
        <v>9</v>
      </c>
      <c r="E91" s="9" t="s">
        <v>24</v>
      </c>
      <c r="F91" s="9" t="s">
        <v>174</v>
      </c>
      <c r="G91" s="2">
        <v>5000</v>
      </c>
      <c r="H91" s="2">
        <v>2000</v>
      </c>
      <c r="I91" s="2">
        <v>0</v>
      </c>
      <c r="J91" s="3"/>
      <c r="K91" s="2">
        <f t="shared" si="144"/>
        <v>7000</v>
      </c>
      <c r="L91" s="3"/>
      <c r="M91" s="3"/>
      <c r="N91" s="3"/>
      <c r="O91" s="3"/>
      <c r="P91" s="3"/>
      <c r="Q91" s="3"/>
      <c r="R91" s="3"/>
      <c r="S91" s="3"/>
      <c r="T91" s="3"/>
      <c r="U91" s="4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4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4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12"/>
      <c r="BI91" s="3"/>
      <c r="BJ91" s="3"/>
      <c r="BK91" s="3"/>
      <c r="BL91" s="3">
        <v>2500</v>
      </c>
      <c r="BM91" s="3">
        <v>2500</v>
      </c>
      <c r="BN91" s="3">
        <v>2500</v>
      </c>
      <c r="BO91" s="3">
        <v>2500</v>
      </c>
      <c r="BP91" s="3">
        <v>2500</v>
      </c>
      <c r="BQ91" s="3">
        <v>2500</v>
      </c>
      <c r="BR91" s="3">
        <v>2500</v>
      </c>
      <c r="BS91" s="3">
        <v>2500</v>
      </c>
      <c r="BT91" s="3">
        <v>2500</v>
      </c>
      <c r="BU91" s="3"/>
      <c r="BV91" s="3">
        <v>2500</v>
      </c>
      <c r="BW91" s="3">
        <v>2500</v>
      </c>
      <c r="BX91" s="3">
        <v>2500</v>
      </c>
      <c r="BY91" s="3">
        <v>2500</v>
      </c>
      <c r="BZ91" s="3">
        <v>2500</v>
      </c>
      <c r="CA91" s="3">
        <v>2500</v>
      </c>
      <c r="CB91" s="3">
        <v>2500</v>
      </c>
      <c r="CC91" s="3">
        <v>2500</v>
      </c>
      <c r="CD91" s="3">
        <v>2500</v>
      </c>
      <c r="CE91" s="3">
        <v>2500</v>
      </c>
      <c r="CF91" s="3">
        <v>2500</v>
      </c>
      <c r="CG91" s="3">
        <v>2500</v>
      </c>
      <c r="CH91" s="3">
        <v>2500</v>
      </c>
      <c r="CI91" s="3">
        <v>2500</v>
      </c>
      <c r="CJ91" s="3">
        <v>2500</v>
      </c>
      <c r="CK91" s="3">
        <v>2500</v>
      </c>
      <c r="CL91" s="3">
        <v>2500</v>
      </c>
      <c r="CM91" s="3">
        <v>2500</v>
      </c>
      <c r="CN91" s="3">
        <v>2500</v>
      </c>
      <c r="CO91" s="3">
        <v>2500</v>
      </c>
      <c r="CP91" s="3">
        <v>2500</v>
      </c>
      <c r="CQ91" s="3">
        <v>2500</v>
      </c>
      <c r="CR91" s="3">
        <v>2500</v>
      </c>
      <c r="CS91" s="3">
        <v>2500</v>
      </c>
      <c r="CT91" s="3">
        <v>2500</v>
      </c>
      <c r="CU91" s="3">
        <v>2500</v>
      </c>
      <c r="CV91" s="3">
        <v>2875</v>
      </c>
      <c r="CW91" s="3">
        <v>2875</v>
      </c>
      <c r="CX91" s="3">
        <v>2875</v>
      </c>
      <c r="CY91" s="3">
        <v>2875</v>
      </c>
      <c r="CZ91" s="3">
        <v>2875</v>
      </c>
      <c r="DA91" s="3">
        <v>2875</v>
      </c>
      <c r="DB91" s="3">
        <v>2875</v>
      </c>
      <c r="DC91" s="3">
        <v>2875</v>
      </c>
      <c r="DD91" s="3">
        <v>2875</v>
      </c>
      <c r="DE91" s="3">
        <v>2875</v>
      </c>
      <c r="DF91" s="3">
        <v>2875</v>
      </c>
      <c r="DG91" s="3">
        <v>2875</v>
      </c>
      <c r="DH91" s="3">
        <v>2875</v>
      </c>
      <c r="DI91" s="3">
        <v>2875</v>
      </c>
      <c r="DJ91" s="3">
        <v>2875</v>
      </c>
      <c r="DK91" s="3">
        <v>2875</v>
      </c>
      <c r="DL91" s="3">
        <v>2875</v>
      </c>
      <c r="DM91" s="3">
        <v>2875</v>
      </c>
      <c r="DN91" s="3">
        <v>2875</v>
      </c>
      <c r="DO91" s="3">
        <v>2875</v>
      </c>
      <c r="DP91" s="3">
        <v>2875</v>
      </c>
      <c r="DQ91" s="3">
        <v>2875</v>
      </c>
      <c r="DR91" s="3">
        <v>2875</v>
      </c>
      <c r="DS91" s="3">
        <v>2875</v>
      </c>
      <c r="DT91" s="3">
        <v>2875</v>
      </c>
      <c r="DU91" s="3">
        <v>2875</v>
      </c>
      <c r="DV91" s="3">
        <v>2875</v>
      </c>
      <c r="DW91" s="3">
        <v>2875</v>
      </c>
      <c r="DX91" s="3">
        <v>2875</v>
      </c>
      <c r="DY91" s="3">
        <v>2875</v>
      </c>
      <c r="DZ91" s="3">
        <v>2875</v>
      </c>
      <c r="EA91" s="3">
        <v>2875</v>
      </c>
      <c r="EB91" s="3">
        <v>2875</v>
      </c>
      <c r="EC91" s="3">
        <v>2875</v>
      </c>
      <c r="ED91" s="3">
        <v>2875</v>
      </c>
      <c r="EE91" s="3">
        <v>2875</v>
      </c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</row>
    <row r="92" spans="1:181" ht="15" x14ac:dyDescent="0.25">
      <c r="A92" s="10" t="s">
        <v>176</v>
      </c>
      <c r="B92" s="9" t="s">
        <v>164</v>
      </c>
      <c r="C92" s="9" t="s">
        <v>50</v>
      </c>
      <c r="D92" s="9">
        <v>7</v>
      </c>
      <c r="E92" s="10"/>
      <c r="F92" s="9" t="s">
        <v>177</v>
      </c>
      <c r="G92" s="2">
        <v>16000</v>
      </c>
      <c r="H92" s="2">
        <v>2000</v>
      </c>
      <c r="I92" s="2">
        <v>0</v>
      </c>
      <c r="J92" s="2"/>
      <c r="K92" s="2">
        <f t="shared" si="144"/>
        <v>18000</v>
      </c>
      <c r="L92" s="10"/>
      <c r="M92" s="10"/>
      <c r="N92" s="10"/>
      <c r="O92" s="10"/>
      <c r="P92" s="10"/>
      <c r="Q92" s="10"/>
      <c r="R92" s="10"/>
      <c r="S92" s="10"/>
      <c r="T92" s="10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3">
        <v>8000</v>
      </c>
      <c r="BS92" s="3">
        <v>8000</v>
      </c>
      <c r="BT92" s="3">
        <v>8000</v>
      </c>
      <c r="BU92" s="3"/>
      <c r="BV92" s="3">
        <v>8000</v>
      </c>
      <c r="BW92" s="3">
        <v>8000</v>
      </c>
      <c r="BX92" s="3">
        <v>8000</v>
      </c>
      <c r="BY92" s="3">
        <v>8000</v>
      </c>
      <c r="BZ92" s="3">
        <v>8000</v>
      </c>
      <c r="CA92" s="3">
        <v>8000</v>
      </c>
      <c r="CB92" s="3">
        <v>8000</v>
      </c>
      <c r="CC92" s="3">
        <v>8000</v>
      </c>
      <c r="CD92" s="3">
        <v>8000</v>
      </c>
      <c r="CE92" s="3">
        <v>8000</v>
      </c>
      <c r="CF92" s="3">
        <v>8000</v>
      </c>
      <c r="CG92" s="3">
        <v>8000</v>
      </c>
      <c r="CH92" s="3">
        <v>8000</v>
      </c>
      <c r="CI92" s="3">
        <v>8000</v>
      </c>
      <c r="CJ92" s="3">
        <v>8000</v>
      </c>
      <c r="CK92" s="3">
        <v>8000</v>
      </c>
      <c r="CL92" s="3">
        <v>8000</v>
      </c>
      <c r="CM92" s="3">
        <v>8000</v>
      </c>
      <c r="CN92" s="3">
        <v>8800</v>
      </c>
      <c r="CO92" s="3">
        <v>8800</v>
      </c>
      <c r="CP92" s="3">
        <v>8800</v>
      </c>
      <c r="CQ92" s="3">
        <v>8800</v>
      </c>
      <c r="CR92" s="3">
        <v>8800</v>
      </c>
      <c r="CS92" s="3">
        <v>8800</v>
      </c>
      <c r="CT92" s="3">
        <v>8800</v>
      </c>
      <c r="CU92" s="3">
        <v>8800</v>
      </c>
      <c r="CV92" s="3">
        <v>8800</v>
      </c>
      <c r="CW92" s="3">
        <v>8800</v>
      </c>
      <c r="CX92" s="3">
        <v>8800</v>
      </c>
      <c r="CY92" s="3">
        <v>8800</v>
      </c>
      <c r="CZ92" s="3">
        <v>8800</v>
      </c>
      <c r="DA92" s="3">
        <v>8800</v>
      </c>
      <c r="DB92" s="3">
        <v>8800</v>
      </c>
      <c r="DC92" s="3">
        <v>8800</v>
      </c>
      <c r="DD92" s="3">
        <v>8800</v>
      </c>
      <c r="DE92" s="3">
        <v>8800</v>
      </c>
      <c r="DF92" s="3">
        <v>8800</v>
      </c>
      <c r="DG92" s="3">
        <v>8800</v>
      </c>
      <c r="DH92" s="3">
        <v>8800</v>
      </c>
      <c r="DI92" s="3">
        <v>8800</v>
      </c>
      <c r="DJ92" s="3">
        <v>8800</v>
      </c>
      <c r="DK92" s="3">
        <v>8800</v>
      </c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</row>
    <row r="93" spans="1:181" ht="15" x14ac:dyDescent="0.25">
      <c r="A93" s="10" t="s">
        <v>178</v>
      </c>
      <c r="B93" s="9" t="s">
        <v>164</v>
      </c>
      <c r="C93" s="9" t="s">
        <v>179</v>
      </c>
      <c r="D93" s="9">
        <v>7</v>
      </c>
      <c r="E93" s="10"/>
      <c r="F93" s="9" t="s">
        <v>177</v>
      </c>
      <c r="G93" s="2">
        <v>3000</v>
      </c>
      <c r="H93" s="2">
        <v>0</v>
      </c>
      <c r="I93" s="2">
        <v>0</v>
      </c>
      <c r="J93" s="2"/>
      <c r="K93" s="2">
        <f t="shared" si="144"/>
        <v>3000</v>
      </c>
      <c r="L93" s="10"/>
      <c r="M93" s="10"/>
      <c r="N93" s="10"/>
      <c r="O93" s="10"/>
      <c r="P93" s="10"/>
      <c r="Q93" s="10"/>
      <c r="R93" s="10"/>
      <c r="S93" s="10"/>
      <c r="T93" s="10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>
        <v>1500</v>
      </c>
      <c r="CC93" s="3">
        <v>1500</v>
      </c>
      <c r="CD93" s="3">
        <v>1500</v>
      </c>
      <c r="CE93" s="3">
        <v>1500</v>
      </c>
      <c r="CF93" s="3">
        <v>1500</v>
      </c>
      <c r="CG93" s="3">
        <v>1500</v>
      </c>
      <c r="CH93" s="3">
        <v>1500</v>
      </c>
      <c r="CI93" s="3">
        <v>1500</v>
      </c>
      <c r="CJ93" s="3">
        <v>1500</v>
      </c>
      <c r="CK93" s="3">
        <v>1500</v>
      </c>
      <c r="CL93" s="3">
        <v>1500</v>
      </c>
      <c r="CM93" s="3">
        <v>1500</v>
      </c>
      <c r="CN93" s="3">
        <v>1650</v>
      </c>
      <c r="CO93" s="3">
        <v>1650</v>
      </c>
      <c r="CP93" s="3">
        <v>1650</v>
      </c>
      <c r="CQ93" s="3">
        <v>1650</v>
      </c>
      <c r="CR93" s="3">
        <v>1650</v>
      </c>
      <c r="CS93" s="3">
        <v>1650</v>
      </c>
      <c r="CT93" s="3">
        <v>1650</v>
      </c>
      <c r="CU93" s="3">
        <v>1650</v>
      </c>
      <c r="CV93" s="3">
        <v>1650</v>
      </c>
      <c r="CW93" s="3">
        <v>1650</v>
      </c>
      <c r="CX93" s="3">
        <v>1650</v>
      </c>
      <c r="CY93" s="3">
        <v>1650</v>
      </c>
      <c r="CZ93" s="3">
        <v>1650</v>
      </c>
      <c r="DA93" s="3">
        <v>1650</v>
      </c>
      <c r="DB93" s="3">
        <v>1650</v>
      </c>
      <c r="DC93" s="3">
        <v>1650</v>
      </c>
      <c r="DD93" s="3">
        <v>1650</v>
      </c>
      <c r="DE93" s="3">
        <v>1650</v>
      </c>
      <c r="DF93" s="3">
        <v>1650</v>
      </c>
      <c r="DG93" s="3">
        <v>1650</v>
      </c>
      <c r="DH93" s="3">
        <v>1650</v>
      </c>
      <c r="DI93" s="3">
        <v>1650</v>
      </c>
      <c r="DJ93" s="3">
        <v>1650</v>
      </c>
      <c r="DK93" s="3">
        <v>1650</v>
      </c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</row>
    <row r="94" spans="1:181" ht="15" x14ac:dyDescent="0.25">
      <c r="A94" s="10" t="s">
        <v>180</v>
      </c>
      <c r="B94" s="9" t="s">
        <v>164</v>
      </c>
      <c r="C94" s="9" t="s">
        <v>50</v>
      </c>
      <c r="D94" s="9">
        <v>8</v>
      </c>
      <c r="E94" s="10"/>
      <c r="F94" s="9" t="s">
        <v>177</v>
      </c>
      <c r="G94" s="2">
        <v>16000</v>
      </c>
      <c r="H94" s="2">
        <v>2000</v>
      </c>
      <c r="I94" s="2">
        <v>0</v>
      </c>
      <c r="J94" s="2"/>
      <c r="K94" s="2">
        <f t="shared" si="144"/>
        <v>18000</v>
      </c>
      <c r="L94" s="10"/>
      <c r="M94" s="10"/>
      <c r="N94" s="10"/>
      <c r="O94" s="10"/>
      <c r="P94" s="10"/>
      <c r="Q94" s="10"/>
      <c r="R94" s="10"/>
      <c r="S94" s="10"/>
      <c r="T94" s="10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3">
        <v>8000</v>
      </c>
      <c r="BS94" s="3">
        <v>8000</v>
      </c>
      <c r="BT94" s="3">
        <v>8000</v>
      </c>
      <c r="BU94" s="3"/>
      <c r="BV94" s="3">
        <v>8000</v>
      </c>
      <c r="BW94" s="3">
        <v>8000</v>
      </c>
      <c r="BX94" s="3">
        <v>8000</v>
      </c>
      <c r="BY94" s="3">
        <v>8000</v>
      </c>
      <c r="BZ94" s="3">
        <v>8000</v>
      </c>
      <c r="CA94" s="3">
        <v>8000</v>
      </c>
      <c r="CB94" s="3">
        <v>8000</v>
      </c>
      <c r="CC94" s="3">
        <v>8000</v>
      </c>
      <c r="CD94" s="3">
        <v>8000</v>
      </c>
      <c r="CE94" s="3">
        <v>8000</v>
      </c>
      <c r="CF94" s="3">
        <v>8000</v>
      </c>
      <c r="CG94" s="3">
        <v>8000</v>
      </c>
      <c r="CH94" s="3">
        <v>8000</v>
      </c>
      <c r="CI94" s="3">
        <v>8000</v>
      </c>
      <c r="CJ94" s="3">
        <v>8000</v>
      </c>
      <c r="CK94" s="3">
        <v>8000</v>
      </c>
      <c r="CL94" s="3">
        <v>8000</v>
      </c>
      <c r="CM94" s="3">
        <v>8000</v>
      </c>
      <c r="CN94" s="3">
        <v>8800</v>
      </c>
      <c r="CO94" s="3">
        <v>8800</v>
      </c>
      <c r="CP94" s="3">
        <v>8800</v>
      </c>
      <c r="CQ94" s="3">
        <v>8800</v>
      </c>
      <c r="CR94" s="3">
        <v>8800</v>
      </c>
      <c r="CS94" s="3">
        <v>8800</v>
      </c>
      <c r="CT94" s="3">
        <v>8800</v>
      </c>
      <c r="CU94" s="3">
        <v>8800</v>
      </c>
      <c r="CV94" s="3">
        <v>8800</v>
      </c>
      <c r="CW94" s="3">
        <v>8800</v>
      </c>
      <c r="CX94" s="3">
        <v>8800</v>
      </c>
      <c r="CY94" s="3">
        <v>8800</v>
      </c>
      <c r="CZ94" s="3">
        <v>8800</v>
      </c>
      <c r="DA94" s="3">
        <v>8800</v>
      </c>
      <c r="DB94" s="3">
        <v>8800</v>
      </c>
      <c r="DC94" s="3">
        <v>8800</v>
      </c>
      <c r="DD94" s="3">
        <v>8800</v>
      </c>
      <c r="DE94" s="3">
        <v>8800</v>
      </c>
      <c r="DF94" s="3">
        <v>8800</v>
      </c>
      <c r="DG94" s="3">
        <v>8800</v>
      </c>
      <c r="DH94" s="3">
        <v>8800</v>
      </c>
      <c r="DI94" s="3">
        <v>8800</v>
      </c>
      <c r="DJ94" s="3">
        <v>8800</v>
      </c>
      <c r="DK94" s="3">
        <v>8800</v>
      </c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</row>
    <row r="95" spans="1:181" ht="15" x14ac:dyDescent="0.25">
      <c r="A95" s="16" t="s">
        <v>181</v>
      </c>
      <c r="B95" s="17" t="s">
        <v>164</v>
      </c>
      <c r="C95" s="17" t="s">
        <v>179</v>
      </c>
      <c r="D95" s="17">
        <v>8</v>
      </c>
      <c r="E95" s="16"/>
      <c r="F95" s="17" t="s">
        <v>177</v>
      </c>
      <c r="G95" s="18">
        <v>3000</v>
      </c>
      <c r="H95" s="18">
        <v>0</v>
      </c>
      <c r="I95" s="18">
        <v>0</v>
      </c>
      <c r="J95" s="18"/>
      <c r="K95" s="18">
        <f t="shared" si="144"/>
        <v>3000</v>
      </c>
      <c r="L95" s="16"/>
      <c r="M95" s="16"/>
      <c r="N95" s="16"/>
      <c r="O95" s="16"/>
      <c r="P95" s="16"/>
      <c r="Q95" s="16"/>
      <c r="R95" s="16"/>
      <c r="S95" s="16"/>
      <c r="T95" s="16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>
        <v>1500</v>
      </c>
      <c r="CC95" s="19">
        <v>1500</v>
      </c>
      <c r="CD95" s="19">
        <v>1500</v>
      </c>
      <c r="CE95" s="19">
        <v>1500</v>
      </c>
      <c r="CF95" s="19">
        <v>1500</v>
      </c>
      <c r="CG95" s="19">
        <v>1500</v>
      </c>
      <c r="CH95" s="19">
        <v>1500</v>
      </c>
      <c r="CI95" s="19">
        <v>1500</v>
      </c>
      <c r="CJ95" s="19">
        <v>1500</v>
      </c>
      <c r="CK95" s="19">
        <v>1500</v>
      </c>
      <c r="CL95" s="19">
        <v>1500</v>
      </c>
      <c r="CM95" s="19">
        <v>1500</v>
      </c>
      <c r="CN95" s="19">
        <v>1650</v>
      </c>
      <c r="CO95" s="19">
        <v>1650</v>
      </c>
      <c r="CP95" s="19">
        <v>1650</v>
      </c>
      <c r="CQ95" s="19">
        <v>1650</v>
      </c>
      <c r="CR95" s="19">
        <v>1650</v>
      </c>
      <c r="CS95" s="19">
        <v>1650</v>
      </c>
      <c r="CT95" s="19">
        <v>1650</v>
      </c>
      <c r="CU95" s="19">
        <v>1650</v>
      </c>
      <c r="CV95" s="19">
        <v>1650</v>
      </c>
      <c r="CW95" s="19">
        <v>1650</v>
      </c>
      <c r="CX95" s="19">
        <v>1650</v>
      </c>
      <c r="CY95" s="19">
        <v>1650</v>
      </c>
      <c r="CZ95" s="19">
        <v>1650</v>
      </c>
      <c r="DA95" s="19">
        <v>1650</v>
      </c>
      <c r="DB95" s="19">
        <v>1650</v>
      </c>
      <c r="DC95" s="19">
        <v>1650</v>
      </c>
      <c r="DD95" s="19">
        <v>1650</v>
      </c>
      <c r="DE95" s="19">
        <v>1650</v>
      </c>
      <c r="DF95" s="19">
        <v>1650</v>
      </c>
      <c r="DG95" s="19">
        <v>1650</v>
      </c>
      <c r="DH95" s="19">
        <v>1650</v>
      </c>
      <c r="DI95" s="19">
        <v>1650</v>
      </c>
      <c r="DJ95" s="19">
        <v>1650</v>
      </c>
      <c r="DK95" s="19">
        <v>1650</v>
      </c>
      <c r="DL95" s="17"/>
      <c r="DM95" s="17"/>
      <c r="DN95" s="17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</row>
    <row r="96" spans="1:181" ht="15" x14ac:dyDescent="0.25">
      <c r="A96" s="16" t="s">
        <v>182</v>
      </c>
      <c r="B96" s="17" t="s">
        <v>164</v>
      </c>
      <c r="C96" s="17" t="s">
        <v>50</v>
      </c>
      <c r="D96" s="17">
        <v>12</v>
      </c>
      <c r="E96" s="16"/>
      <c r="F96" s="16" t="s">
        <v>183</v>
      </c>
      <c r="G96" s="18">
        <v>5000</v>
      </c>
      <c r="H96" s="18">
        <v>2000</v>
      </c>
      <c r="I96" s="18">
        <v>0</v>
      </c>
      <c r="J96" s="19"/>
      <c r="K96" s="18">
        <f t="shared" si="144"/>
        <v>7000</v>
      </c>
      <c r="L96" s="16"/>
      <c r="M96" s="16"/>
      <c r="N96" s="16"/>
      <c r="O96" s="16"/>
      <c r="P96" s="16"/>
      <c r="Q96" s="16"/>
      <c r="R96" s="16"/>
      <c r="S96" s="16"/>
      <c r="T96" s="16"/>
      <c r="U96" s="20"/>
      <c r="V96" s="16"/>
      <c r="W96" s="16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20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20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21"/>
      <c r="BI96" s="19"/>
      <c r="BJ96" s="18"/>
      <c r="BK96" s="19"/>
      <c r="BL96" s="19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</row>
    <row r="97" spans="1:181" ht="15" x14ac:dyDescent="0.25">
      <c r="A97" s="16" t="s">
        <v>184</v>
      </c>
      <c r="B97" s="17" t="s">
        <v>164</v>
      </c>
      <c r="C97" s="17" t="s">
        <v>67</v>
      </c>
      <c r="D97" s="17">
        <v>1</v>
      </c>
      <c r="E97" s="16"/>
      <c r="F97" s="16" t="s">
        <v>183</v>
      </c>
      <c r="G97" s="18">
        <v>3500</v>
      </c>
      <c r="H97" s="18">
        <v>2000</v>
      </c>
      <c r="I97" s="18">
        <v>0</v>
      </c>
      <c r="J97" s="19"/>
      <c r="K97" s="18">
        <f t="shared" si="144"/>
        <v>5500</v>
      </c>
      <c r="L97" s="16"/>
      <c r="M97" s="16"/>
      <c r="N97" s="16"/>
      <c r="O97" s="16"/>
      <c r="P97" s="16"/>
      <c r="Q97" s="16"/>
      <c r="R97" s="16"/>
      <c r="S97" s="16"/>
      <c r="T97" s="16"/>
      <c r="U97" s="20"/>
      <c r="V97" s="16"/>
      <c r="W97" s="16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20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20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21"/>
      <c r="BI97" s="19"/>
      <c r="BJ97" s="18"/>
      <c r="BK97" s="19"/>
      <c r="BL97" s="19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</row>
    <row r="98" spans="1:181" ht="15" x14ac:dyDescent="0.25">
      <c r="A98" s="16" t="s">
        <v>185</v>
      </c>
      <c r="B98" s="17" t="s">
        <v>164</v>
      </c>
      <c r="C98" s="17" t="s">
        <v>67</v>
      </c>
      <c r="D98" s="17">
        <v>2</v>
      </c>
      <c r="E98" s="16"/>
      <c r="F98" s="16" t="s">
        <v>183</v>
      </c>
      <c r="G98" s="18">
        <v>1500</v>
      </c>
      <c r="H98" s="18">
        <v>2000</v>
      </c>
      <c r="I98" s="18">
        <v>0</v>
      </c>
      <c r="J98" s="19"/>
      <c r="K98" s="18">
        <f t="shared" si="144"/>
        <v>3500</v>
      </c>
      <c r="L98" s="16"/>
      <c r="M98" s="16"/>
      <c r="N98" s="16"/>
      <c r="O98" s="16"/>
      <c r="P98" s="16"/>
      <c r="Q98" s="16"/>
      <c r="R98" s="16"/>
      <c r="S98" s="16"/>
      <c r="T98" s="16"/>
      <c r="U98" s="20"/>
      <c r="V98" s="16"/>
      <c r="W98" s="16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20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20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21"/>
      <c r="BI98" s="19"/>
      <c r="BJ98" s="18"/>
      <c r="BK98" s="19"/>
      <c r="BL98" s="19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</row>
    <row r="99" spans="1:181" ht="15" x14ac:dyDescent="0.25">
      <c r="A99" s="9" t="s">
        <v>186</v>
      </c>
      <c r="B99" s="9" t="s">
        <v>164</v>
      </c>
      <c r="C99" s="9" t="s">
        <v>50</v>
      </c>
      <c r="D99" s="9">
        <v>18</v>
      </c>
      <c r="E99" s="9" t="s">
        <v>24</v>
      </c>
      <c r="F99" s="9" t="s">
        <v>187</v>
      </c>
      <c r="G99" s="2">
        <v>12000</v>
      </c>
      <c r="H99" s="2">
        <v>2000</v>
      </c>
      <c r="I99" s="2">
        <v>0</v>
      </c>
      <c r="J99" s="3"/>
      <c r="K99" s="2">
        <f t="shared" si="144"/>
        <v>14000</v>
      </c>
      <c r="L99" s="3"/>
      <c r="M99" s="3"/>
      <c r="N99" s="3"/>
      <c r="O99" s="3"/>
      <c r="P99" s="3"/>
      <c r="Q99" s="3"/>
      <c r="R99" s="3"/>
      <c r="S99" s="3"/>
      <c r="T99" s="3"/>
      <c r="U99" s="4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4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4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12"/>
      <c r="BI99" s="3"/>
      <c r="BJ99" s="3"/>
      <c r="BK99" s="3"/>
      <c r="BL99" s="3"/>
      <c r="BM99" s="3">
        <f>6000-2129.03</f>
        <v>3870.97</v>
      </c>
      <c r="BN99" s="3">
        <v>6000</v>
      </c>
      <c r="BO99" s="3">
        <v>6000</v>
      </c>
      <c r="BP99" s="3">
        <v>6000</v>
      </c>
      <c r="BQ99" s="3">
        <v>6000</v>
      </c>
      <c r="BR99" s="3">
        <v>6000</v>
      </c>
      <c r="BS99" s="3">
        <v>6000</v>
      </c>
      <c r="BT99" s="3">
        <v>6000</v>
      </c>
      <c r="BU99" s="3"/>
      <c r="BV99" s="3">
        <v>6000</v>
      </c>
      <c r="BW99" s="3">
        <v>6000</v>
      </c>
      <c r="BX99" s="3">
        <v>6000</v>
      </c>
      <c r="BY99" s="3">
        <v>6000</v>
      </c>
      <c r="BZ99" s="3">
        <v>6000</v>
      </c>
      <c r="CA99" s="3">
        <v>6000</v>
      </c>
      <c r="CB99" s="3">
        <v>6000</v>
      </c>
      <c r="CC99" s="3">
        <v>6000</v>
      </c>
      <c r="CD99" s="3">
        <v>6000</v>
      </c>
      <c r="CE99" s="3">
        <v>6000</v>
      </c>
      <c r="CF99" s="3">
        <v>6000</v>
      </c>
      <c r="CG99" s="3">
        <v>6000</v>
      </c>
      <c r="CH99" s="3">
        <v>6000</v>
      </c>
      <c r="CI99" s="3">
        <v>6000</v>
      </c>
      <c r="CJ99" s="3">
        <v>6000</v>
      </c>
      <c r="CK99" s="3">
        <v>6000</v>
      </c>
      <c r="CL99" s="3">
        <v>6000</v>
      </c>
      <c r="CM99" s="3">
        <v>6000</v>
      </c>
      <c r="CN99" s="3">
        <v>6000</v>
      </c>
      <c r="CO99" s="3">
        <v>6000</v>
      </c>
      <c r="CP99" s="3">
        <v>6000</v>
      </c>
      <c r="CQ99" s="3">
        <v>6000</v>
      </c>
      <c r="CR99" s="3">
        <v>6000</v>
      </c>
      <c r="CS99" s="3">
        <v>6000</v>
      </c>
      <c r="CT99" s="3">
        <v>6900</v>
      </c>
      <c r="CU99" s="3">
        <v>6900</v>
      </c>
      <c r="CV99" s="3">
        <v>6900</v>
      </c>
      <c r="CW99" s="3">
        <v>6900</v>
      </c>
      <c r="CX99" s="3">
        <v>6900</v>
      </c>
      <c r="CY99" s="3">
        <v>6900</v>
      </c>
      <c r="CZ99" s="3">
        <v>6900</v>
      </c>
      <c r="DA99" s="3">
        <v>6900</v>
      </c>
      <c r="DB99" s="3">
        <v>6900</v>
      </c>
      <c r="DC99" s="3">
        <v>6900</v>
      </c>
      <c r="DD99" s="3">
        <v>6900</v>
      </c>
      <c r="DE99" s="3">
        <v>6900</v>
      </c>
      <c r="DF99" s="3">
        <v>6900</v>
      </c>
      <c r="DG99" s="3">
        <v>6900</v>
      </c>
      <c r="DH99" s="3">
        <v>6900</v>
      </c>
      <c r="DI99" s="3">
        <v>6900</v>
      </c>
      <c r="DJ99" s="3">
        <v>6900</v>
      </c>
      <c r="DK99" s="3">
        <v>6900</v>
      </c>
      <c r="DL99" s="3">
        <v>6900</v>
      </c>
      <c r="DM99" s="3">
        <v>6900</v>
      </c>
      <c r="DN99" s="3">
        <v>6900</v>
      </c>
      <c r="DO99" s="3">
        <v>6900</v>
      </c>
      <c r="DP99" s="3">
        <v>6900</v>
      </c>
      <c r="DQ99" s="3">
        <v>6900</v>
      </c>
      <c r="DR99" s="3">
        <v>6900</v>
      </c>
      <c r="DS99" s="3">
        <v>6900</v>
      </c>
      <c r="DT99" s="3">
        <v>6900</v>
      </c>
      <c r="DU99" s="3">
        <v>6900</v>
      </c>
      <c r="DV99" s="3">
        <v>6900</v>
      </c>
      <c r="DW99" s="3">
        <v>6900</v>
      </c>
      <c r="DX99" s="3">
        <v>6900</v>
      </c>
      <c r="DY99" s="3">
        <v>6900</v>
      </c>
      <c r="DZ99" s="3">
        <v>6900</v>
      </c>
      <c r="EA99" s="3">
        <v>6900</v>
      </c>
      <c r="EB99" s="3">
        <v>6900</v>
      </c>
      <c r="EC99" s="3">
        <v>6900</v>
      </c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</row>
    <row r="100" spans="1:181" ht="15" x14ac:dyDescent="0.25">
      <c r="A100" s="9" t="s">
        <v>188</v>
      </c>
      <c r="B100" s="9" t="s">
        <v>164</v>
      </c>
      <c r="C100" s="9" t="s">
        <v>50</v>
      </c>
      <c r="D100" s="9">
        <v>19</v>
      </c>
      <c r="E100" s="9" t="s">
        <v>24</v>
      </c>
      <c r="F100" s="9" t="s">
        <v>187</v>
      </c>
      <c r="G100" s="2">
        <v>4400</v>
      </c>
      <c r="H100" s="2">
        <v>2000</v>
      </c>
      <c r="I100" s="2">
        <v>0</v>
      </c>
      <c r="J100" s="3"/>
      <c r="K100" s="2">
        <f t="shared" si="144"/>
        <v>6400</v>
      </c>
      <c r="L100" s="3"/>
      <c r="M100" s="3"/>
      <c r="N100" s="3"/>
      <c r="O100" s="3"/>
      <c r="P100" s="3"/>
      <c r="Q100" s="3"/>
      <c r="R100" s="3"/>
      <c r="S100" s="3"/>
      <c r="T100" s="3"/>
      <c r="U100" s="4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4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4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12"/>
      <c r="BI100" s="3"/>
      <c r="BJ100" s="3"/>
      <c r="BK100" s="3"/>
      <c r="BL100" s="3"/>
      <c r="BM100" s="3">
        <f>2200-780.65</f>
        <v>1419.35</v>
      </c>
      <c r="BN100" s="3">
        <v>2200</v>
      </c>
      <c r="BO100" s="3">
        <v>2200</v>
      </c>
      <c r="BP100" s="3">
        <v>2200</v>
      </c>
      <c r="BQ100" s="3">
        <v>2200</v>
      </c>
      <c r="BR100" s="3">
        <v>2200</v>
      </c>
      <c r="BS100" s="3">
        <v>2200</v>
      </c>
      <c r="BT100" s="3">
        <v>2200</v>
      </c>
      <c r="BU100" s="3"/>
      <c r="BV100" s="3">
        <v>2200</v>
      </c>
      <c r="BW100" s="3">
        <v>2200</v>
      </c>
      <c r="BX100" s="3">
        <v>2200</v>
      </c>
      <c r="BY100" s="3">
        <v>2200</v>
      </c>
      <c r="BZ100" s="3">
        <v>2200</v>
      </c>
      <c r="CA100" s="3">
        <v>2200</v>
      </c>
      <c r="CB100" s="3">
        <v>2200</v>
      </c>
      <c r="CC100" s="3">
        <v>2200</v>
      </c>
      <c r="CD100" s="3">
        <v>2200</v>
      </c>
      <c r="CE100" s="3">
        <v>2200</v>
      </c>
      <c r="CF100" s="3">
        <v>2200</v>
      </c>
      <c r="CG100" s="3">
        <v>2200</v>
      </c>
      <c r="CH100" s="3">
        <v>2200</v>
      </c>
      <c r="CI100" s="3">
        <v>2200</v>
      </c>
      <c r="CJ100" s="3">
        <v>2200</v>
      </c>
      <c r="CK100" s="3">
        <v>2200</v>
      </c>
      <c r="CL100" s="3">
        <v>2200</v>
      </c>
      <c r="CM100" s="3">
        <v>2200</v>
      </c>
      <c r="CN100" s="3">
        <v>2200</v>
      </c>
      <c r="CO100" s="3">
        <v>2200</v>
      </c>
      <c r="CP100" s="3">
        <v>2200</v>
      </c>
      <c r="CQ100" s="3">
        <v>2200</v>
      </c>
      <c r="CR100" s="3">
        <v>2200</v>
      </c>
      <c r="CS100" s="3">
        <v>2200</v>
      </c>
      <c r="CT100" s="3">
        <v>2530</v>
      </c>
      <c r="CU100" s="3">
        <v>2530</v>
      </c>
      <c r="CV100" s="3">
        <v>2530</v>
      </c>
      <c r="CW100" s="3">
        <v>2530</v>
      </c>
      <c r="CX100" s="3">
        <v>2530</v>
      </c>
      <c r="CY100" s="3">
        <v>2530</v>
      </c>
      <c r="CZ100" s="3">
        <v>2530</v>
      </c>
      <c r="DA100" s="3">
        <v>2530</v>
      </c>
      <c r="DB100" s="3">
        <v>2530</v>
      </c>
      <c r="DC100" s="3">
        <v>2530</v>
      </c>
      <c r="DD100" s="3">
        <v>2530</v>
      </c>
      <c r="DE100" s="3">
        <v>2530</v>
      </c>
      <c r="DF100" s="3">
        <v>2530</v>
      </c>
      <c r="DG100" s="3">
        <v>2530</v>
      </c>
      <c r="DH100" s="3">
        <v>2530</v>
      </c>
      <c r="DI100" s="3">
        <v>2530</v>
      </c>
      <c r="DJ100" s="3">
        <v>2530</v>
      </c>
      <c r="DK100" s="3">
        <v>2530</v>
      </c>
      <c r="DL100" s="3">
        <v>2530</v>
      </c>
      <c r="DM100" s="3">
        <v>2530</v>
      </c>
      <c r="DN100" s="3">
        <v>2530</v>
      </c>
      <c r="DO100" s="3">
        <v>2530</v>
      </c>
      <c r="DP100" s="3">
        <v>2530</v>
      </c>
      <c r="DQ100" s="3">
        <v>2530</v>
      </c>
      <c r="DR100" s="3">
        <v>2530</v>
      </c>
      <c r="DS100" s="3">
        <v>2530</v>
      </c>
      <c r="DT100" s="3">
        <v>2530</v>
      </c>
      <c r="DU100" s="3">
        <v>2530</v>
      </c>
      <c r="DV100" s="3">
        <v>2530</v>
      </c>
      <c r="DW100" s="3">
        <v>2530</v>
      </c>
      <c r="DX100" s="3">
        <v>2530</v>
      </c>
      <c r="DY100" s="3">
        <v>2530</v>
      </c>
      <c r="DZ100" s="3">
        <v>2530</v>
      </c>
      <c r="EA100" s="3">
        <v>2530</v>
      </c>
      <c r="EB100" s="3">
        <v>2530</v>
      </c>
      <c r="EC100" s="3">
        <v>2530</v>
      </c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</row>
    <row r="101" spans="1:181" ht="15" x14ac:dyDescent="0.25">
      <c r="A101" s="9" t="s">
        <v>189</v>
      </c>
      <c r="B101" s="9" t="s">
        <v>164</v>
      </c>
      <c r="C101" s="9" t="s">
        <v>50</v>
      </c>
      <c r="D101" s="9">
        <v>20</v>
      </c>
      <c r="E101" s="9" t="s">
        <v>24</v>
      </c>
      <c r="F101" s="9" t="s">
        <v>187</v>
      </c>
      <c r="G101" s="2">
        <v>3840</v>
      </c>
      <c r="H101" s="2">
        <v>2000</v>
      </c>
      <c r="I101" s="2">
        <v>0</v>
      </c>
      <c r="J101" s="3"/>
      <c r="K101" s="2">
        <f t="shared" si="144"/>
        <v>5840</v>
      </c>
      <c r="L101" s="3"/>
      <c r="M101" s="3"/>
      <c r="N101" s="3"/>
      <c r="O101" s="3"/>
      <c r="P101" s="3"/>
      <c r="Q101" s="3"/>
      <c r="R101" s="3"/>
      <c r="S101" s="3"/>
      <c r="T101" s="3"/>
      <c r="U101" s="4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4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4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12"/>
      <c r="BI101" s="3"/>
      <c r="BJ101" s="3"/>
      <c r="BK101" s="3"/>
      <c r="BL101" s="3"/>
      <c r="BM101" s="3">
        <f>1920-681.29</f>
        <v>1238.71</v>
      </c>
      <c r="BN101" s="3">
        <v>1920</v>
      </c>
      <c r="BO101" s="3">
        <v>1920</v>
      </c>
      <c r="BP101" s="3">
        <v>1920</v>
      </c>
      <c r="BQ101" s="3">
        <v>1920</v>
      </c>
      <c r="BR101" s="3">
        <v>1920</v>
      </c>
      <c r="BS101" s="3">
        <v>1920</v>
      </c>
      <c r="BT101" s="3">
        <v>1920</v>
      </c>
      <c r="BU101" s="3"/>
      <c r="BV101" s="3">
        <v>1920</v>
      </c>
      <c r="BW101" s="3">
        <v>1920</v>
      </c>
      <c r="BX101" s="3">
        <v>1920</v>
      </c>
      <c r="BY101" s="3">
        <v>1920</v>
      </c>
      <c r="BZ101" s="3">
        <v>1920</v>
      </c>
      <c r="CA101" s="3">
        <v>1920</v>
      </c>
      <c r="CB101" s="3">
        <v>1920</v>
      </c>
      <c r="CC101" s="3">
        <v>1920</v>
      </c>
      <c r="CD101" s="3">
        <v>1920</v>
      </c>
      <c r="CE101" s="3">
        <v>1920</v>
      </c>
      <c r="CF101" s="3">
        <v>1920</v>
      </c>
      <c r="CG101" s="3">
        <v>1920</v>
      </c>
      <c r="CH101" s="3">
        <v>1920</v>
      </c>
      <c r="CI101" s="3">
        <v>1920</v>
      </c>
      <c r="CJ101" s="3">
        <v>1920</v>
      </c>
      <c r="CK101" s="3">
        <v>1920</v>
      </c>
      <c r="CL101" s="3">
        <v>1920</v>
      </c>
      <c r="CM101" s="3">
        <v>1920</v>
      </c>
      <c r="CN101" s="3">
        <v>1920</v>
      </c>
      <c r="CO101" s="3">
        <v>1920</v>
      </c>
      <c r="CP101" s="3">
        <v>1920</v>
      </c>
      <c r="CQ101" s="3">
        <v>1920</v>
      </c>
      <c r="CR101" s="3">
        <v>1920</v>
      </c>
      <c r="CS101" s="3">
        <v>1920</v>
      </c>
      <c r="CT101" s="3">
        <v>2208</v>
      </c>
      <c r="CU101" s="3">
        <v>2208</v>
      </c>
      <c r="CV101" s="3">
        <v>2208</v>
      </c>
      <c r="CW101" s="3">
        <v>2208</v>
      </c>
      <c r="CX101" s="3">
        <v>2208</v>
      </c>
      <c r="CY101" s="3">
        <v>2208</v>
      </c>
      <c r="CZ101" s="3">
        <v>2208</v>
      </c>
      <c r="DA101" s="3">
        <v>2208</v>
      </c>
      <c r="DB101" s="3">
        <v>2208</v>
      </c>
      <c r="DC101" s="3">
        <v>2208</v>
      </c>
      <c r="DD101" s="3">
        <v>2208</v>
      </c>
      <c r="DE101" s="3">
        <v>2208</v>
      </c>
      <c r="DF101" s="3">
        <v>2208</v>
      </c>
      <c r="DG101" s="3">
        <v>2208</v>
      </c>
      <c r="DH101" s="3">
        <v>2208</v>
      </c>
      <c r="DI101" s="3">
        <v>2208</v>
      </c>
      <c r="DJ101" s="3">
        <v>2208</v>
      </c>
      <c r="DK101" s="3">
        <v>2208</v>
      </c>
      <c r="DL101" s="3">
        <v>2208</v>
      </c>
      <c r="DM101" s="3">
        <v>2208</v>
      </c>
      <c r="DN101" s="3">
        <v>2208</v>
      </c>
      <c r="DO101" s="3">
        <v>2208</v>
      </c>
      <c r="DP101" s="3">
        <v>2208</v>
      </c>
      <c r="DQ101" s="3">
        <v>2208</v>
      </c>
      <c r="DR101" s="3">
        <v>2208</v>
      </c>
      <c r="DS101" s="3">
        <v>2208</v>
      </c>
      <c r="DT101" s="3">
        <v>2208</v>
      </c>
      <c r="DU101" s="3">
        <v>2208</v>
      </c>
      <c r="DV101" s="3">
        <v>2208</v>
      </c>
      <c r="DW101" s="3">
        <v>2208</v>
      </c>
      <c r="DX101" s="3">
        <v>2208</v>
      </c>
      <c r="DY101" s="3">
        <v>2208</v>
      </c>
      <c r="DZ101" s="3">
        <v>2208</v>
      </c>
      <c r="EA101" s="3">
        <v>2208</v>
      </c>
      <c r="EB101" s="3">
        <v>2208</v>
      </c>
      <c r="EC101" s="3">
        <v>2208</v>
      </c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</row>
    <row r="102" spans="1:181" ht="15" x14ac:dyDescent="0.25">
      <c r="A102" s="9" t="s">
        <v>190</v>
      </c>
      <c r="B102" s="9" t="s">
        <v>164</v>
      </c>
      <c r="C102" s="9" t="s">
        <v>53</v>
      </c>
      <c r="D102" s="9">
        <v>13</v>
      </c>
      <c r="E102" s="9" t="s">
        <v>24</v>
      </c>
      <c r="F102" s="9" t="s">
        <v>191</v>
      </c>
      <c r="G102" s="2">
        <v>5000</v>
      </c>
      <c r="H102" s="2">
        <v>2000</v>
      </c>
      <c r="I102" s="2">
        <v>0</v>
      </c>
      <c r="J102" s="3"/>
      <c r="K102" s="2">
        <f t="shared" si="144"/>
        <v>7000</v>
      </c>
      <c r="L102" s="3"/>
      <c r="M102" s="3"/>
      <c r="N102" s="3"/>
      <c r="O102" s="3"/>
      <c r="P102" s="3"/>
      <c r="Q102" s="3"/>
      <c r="R102" s="3"/>
      <c r="S102" s="3"/>
      <c r="T102" s="3"/>
      <c r="U102" s="4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4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4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12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>
        <v>2500</v>
      </c>
      <c r="BT102" s="3">
        <v>2500</v>
      </c>
      <c r="BU102" s="3"/>
      <c r="BV102" s="3">
        <v>2500</v>
      </c>
      <c r="BW102" s="3">
        <v>2500</v>
      </c>
      <c r="BX102" s="3">
        <v>2500</v>
      </c>
      <c r="BY102" s="3">
        <v>2500</v>
      </c>
      <c r="BZ102" s="3">
        <v>2500</v>
      </c>
      <c r="CA102" s="3">
        <v>2500</v>
      </c>
      <c r="CB102" s="3">
        <v>2500</v>
      </c>
      <c r="CC102" s="3">
        <v>2500</v>
      </c>
      <c r="CD102" s="3">
        <v>2500</v>
      </c>
      <c r="CE102" s="3">
        <v>2500</v>
      </c>
      <c r="CF102" s="3">
        <v>2500</v>
      </c>
      <c r="CG102" s="3">
        <v>2500</v>
      </c>
      <c r="CH102" s="3">
        <v>2500</v>
      </c>
      <c r="CI102" s="3">
        <v>2500</v>
      </c>
      <c r="CJ102" s="3">
        <v>2500</v>
      </c>
      <c r="CK102" s="3">
        <v>2500</v>
      </c>
      <c r="CL102" s="3">
        <v>2500</v>
      </c>
      <c r="CM102" s="3">
        <v>2500</v>
      </c>
      <c r="CN102" s="3">
        <v>2500</v>
      </c>
      <c r="CO102" s="3">
        <v>2750</v>
      </c>
      <c r="CP102" s="3">
        <v>2750</v>
      </c>
      <c r="CQ102" s="3">
        <v>2750</v>
      </c>
      <c r="CR102" s="3">
        <v>2750</v>
      </c>
      <c r="CS102" s="3">
        <v>2750</v>
      </c>
      <c r="CT102" s="3">
        <v>2750</v>
      </c>
      <c r="CU102" s="3">
        <v>2750</v>
      </c>
      <c r="CV102" s="3">
        <v>2750</v>
      </c>
      <c r="CW102" s="3">
        <v>2750</v>
      </c>
      <c r="CX102" s="3">
        <v>2750</v>
      </c>
      <c r="CY102" s="3">
        <v>2750</v>
      </c>
      <c r="CZ102" s="3">
        <v>2750</v>
      </c>
      <c r="DA102" s="3">
        <v>2750</v>
      </c>
      <c r="DB102" s="3">
        <v>2750</v>
      </c>
      <c r="DC102" s="3">
        <v>2750</v>
      </c>
      <c r="DD102" s="3">
        <v>2750</v>
      </c>
      <c r="DE102" s="3">
        <v>2750</v>
      </c>
      <c r="DF102" s="3">
        <v>2750</v>
      </c>
      <c r="DG102" s="3">
        <v>2750</v>
      </c>
      <c r="DH102" s="3">
        <v>2750</v>
      </c>
      <c r="DI102" s="3">
        <v>2750</v>
      </c>
      <c r="DJ102" s="3">
        <v>2750</v>
      </c>
      <c r="DK102" s="3">
        <v>2750</v>
      </c>
      <c r="DL102" s="3">
        <v>2750</v>
      </c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</row>
    <row r="103" spans="1:181" ht="15" x14ac:dyDescent="0.25">
      <c r="A103" s="9" t="s">
        <v>192</v>
      </c>
      <c r="B103" s="9" t="s">
        <v>164</v>
      </c>
      <c r="C103" s="9" t="s">
        <v>53</v>
      </c>
      <c r="D103" s="9" t="s">
        <v>193</v>
      </c>
      <c r="E103" s="9" t="s">
        <v>24</v>
      </c>
      <c r="F103" s="9" t="s">
        <v>194</v>
      </c>
      <c r="G103" s="2">
        <v>4200</v>
      </c>
      <c r="H103" s="2">
        <v>2000</v>
      </c>
      <c r="I103" s="2">
        <v>0</v>
      </c>
      <c r="J103" s="3"/>
      <c r="K103" s="2">
        <f t="shared" si="144"/>
        <v>6200</v>
      </c>
      <c r="L103" s="3"/>
      <c r="M103" s="3"/>
      <c r="N103" s="3"/>
      <c r="O103" s="3"/>
      <c r="P103" s="3"/>
      <c r="Q103" s="3"/>
      <c r="R103" s="3"/>
      <c r="S103" s="3"/>
      <c r="T103" s="3"/>
      <c r="U103" s="4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4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4"/>
      <c r="AV103" s="3"/>
      <c r="AW103" s="3"/>
      <c r="AX103" s="3"/>
      <c r="AY103" s="3"/>
      <c r="AZ103" s="11"/>
      <c r="BA103" s="11"/>
      <c r="BB103" s="11"/>
      <c r="BC103" s="11"/>
      <c r="BD103" s="11"/>
      <c r="BE103" s="11"/>
      <c r="BF103" s="11"/>
      <c r="BG103" s="3"/>
      <c r="BH103" s="12"/>
      <c r="BI103" s="3"/>
      <c r="BJ103" s="3"/>
      <c r="BK103" s="3"/>
      <c r="BL103" s="3"/>
      <c r="BM103" s="3"/>
      <c r="BN103" s="3">
        <v>2100</v>
      </c>
      <c r="BO103" s="3">
        <v>2100</v>
      </c>
      <c r="BP103" s="3">
        <v>2100</v>
      </c>
      <c r="BQ103" s="3">
        <v>2100</v>
      </c>
      <c r="BR103" s="3">
        <v>2100</v>
      </c>
      <c r="BS103" s="3">
        <v>2100</v>
      </c>
      <c r="BT103" s="3">
        <v>2100</v>
      </c>
      <c r="BU103" s="3"/>
      <c r="BV103" s="3">
        <v>2100</v>
      </c>
      <c r="BW103" s="3">
        <v>2100</v>
      </c>
      <c r="BX103" s="3">
        <v>2100</v>
      </c>
      <c r="BY103" s="3">
        <v>2100</v>
      </c>
      <c r="BZ103" s="3">
        <v>2205</v>
      </c>
      <c r="CA103" s="3">
        <v>2205</v>
      </c>
      <c r="CB103" s="3">
        <v>2205</v>
      </c>
      <c r="CC103" s="3">
        <v>2205</v>
      </c>
      <c r="CD103" s="3">
        <v>2205</v>
      </c>
      <c r="CE103" s="3">
        <v>2205</v>
      </c>
      <c r="CF103" s="3">
        <v>2205</v>
      </c>
      <c r="CG103" s="3">
        <v>2205</v>
      </c>
      <c r="CH103" s="3">
        <v>2205</v>
      </c>
      <c r="CI103" s="3">
        <v>2205</v>
      </c>
      <c r="CJ103" s="3">
        <v>2205</v>
      </c>
      <c r="CK103" s="3">
        <v>2205</v>
      </c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</row>
    <row r="104" spans="1:181" ht="15" x14ac:dyDescent="0.25">
      <c r="A104" s="9" t="s">
        <v>195</v>
      </c>
      <c r="B104" s="9" t="s">
        <v>164</v>
      </c>
      <c r="C104" s="9" t="s">
        <v>53</v>
      </c>
      <c r="D104" s="9">
        <v>10</v>
      </c>
      <c r="E104" s="9" t="s">
        <v>24</v>
      </c>
      <c r="F104" s="9" t="s">
        <v>196</v>
      </c>
      <c r="G104" s="2">
        <v>5000</v>
      </c>
      <c r="H104" s="2">
        <v>2000</v>
      </c>
      <c r="I104" s="2">
        <v>0</v>
      </c>
      <c r="J104" s="3">
        <v>2500</v>
      </c>
      <c r="K104" s="2">
        <f t="shared" si="144"/>
        <v>7000</v>
      </c>
      <c r="L104" s="3"/>
      <c r="M104" s="3"/>
      <c r="N104" s="3"/>
      <c r="O104" s="3"/>
      <c r="P104" s="3"/>
      <c r="Q104" s="3"/>
      <c r="R104" s="3"/>
      <c r="S104" s="3"/>
      <c r="T104" s="3"/>
      <c r="U104" s="4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4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4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>
        <v>2500</v>
      </c>
      <c r="BH104" s="12"/>
      <c r="BI104" s="3">
        <v>2500</v>
      </c>
      <c r="BJ104" s="3">
        <v>2500</v>
      </c>
      <c r="BK104" s="3">
        <v>2500</v>
      </c>
      <c r="BL104" s="3">
        <v>2500</v>
      </c>
      <c r="BM104" s="3">
        <v>2500</v>
      </c>
      <c r="BN104" s="3">
        <v>2500</v>
      </c>
      <c r="BO104" s="3">
        <v>2500</v>
      </c>
      <c r="BP104" s="3">
        <v>2500</v>
      </c>
      <c r="BQ104" s="3">
        <v>2500</v>
      </c>
      <c r="BR104" s="3">
        <v>2500</v>
      </c>
      <c r="BS104" s="3">
        <v>2500</v>
      </c>
      <c r="BT104" s="3">
        <v>2500</v>
      </c>
      <c r="BU104" s="3"/>
      <c r="BV104" s="3">
        <v>2500</v>
      </c>
      <c r="BW104" s="3">
        <v>2500</v>
      </c>
      <c r="BX104" s="3">
        <v>2500</v>
      </c>
      <c r="BY104" s="3">
        <v>2500</v>
      </c>
      <c r="BZ104" s="3">
        <v>2500</v>
      </c>
      <c r="CA104" s="3">
        <v>2500</v>
      </c>
      <c r="CB104" s="3">
        <v>2500</v>
      </c>
      <c r="CC104" s="3">
        <v>2500</v>
      </c>
      <c r="CD104" s="3">
        <v>2750</v>
      </c>
      <c r="CE104" s="3">
        <v>2750</v>
      </c>
      <c r="CF104" s="3">
        <v>2750</v>
      </c>
      <c r="CG104" s="3">
        <v>2750</v>
      </c>
      <c r="CH104" s="3">
        <v>2750</v>
      </c>
      <c r="CI104" s="3">
        <v>2750</v>
      </c>
      <c r="CJ104" s="3">
        <v>2750</v>
      </c>
      <c r="CK104" s="3">
        <v>2750</v>
      </c>
      <c r="CL104" s="3">
        <v>2750</v>
      </c>
      <c r="CM104" s="3">
        <v>2750</v>
      </c>
      <c r="CN104" s="3">
        <v>2750</v>
      </c>
      <c r="CO104" s="3">
        <v>2750</v>
      </c>
      <c r="CP104" s="3">
        <v>2750</v>
      </c>
      <c r="CQ104" s="3">
        <v>2750</v>
      </c>
      <c r="CR104" s="3">
        <v>2750</v>
      </c>
      <c r="CS104" s="3">
        <v>2750</v>
      </c>
      <c r="CT104" s="3">
        <v>2750</v>
      </c>
      <c r="CU104" s="3">
        <v>2750</v>
      </c>
      <c r="CV104" s="3">
        <v>2750</v>
      </c>
      <c r="CW104" s="3">
        <v>2750</v>
      </c>
      <c r="CX104" s="3">
        <v>2750</v>
      </c>
      <c r="CY104" s="3">
        <v>2750</v>
      </c>
      <c r="CZ104" s="3">
        <v>2750</v>
      </c>
      <c r="DA104" s="3">
        <v>2750</v>
      </c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</row>
    <row r="105" spans="1:181" ht="15" x14ac:dyDescent="0.25">
      <c r="A105" s="9" t="s">
        <v>197</v>
      </c>
      <c r="B105" s="9" t="s">
        <v>164</v>
      </c>
      <c r="C105" s="9" t="s">
        <v>53</v>
      </c>
      <c r="D105" s="9">
        <v>11</v>
      </c>
      <c r="E105" s="9" t="s">
        <v>24</v>
      </c>
      <c r="F105" s="9" t="s">
        <v>196</v>
      </c>
      <c r="G105" s="2">
        <v>5000</v>
      </c>
      <c r="H105" s="2">
        <v>2000</v>
      </c>
      <c r="I105" s="2">
        <v>0</v>
      </c>
      <c r="J105" s="3">
        <v>2500</v>
      </c>
      <c r="K105" s="2">
        <f t="shared" si="144"/>
        <v>7000</v>
      </c>
      <c r="L105" s="3"/>
      <c r="M105" s="3"/>
      <c r="N105" s="3"/>
      <c r="O105" s="3"/>
      <c r="P105" s="3"/>
      <c r="Q105" s="3"/>
      <c r="R105" s="3"/>
      <c r="S105" s="3"/>
      <c r="T105" s="3"/>
      <c r="U105" s="4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4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4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>
        <v>2500</v>
      </c>
      <c r="BH105" s="12"/>
      <c r="BI105" s="3">
        <v>2500</v>
      </c>
      <c r="BJ105" s="3">
        <v>2500</v>
      </c>
      <c r="BK105" s="3">
        <v>2500</v>
      </c>
      <c r="BL105" s="3">
        <v>2500</v>
      </c>
      <c r="BM105" s="3">
        <v>2500</v>
      </c>
      <c r="BN105" s="3">
        <v>2500</v>
      </c>
      <c r="BO105" s="3">
        <v>2500</v>
      </c>
      <c r="BP105" s="3">
        <v>2500</v>
      </c>
      <c r="BQ105" s="3">
        <v>2500</v>
      </c>
      <c r="BR105" s="3">
        <v>2500</v>
      </c>
      <c r="BS105" s="3">
        <v>2500</v>
      </c>
      <c r="BT105" s="3">
        <v>2500</v>
      </c>
      <c r="BU105" s="3"/>
      <c r="BV105" s="3">
        <v>2500</v>
      </c>
      <c r="BW105" s="3">
        <v>2500</v>
      </c>
      <c r="BX105" s="3">
        <v>2500</v>
      </c>
      <c r="BY105" s="3">
        <v>2500</v>
      </c>
      <c r="BZ105" s="3">
        <v>2500</v>
      </c>
      <c r="CA105" s="3">
        <v>2500</v>
      </c>
      <c r="CB105" s="3">
        <v>2500</v>
      </c>
      <c r="CC105" s="3">
        <v>2500</v>
      </c>
      <c r="CD105" s="3">
        <v>2750</v>
      </c>
      <c r="CE105" s="3">
        <v>2750</v>
      </c>
      <c r="CF105" s="3">
        <v>2750</v>
      </c>
      <c r="CG105" s="3">
        <v>2750</v>
      </c>
      <c r="CH105" s="3">
        <v>2750</v>
      </c>
      <c r="CI105" s="3">
        <v>2750</v>
      </c>
      <c r="CJ105" s="3">
        <v>2750</v>
      </c>
      <c r="CK105" s="3">
        <v>2750</v>
      </c>
      <c r="CL105" s="3">
        <v>2750</v>
      </c>
      <c r="CM105" s="3">
        <v>2750</v>
      </c>
      <c r="CN105" s="3">
        <v>2750</v>
      </c>
      <c r="CO105" s="3">
        <v>2750</v>
      </c>
      <c r="CP105" s="3">
        <v>2750</v>
      </c>
      <c r="CQ105" s="3">
        <v>2750</v>
      </c>
      <c r="CR105" s="3">
        <v>2750</v>
      </c>
      <c r="CS105" s="3">
        <v>2750</v>
      </c>
      <c r="CT105" s="3">
        <v>2750</v>
      </c>
      <c r="CU105" s="3">
        <v>2750</v>
      </c>
      <c r="CV105" s="3">
        <v>2750</v>
      </c>
      <c r="CW105" s="3">
        <v>2750</v>
      </c>
      <c r="CX105" s="3">
        <v>2750</v>
      </c>
      <c r="CY105" s="3">
        <v>2750</v>
      </c>
      <c r="CZ105" s="3">
        <v>2750</v>
      </c>
      <c r="DA105" s="3">
        <v>2750</v>
      </c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</row>
    <row r="106" spans="1:181" ht="15" x14ac:dyDescent="0.25">
      <c r="A106" s="9" t="s">
        <v>198</v>
      </c>
      <c r="B106" s="9" t="s">
        <v>164</v>
      </c>
      <c r="C106" s="9" t="s">
        <v>53</v>
      </c>
      <c r="D106" s="9">
        <v>1</v>
      </c>
      <c r="E106" s="9" t="s">
        <v>24</v>
      </c>
      <c r="F106" s="9" t="s">
        <v>199</v>
      </c>
      <c r="G106" s="2">
        <v>6000</v>
      </c>
      <c r="H106" s="2">
        <v>2000</v>
      </c>
      <c r="I106" s="2">
        <v>0</v>
      </c>
      <c r="J106" s="3"/>
      <c r="K106" s="2">
        <f t="shared" si="144"/>
        <v>8000</v>
      </c>
      <c r="L106" s="3"/>
      <c r="M106" s="3"/>
      <c r="N106" s="3"/>
      <c r="O106" s="3"/>
      <c r="P106" s="3"/>
      <c r="Q106" s="3"/>
      <c r="R106" s="3"/>
      <c r="S106" s="3"/>
      <c r="T106" s="3"/>
      <c r="U106" s="4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4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4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12"/>
      <c r="BI106" s="3"/>
      <c r="BJ106" s="3"/>
      <c r="BK106" s="3"/>
      <c r="BL106" s="3"/>
      <c r="BM106" s="3"/>
      <c r="BN106" s="3"/>
      <c r="BO106" s="3"/>
      <c r="BP106" s="3">
        <f>ROUND((31-15+1)*3000/31,2)</f>
        <v>1645.16</v>
      </c>
      <c r="BQ106" s="3">
        <v>3000</v>
      </c>
      <c r="BR106" s="3">
        <v>3000</v>
      </c>
      <c r="BS106" s="3">
        <v>3000</v>
      </c>
      <c r="BT106" s="3">
        <v>3000</v>
      </c>
      <c r="BU106" s="3"/>
      <c r="BV106" s="3">
        <v>3000</v>
      </c>
      <c r="BW106" s="3">
        <v>3000</v>
      </c>
      <c r="BX106" s="3">
        <v>3000</v>
      </c>
      <c r="BY106" s="3">
        <v>3000</v>
      </c>
      <c r="BZ106" s="3">
        <v>3000</v>
      </c>
      <c r="CA106" s="3">
        <v>3000</v>
      </c>
      <c r="CB106" s="3">
        <v>3000</v>
      </c>
      <c r="CC106" s="3">
        <v>3000</v>
      </c>
      <c r="CD106" s="3">
        <v>3000</v>
      </c>
      <c r="CE106" s="3">
        <v>3000</v>
      </c>
      <c r="CF106" s="3">
        <v>3000</v>
      </c>
      <c r="CG106" s="3">
        <v>3000</v>
      </c>
      <c r="CH106" s="3">
        <v>3000</v>
      </c>
      <c r="CI106" s="3">
        <v>3000</v>
      </c>
      <c r="CJ106" s="3">
        <v>3000</v>
      </c>
      <c r="CK106" s="3">
        <v>3000</v>
      </c>
      <c r="CL106" s="3">
        <v>3000</v>
      </c>
      <c r="CM106" s="3">
        <f>ROUND((3000/30*14)+(3300/30*16),2)</f>
        <v>3160</v>
      </c>
      <c r="CN106" s="3">
        <v>3300</v>
      </c>
      <c r="CO106" s="3">
        <v>3300</v>
      </c>
      <c r="CP106" s="3">
        <v>3300</v>
      </c>
      <c r="CQ106" s="3">
        <v>3300</v>
      </c>
      <c r="CR106" s="3">
        <v>3300</v>
      </c>
      <c r="CS106" s="3">
        <v>3300</v>
      </c>
      <c r="CT106" s="3">
        <v>3300</v>
      </c>
      <c r="CU106" s="3">
        <v>3300</v>
      </c>
      <c r="CV106" s="3">
        <v>3300</v>
      </c>
      <c r="CW106" s="3">
        <v>3300</v>
      </c>
      <c r="CX106" s="3">
        <v>3300</v>
      </c>
      <c r="CY106" s="3">
        <v>3300</v>
      </c>
      <c r="CZ106" s="3">
        <v>3300</v>
      </c>
      <c r="DA106" s="3">
        <v>3300</v>
      </c>
      <c r="DB106" s="3">
        <v>3300</v>
      </c>
      <c r="DC106" s="3">
        <v>3300</v>
      </c>
      <c r="DD106" s="3">
        <v>3300</v>
      </c>
      <c r="DE106" s="3">
        <v>3300</v>
      </c>
      <c r="DF106" s="3">
        <v>3300</v>
      </c>
      <c r="DG106" s="3">
        <v>3300</v>
      </c>
      <c r="DH106" s="3">
        <v>3300</v>
      </c>
      <c r="DI106" s="3">
        <v>3300</v>
      </c>
      <c r="DJ106" s="3">
        <v>3300</v>
      </c>
      <c r="DK106" s="3">
        <f>ROUND(3300/30*14,2)</f>
        <v>1540</v>
      </c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</row>
    <row r="107" spans="1:181" ht="15" x14ac:dyDescent="0.25">
      <c r="A107" s="9" t="s">
        <v>200</v>
      </c>
      <c r="B107" s="9" t="s">
        <v>164</v>
      </c>
      <c r="C107" s="9" t="s">
        <v>53</v>
      </c>
      <c r="D107" s="9">
        <v>2</v>
      </c>
      <c r="E107" s="9" t="s">
        <v>24</v>
      </c>
      <c r="F107" s="9" t="s">
        <v>199</v>
      </c>
      <c r="G107" s="2">
        <v>5000</v>
      </c>
      <c r="H107" s="2">
        <v>2000</v>
      </c>
      <c r="I107" s="2">
        <v>0</v>
      </c>
      <c r="J107" s="3"/>
      <c r="K107" s="2">
        <f t="shared" si="144"/>
        <v>7000</v>
      </c>
      <c r="L107" s="3"/>
      <c r="M107" s="3"/>
      <c r="N107" s="3"/>
      <c r="O107" s="3"/>
      <c r="P107" s="3"/>
      <c r="Q107" s="3"/>
      <c r="R107" s="3"/>
      <c r="S107" s="3"/>
      <c r="T107" s="3"/>
      <c r="U107" s="4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4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4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12"/>
      <c r="BI107" s="3"/>
      <c r="BJ107" s="3"/>
      <c r="BK107" s="3"/>
      <c r="BL107" s="3"/>
      <c r="BM107" s="3"/>
      <c r="BN107" s="3"/>
      <c r="BO107" s="3"/>
      <c r="BP107" s="3">
        <f>ROUND((31-15+1)*2500/31,2)</f>
        <v>1370.97</v>
      </c>
      <c r="BQ107" s="3">
        <v>2500</v>
      </c>
      <c r="BR107" s="3">
        <v>2500</v>
      </c>
      <c r="BS107" s="3">
        <v>2500</v>
      </c>
      <c r="BT107" s="3">
        <v>2500</v>
      </c>
      <c r="BU107" s="3"/>
      <c r="BV107" s="3">
        <v>2500</v>
      </c>
      <c r="BW107" s="3">
        <v>2500</v>
      </c>
      <c r="BX107" s="3">
        <v>2500</v>
      </c>
      <c r="BY107" s="3">
        <v>2500</v>
      </c>
      <c r="BZ107" s="3">
        <v>2500</v>
      </c>
      <c r="CA107" s="3">
        <v>2500</v>
      </c>
      <c r="CB107" s="3">
        <v>2500</v>
      </c>
      <c r="CC107" s="3">
        <v>2500</v>
      </c>
      <c r="CD107" s="3">
        <v>2500</v>
      </c>
      <c r="CE107" s="3">
        <v>2500</v>
      </c>
      <c r="CF107" s="3">
        <v>2500</v>
      </c>
      <c r="CG107" s="3">
        <v>2500</v>
      </c>
      <c r="CH107" s="3">
        <v>2500</v>
      </c>
      <c r="CI107" s="3">
        <v>2500</v>
      </c>
      <c r="CJ107" s="3">
        <v>2500</v>
      </c>
      <c r="CK107" s="3">
        <v>2500</v>
      </c>
      <c r="CL107" s="3">
        <v>2500</v>
      </c>
      <c r="CM107" s="3">
        <f>ROUND((2500/30*14)+(2750/30*16),2)</f>
        <v>2633.33</v>
      </c>
      <c r="CN107" s="3">
        <v>2750</v>
      </c>
      <c r="CO107" s="3">
        <v>2750</v>
      </c>
      <c r="CP107" s="3">
        <v>2750</v>
      </c>
      <c r="CQ107" s="3">
        <v>2750</v>
      </c>
      <c r="CR107" s="3">
        <v>2750</v>
      </c>
      <c r="CS107" s="3">
        <v>2750</v>
      </c>
      <c r="CT107" s="3">
        <v>2750</v>
      </c>
      <c r="CU107" s="3">
        <v>2750</v>
      </c>
      <c r="CV107" s="3">
        <v>2750</v>
      </c>
      <c r="CW107" s="3">
        <v>2750</v>
      </c>
      <c r="CX107" s="3">
        <v>2750</v>
      </c>
      <c r="CY107" s="3">
        <v>2750</v>
      </c>
      <c r="CZ107" s="3">
        <v>2750</v>
      </c>
      <c r="DA107" s="3">
        <v>2750</v>
      </c>
      <c r="DB107" s="3">
        <v>2750</v>
      </c>
      <c r="DC107" s="3">
        <v>2750</v>
      </c>
      <c r="DD107" s="3">
        <v>2750</v>
      </c>
      <c r="DE107" s="3">
        <v>2750</v>
      </c>
      <c r="DF107" s="3">
        <v>2750</v>
      </c>
      <c r="DG107" s="3">
        <v>2750</v>
      </c>
      <c r="DH107" s="3">
        <v>2750</v>
      </c>
      <c r="DI107" s="3">
        <v>2750</v>
      </c>
      <c r="DJ107" s="3">
        <v>2750</v>
      </c>
      <c r="DK107" s="3">
        <f>ROUND(2750/30*14,2)</f>
        <v>1283.33</v>
      </c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</row>
    <row r="108" spans="1:181" ht="15" x14ac:dyDescent="0.25">
      <c r="A108" s="9" t="s">
        <v>201</v>
      </c>
      <c r="B108" s="9" t="s">
        <v>164</v>
      </c>
      <c r="C108" s="9" t="s">
        <v>50</v>
      </c>
      <c r="D108" s="9">
        <v>10</v>
      </c>
      <c r="E108" s="9" t="s">
        <v>24</v>
      </c>
      <c r="F108" s="9" t="s">
        <v>202</v>
      </c>
      <c r="G108" s="2">
        <v>10400</v>
      </c>
      <c r="H108" s="2">
        <v>2000</v>
      </c>
      <c r="I108" s="2">
        <v>0</v>
      </c>
      <c r="J108" s="3"/>
      <c r="K108" s="2">
        <f t="shared" si="144"/>
        <v>12400</v>
      </c>
      <c r="L108" s="3"/>
      <c r="M108" s="3"/>
      <c r="N108" s="3"/>
      <c r="O108" s="3"/>
      <c r="P108" s="3"/>
      <c r="Q108" s="3"/>
      <c r="R108" s="3"/>
      <c r="S108" s="3"/>
      <c r="T108" s="3"/>
      <c r="U108" s="4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4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4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12"/>
      <c r="BI108" s="3"/>
      <c r="BJ108" s="3"/>
      <c r="BK108" s="3">
        <f>2683.87+2516.13</f>
        <v>5200</v>
      </c>
      <c r="BL108" s="3">
        <v>5200</v>
      </c>
      <c r="BM108" s="3">
        <v>5200</v>
      </c>
      <c r="BN108" s="3">
        <v>5200</v>
      </c>
      <c r="BO108" s="3">
        <v>5200</v>
      </c>
      <c r="BP108" s="3">
        <v>5200</v>
      </c>
      <c r="BQ108" s="3">
        <v>5200</v>
      </c>
      <c r="BR108" s="3">
        <v>5200</v>
      </c>
      <c r="BS108" s="3">
        <v>5200</v>
      </c>
      <c r="BT108" s="3">
        <v>5200</v>
      </c>
      <c r="BU108" s="3"/>
      <c r="BV108" s="3">
        <v>5200</v>
      </c>
      <c r="BW108" s="3">
        <v>5200</v>
      </c>
      <c r="BX108" s="3">
        <v>5200</v>
      </c>
      <c r="BY108" s="3">
        <v>5200</v>
      </c>
      <c r="BZ108" s="3">
        <v>5200</v>
      </c>
      <c r="CA108" s="3">
        <v>5200</v>
      </c>
      <c r="CB108" s="3">
        <v>5200</v>
      </c>
      <c r="CC108" s="3">
        <v>5200</v>
      </c>
      <c r="CD108" s="3">
        <v>5200</v>
      </c>
      <c r="CE108" s="3">
        <v>5200</v>
      </c>
      <c r="CF108" s="3">
        <v>5200</v>
      </c>
      <c r="CG108" s="3">
        <v>5200</v>
      </c>
      <c r="CH108" s="3">
        <v>5200</v>
      </c>
      <c r="CI108" s="3">
        <v>5200</v>
      </c>
      <c r="CJ108" s="3">
        <v>5200</v>
      </c>
      <c r="CK108" s="3">
        <v>5200</v>
      </c>
      <c r="CL108" s="3">
        <v>5200</v>
      </c>
      <c r="CM108" s="3">
        <v>5200</v>
      </c>
      <c r="CN108" s="3">
        <v>5200</v>
      </c>
      <c r="CO108" s="3">
        <v>5200</v>
      </c>
      <c r="CP108" s="3">
        <v>5200</v>
      </c>
      <c r="CQ108" s="3">
        <v>5200</v>
      </c>
      <c r="CR108" s="3">
        <v>5200</v>
      </c>
      <c r="CS108" s="3">
        <v>5200</v>
      </c>
      <c r="CT108" s="3">
        <v>5200</v>
      </c>
      <c r="CU108" s="3">
        <v>5200</v>
      </c>
      <c r="CV108" s="3">
        <v>6500</v>
      </c>
      <c r="CW108" s="3">
        <v>6500</v>
      </c>
      <c r="CX108" s="3">
        <v>6500</v>
      </c>
      <c r="CY108" s="3">
        <v>6500</v>
      </c>
      <c r="CZ108" s="3">
        <v>6500</v>
      </c>
      <c r="DA108" s="3">
        <v>6500</v>
      </c>
      <c r="DB108" s="3">
        <v>6500</v>
      </c>
      <c r="DC108" s="3">
        <v>6500</v>
      </c>
      <c r="DD108" s="3">
        <v>6500</v>
      </c>
      <c r="DE108" s="3">
        <v>6500</v>
      </c>
      <c r="DF108" s="3">
        <v>6500</v>
      </c>
      <c r="DG108" s="3">
        <v>6500</v>
      </c>
      <c r="DH108" s="3">
        <v>6500</v>
      </c>
      <c r="DI108" s="3">
        <v>6500</v>
      </c>
      <c r="DJ108" s="3">
        <v>6500</v>
      </c>
      <c r="DK108" s="3">
        <v>6500</v>
      </c>
      <c r="DL108" s="3">
        <v>6500</v>
      </c>
      <c r="DM108" s="3">
        <v>6500</v>
      </c>
      <c r="DN108" s="3">
        <v>6500</v>
      </c>
      <c r="DO108" s="3">
        <v>6500</v>
      </c>
      <c r="DP108" s="3">
        <v>6500</v>
      </c>
      <c r="DQ108" s="3">
        <v>6500</v>
      </c>
      <c r="DR108" s="3">
        <v>6500</v>
      </c>
      <c r="DS108" s="3">
        <v>6500</v>
      </c>
      <c r="DT108" s="3">
        <v>6500</v>
      </c>
      <c r="DU108" s="3">
        <v>6500</v>
      </c>
      <c r="DV108" s="3">
        <v>6500</v>
      </c>
      <c r="DW108" s="3">
        <v>6500</v>
      </c>
      <c r="DX108" s="3">
        <v>6500</v>
      </c>
      <c r="DY108" s="3">
        <v>6500</v>
      </c>
      <c r="DZ108" s="3">
        <v>6500</v>
      </c>
      <c r="EA108" s="3">
        <v>6500</v>
      </c>
      <c r="EB108" s="3">
        <v>6500</v>
      </c>
      <c r="EC108" s="3">
        <v>6500</v>
      </c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</row>
    <row r="109" spans="1:181" ht="15" x14ac:dyDescent="0.25">
      <c r="A109" s="9" t="s">
        <v>203</v>
      </c>
      <c r="B109" s="9" t="s">
        <v>164</v>
      </c>
      <c r="C109" s="9" t="s">
        <v>179</v>
      </c>
      <c r="D109" s="9">
        <v>10</v>
      </c>
      <c r="E109" s="9" t="s">
        <v>24</v>
      </c>
      <c r="F109" s="9" t="s">
        <v>202</v>
      </c>
      <c r="G109" s="2">
        <v>2000</v>
      </c>
      <c r="H109" s="2">
        <v>2000</v>
      </c>
      <c r="I109" s="2">
        <v>0</v>
      </c>
      <c r="J109" s="3"/>
      <c r="K109" s="2">
        <f t="shared" si="144"/>
        <v>4000</v>
      </c>
      <c r="L109" s="3"/>
      <c r="M109" s="3"/>
      <c r="N109" s="3"/>
      <c r="O109" s="3"/>
      <c r="P109" s="3"/>
      <c r="Q109" s="3"/>
      <c r="R109" s="3"/>
      <c r="S109" s="3"/>
      <c r="T109" s="3"/>
      <c r="U109" s="4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4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4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12"/>
      <c r="BI109" s="3"/>
      <c r="BJ109" s="3"/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/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1000</v>
      </c>
      <c r="CK109" s="3">
        <v>1000</v>
      </c>
      <c r="CL109" s="3">
        <v>1000</v>
      </c>
      <c r="CM109" s="3">
        <v>1000</v>
      </c>
      <c r="CN109" s="3">
        <v>1000</v>
      </c>
      <c r="CO109" s="3">
        <v>1000</v>
      </c>
      <c r="CP109" s="3">
        <v>1000</v>
      </c>
      <c r="CQ109" s="3">
        <v>1000</v>
      </c>
      <c r="CR109" s="3">
        <v>1000</v>
      </c>
      <c r="CS109" s="3">
        <v>1000</v>
      </c>
      <c r="CT109" s="3">
        <v>1000</v>
      </c>
      <c r="CU109" s="3">
        <v>1000</v>
      </c>
      <c r="CV109" s="3">
        <v>1000</v>
      </c>
      <c r="CW109" s="3">
        <v>1000</v>
      </c>
      <c r="CX109" s="3">
        <v>1000</v>
      </c>
      <c r="CY109" s="3">
        <v>1000</v>
      </c>
      <c r="CZ109" s="3">
        <v>1000</v>
      </c>
      <c r="DA109" s="3">
        <v>1000</v>
      </c>
      <c r="DB109" s="3">
        <v>1000</v>
      </c>
      <c r="DC109" s="3">
        <v>1000</v>
      </c>
      <c r="DD109" s="3">
        <v>1000</v>
      </c>
      <c r="DE109" s="3">
        <v>1000</v>
      </c>
      <c r="DF109" s="3">
        <v>1000</v>
      </c>
      <c r="DG109" s="3">
        <v>1000</v>
      </c>
      <c r="DH109" s="3">
        <v>1000</v>
      </c>
      <c r="DI109" s="3">
        <v>1000</v>
      </c>
      <c r="DJ109" s="3">
        <v>1000</v>
      </c>
      <c r="DK109" s="3">
        <v>1000</v>
      </c>
      <c r="DL109" s="3">
        <v>1000</v>
      </c>
      <c r="DM109" s="3">
        <v>1000</v>
      </c>
      <c r="DN109" s="3">
        <v>1000</v>
      </c>
      <c r="DO109" s="3">
        <v>1000</v>
      </c>
      <c r="DP109" s="3">
        <v>1000</v>
      </c>
      <c r="DQ109" s="3">
        <v>1000</v>
      </c>
      <c r="DR109" s="3">
        <v>1000</v>
      </c>
      <c r="DS109" s="3">
        <v>1000</v>
      </c>
      <c r="DT109" s="3">
        <v>1000</v>
      </c>
      <c r="DU109" s="3">
        <v>1000</v>
      </c>
      <c r="DV109" s="3">
        <v>1000</v>
      </c>
      <c r="DW109" s="3">
        <v>1000</v>
      </c>
      <c r="DX109" s="3">
        <v>1000</v>
      </c>
      <c r="DY109" s="3">
        <v>1000</v>
      </c>
      <c r="DZ109" s="3">
        <v>1000</v>
      </c>
      <c r="EA109" s="3">
        <v>1000</v>
      </c>
      <c r="EB109" s="3">
        <v>1000</v>
      </c>
      <c r="EC109" s="3">
        <v>1000</v>
      </c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</row>
    <row r="110" spans="1:181" ht="15" x14ac:dyDescent="0.25">
      <c r="A110" s="9" t="s">
        <v>204</v>
      </c>
      <c r="B110" s="9" t="s">
        <v>164</v>
      </c>
      <c r="C110" s="9" t="s">
        <v>50</v>
      </c>
      <c r="D110" s="9">
        <v>9</v>
      </c>
      <c r="E110" s="9" t="s">
        <v>24</v>
      </c>
      <c r="F110" s="9" t="s">
        <v>202</v>
      </c>
      <c r="G110" s="2">
        <v>10400</v>
      </c>
      <c r="H110" s="2">
        <v>2000</v>
      </c>
      <c r="I110" s="2">
        <v>0</v>
      </c>
      <c r="J110" s="3"/>
      <c r="K110" s="2">
        <f t="shared" si="144"/>
        <v>12400</v>
      </c>
      <c r="L110" s="3"/>
      <c r="M110" s="3"/>
      <c r="N110" s="3"/>
      <c r="O110" s="3"/>
      <c r="P110" s="3"/>
      <c r="Q110" s="3"/>
      <c r="R110" s="3"/>
      <c r="S110" s="3"/>
      <c r="T110" s="3"/>
      <c r="U110" s="4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4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4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12"/>
      <c r="BI110" s="3"/>
      <c r="BJ110" s="3"/>
      <c r="BK110" s="3">
        <f>2683.87+2516.13</f>
        <v>5200</v>
      </c>
      <c r="BL110" s="3">
        <v>5200</v>
      </c>
      <c r="BM110" s="3">
        <v>5200</v>
      </c>
      <c r="BN110" s="3">
        <v>5200</v>
      </c>
      <c r="BO110" s="3">
        <v>5200</v>
      </c>
      <c r="BP110" s="3">
        <v>5200</v>
      </c>
      <c r="BQ110" s="3">
        <v>5200</v>
      </c>
      <c r="BR110" s="3">
        <v>5200</v>
      </c>
      <c r="BS110" s="3">
        <v>5200</v>
      </c>
      <c r="BT110" s="3">
        <v>5200</v>
      </c>
      <c r="BU110" s="3"/>
      <c r="BV110" s="3">
        <v>5200</v>
      </c>
      <c r="BW110" s="3">
        <v>5200</v>
      </c>
      <c r="BX110" s="3">
        <v>5200</v>
      </c>
      <c r="BY110" s="3">
        <v>5200</v>
      </c>
      <c r="BZ110" s="3">
        <v>5200</v>
      </c>
      <c r="CA110" s="3">
        <v>5200</v>
      </c>
      <c r="CB110" s="3">
        <v>5200</v>
      </c>
      <c r="CC110" s="3">
        <v>5200</v>
      </c>
      <c r="CD110" s="3">
        <v>5200</v>
      </c>
      <c r="CE110" s="3">
        <v>5200</v>
      </c>
      <c r="CF110" s="3">
        <v>5200</v>
      </c>
      <c r="CG110" s="3">
        <v>5200</v>
      </c>
      <c r="CH110" s="3">
        <v>5200</v>
      </c>
      <c r="CI110" s="3">
        <v>5200</v>
      </c>
      <c r="CJ110" s="3">
        <v>5200</v>
      </c>
      <c r="CK110" s="3">
        <v>5200</v>
      </c>
      <c r="CL110" s="3">
        <v>5200</v>
      </c>
      <c r="CM110" s="3">
        <v>5200</v>
      </c>
      <c r="CN110" s="3">
        <v>5200</v>
      </c>
      <c r="CO110" s="3">
        <v>5200</v>
      </c>
      <c r="CP110" s="3">
        <v>5200</v>
      </c>
      <c r="CQ110" s="3">
        <v>5200</v>
      </c>
      <c r="CR110" s="3">
        <v>5200</v>
      </c>
      <c r="CS110" s="3">
        <v>5200</v>
      </c>
      <c r="CT110" s="3">
        <v>5200</v>
      </c>
      <c r="CU110" s="3">
        <v>5200</v>
      </c>
      <c r="CV110" s="3">
        <v>6500</v>
      </c>
      <c r="CW110" s="3">
        <v>6500</v>
      </c>
      <c r="CX110" s="3">
        <v>6500</v>
      </c>
      <c r="CY110" s="3">
        <v>6500</v>
      </c>
      <c r="CZ110" s="3">
        <v>6500</v>
      </c>
      <c r="DA110" s="3">
        <v>6500</v>
      </c>
      <c r="DB110" s="3">
        <v>6500</v>
      </c>
      <c r="DC110" s="3">
        <v>6500</v>
      </c>
      <c r="DD110" s="3">
        <v>6500</v>
      </c>
      <c r="DE110" s="3">
        <v>6500</v>
      </c>
      <c r="DF110" s="3">
        <v>6500</v>
      </c>
      <c r="DG110" s="3">
        <v>6500</v>
      </c>
      <c r="DH110" s="3">
        <v>6500</v>
      </c>
      <c r="DI110" s="3">
        <v>6500</v>
      </c>
      <c r="DJ110" s="3">
        <v>6500</v>
      </c>
      <c r="DK110" s="3">
        <v>6500</v>
      </c>
      <c r="DL110" s="3">
        <v>6500</v>
      </c>
      <c r="DM110" s="3">
        <v>6500</v>
      </c>
      <c r="DN110" s="3">
        <v>6500</v>
      </c>
      <c r="DO110" s="3">
        <v>6500</v>
      </c>
      <c r="DP110" s="3">
        <v>6500</v>
      </c>
      <c r="DQ110" s="3">
        <v>6500</v>
      </c>
      <c r="DR110" s="3">
        <v>6500</v>
      </c>
      <c r="DS110" s="3">
        <v>6500</v>
      </c>
      <c r="DT110" s="3">
        <v>6500</v>
      </c>
      <c r="DU110" s="3">
        <v>6500</v>
      </c>
      <c r="DV110" s="3">
        <v>6500</v>
      </c>
      <c r="DW110" s="3">
        <v>6500</v>
      </c>
      <c r="DX110" s="3">
        <v>6500</v>
      </c>
      <c r="DY110" s="3">
        <v>6500</v>
      </c>
      <c r="DZ110" s="3">
        <v>6500</v>
      </c>
      <c r="EA110" s="3">
        <v>6500</v>
      </c>
      <c r="EB110" s="3">
        <v>6500</v>
      </c>
      <c r="EC110" s="3">
        <v>6500</v>
      </c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</row>
    <row r="111" spans="1:181" ht="15" x14ac:dyDescent="0.25">
      <c r="A111" s="9" t="s">
        <v>205</v>
      </c>
      <c r="B111" s="9" t="s">
        <v>164</v>
      </c>
      <c r="C111" s="9" t="s">
        <v>179</v>
      </c>
      <c r="D111" s="9">
        <v>9</v>
      </c>
      <c r="E111" s="9" t="s">
        <v>24</v>
      </c>
      <c r="F111" s="9" t="s">
        <v>202</v>
      </c>
      <c r="G111" s="2">
        <v>2000</v>
      </c>
      <c r="H111" s="2">
        <v>2000</v>
      </c>
      <c r="I111" s="2">
        <v>0</v>
      </c>
      <c r="J111" s="3"/>
      <c r="K111" s="2">
        <f t="shared" si="144"/>
        <v>4000</v>
      </c>
      <c r="L111" s="3"/>
      <c r="M111" s="3"/>
      <c r="N111" s="3"/>
      <c r="O111" s="3"/>
      <c r="P111" s="3"/>
      <c r="Q111" s="3"/>
      <c r="R111" s="3"/>
      <c r="S111" s="3"/>
      <c r="T111" s="3"/>
      <c r="U111" s="4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4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4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12"/>
      <c r="BI111" s="3"/>
      <c r="BJ111" s="3"/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/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1000</v>
      </c>
      <c r="CK111" s="3">
        <v>1000</v>
      </c>
      <c r="CL111" s="3">
        <v>1000</v>
      </c>
      <c r="CM111" s="3">
        <v>1000</v>
      </c>
      <c r="CN111" s="3">
        <v>1000</v>
      </c>
      <c r="CO111" s="3">
        <v>1000</v>
      </c>
      <c r="CP111" s="3">
        <v>1000</v>
      </c>
      <c r="CQ111" s="3">
        <v>1000</v>
      </c>
      <c r="CR111" s="3">
        <v>1000</v>
      </c>
      <c r="CS111" s="3">
        <v>1000</v>
      </c>
      <c r="CT111" s="3">
        <v>1000</v>
      </c>
      <c r="CU111" s="3">
        <v>1000</v>
      </c>
      <c r="CV111" s="3">
        <v>1000</v>
      </c>
      <c r="CW111" s="3">
        <v>1000</v>
      </c>
      <c r="CX111" s="3">
        <v>1000</v>
      </c>
      <c r="CY111" s="3">
        <v>1000</v>
      </c>
      <c r="CZ111" s="3">
        <v>1000</v>
      </c>
      <c r="DA111" s="3">
        <v>1000</v>
      </c>
      <c r="DB111" s="3">
        <v>1000</v>
      </c>
      <c r="DC111" s="3">
        <v>1000</v>
      </c>
      <c r="DD111" s="3">
        <v>1000</v>
      </c>
      <c r="DE111" s="3">
        <v>1000</v>
      </c>
      <c r="DF111" s="3">
        <v>1000</v>
      </c>
      <c r="DG111" s="3">
        <v>1000</v>
      </c>
      <c r="DH111" s="3">
        <v>1000</v>
      </c>
      <c r="DI111" s="3">
        <v>1000</v>
      </c>
      <c r="DJ111" s="3">
        <v>1000</v>
      </c>
      <c r="DK111" s="3">
        <v>1000</v>
      </c>
      <c r="DL111" s="3">
        <v>1000</v>
      </c>
      <c r="DM111" s="3">
        <v>1000</v>
      </c>
      <c r="DN111" s="3">
        <v>1000</v>
      </c>
      <c r="DO111" s="3">
        <v>1000</v>
      </c>
      <c r="DP111" s="3">
        <v>1000</v>
      </c>
      <c r="DQ111" s="3">
        <v>1000</v>
      </c>
      <c r="DR111" s="3">
        <v>1000</v>
      </c>
      <c r="DS111" s="3">
        <v>1000</v>
      </c>
      <c r="DT111" s="3">
        <v>1000</v>
      </c>
      <c r="DU111" s="3">
        <v>1000</v>
      </c>
      <c r="DV111" s="3">
        <v>1000</v>
      </c>
      <c r="DW111" s="3">
        <v>1000</v>
      </c>
      <c r="DX111" s="3">
        <v>1000</v>
      </c>
      <c r="DY111" s="3">
        <v>1000</v>
      </c>
      <c r="DZ111" s="3">
        <v>1000</v>
      </c>
      <c r="EA111" s="3">
        <v>1000</v>
      </c>
      <c r="EB111" s="3">
        <v>1000</v>
      </c>
      <c r="EC111" s="3">
        <v>1000</v>
      </c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</row>
    <row r="112" spans="1:181" ht="15" x14ac:dyDescent="0.25">
      <c r="A112" s="9" t="s">
        <v>206</v>
      </c>
      <c r="B112" s="9" t="s">
        <v>164</v>
      </c>
      <c r="C112" s="9" t="s">
        <v>50</v>
      </c>
      <c r="D112" s="9">
        <v>16</v>
      </c>
      <c r="E112" s="9" t="s">
        <v>24</v>
      </c>
      <c r="F112" s="9" t="s">
        <v>207</v>
      </c>
      <c r="G112" s="2">
        <v>16000</v>
      </c>
      <c r="H112" s="2">
        <v>2000</v>
      </c>
      <c r="I112" s="2">
        <v>0</v>
      </c>
      <c r="J112" s="3"/>
      <c r="K112" s="2">
        <f t="shared" si="144"/>
        <v>18000</v>
      </c>
      <c r="L112" s="3"/>
      <c r="M112" s="3"/>
      <c r="N112" s="3"/>
      <c r="O112" s="3"/>
      <c r="P112" s="3"/>
      <c r="Q112" s="3"/>
      <c r="R112" s="3"/>
      <c r="S112" s="3"/>
      <c r="T112" s="3"/>
      <c r="U112" s="4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4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4"/>
      <c r="AV112" s="3"/>
      <c r="AW112" s="3"/>
      <c r="AX112" s="3"/>
      <c r="AY112" s="3"/>
      <c r="AZ112" s="11"/>
      <c r="BA112" s="11"/>
      <c r="BB112" s="11"/>
      <c r="BC112" s="11"/>
      <c r="BD112" s="11"/>
      <c r="BE112" s="11"/>
      <c r="BF112" s="11"/>
      <c r="BG112" s="3"/>
      <c r="BH112" s="12"/>
      <c r="BI112" s="3"/>
      <c r="BJ112" s="3"/>
      <c r="BK112" s="3"/>
      <c r="BL112" s="3"/>
      <c r="BM112" s="3"/>
      <c r="BN112" s="3">
        <v>0</v>
      </c>
      <c r="BO112" s="3">
        <v>8000</v>
      </c>
      <c r="BP112" s="3">
        <v>8000</v>
      </c>
      <c r="BQ112" s="3">
        <v>8000</v>
      </c>
      <c r="BR112" s="3">
        <v>8000</v>
      </c>
      <c r="BS112" s="3">
        <v>8000</v>
      </c>
      <c r="BT112" s="3">
        <v>8000</v>
      </c>
      <c r="BU112" s="3"/>
      <c r="BV112" s="3">
        <v>8000</v>
      </c>
      <c r="BW112" s="3">
        <v>8000</v>
      </c>
      <c r="BX112" s="3">
        <v>8000</v>
      </c>
      <c r="BY112" s="3">
        <v>8000</v>
      </c>
      <c r="BZ112" s="3">
        <v>8000</v>
      </c>
      <c r="CA112" s="3">
        <v>8000</v>
      </c>
      <c r="CB112" s="3">
        <v>8000</v>
      </c>
      <c r="CC112" s="3">
        <v>8000</v>
      </c>
      <c r="CD112" s="3">
        <v>8000</v>
      </c>
      <c r="CE112" s="3">
        <v>8000</v>
      </c>
      <c r="CF112" s="3">
        <v>8000</v>
      </c>
      <c r="CG112" s="3">
        <v>8000</v>
      </c>
      <c r="CH112" s="3">
        <v>8000</v>
      </c>
      <c r="CI112" s="3">
        <v>8000</v>
      </c>
      <c r="CJ112" s="3">
        <v>8000</v>
      </c>
      <c r="CK112" s="3">
        <v>8000</v>
      </c>
      <c r="CL112" s="3">
        <v>8000</v>
      </c>
      <c r="CM112" s="3">
        <v>8800</v>
      </c>
      <c r="CN112" s="3">
        <v>8800</v>
      </c>
      <c r="CO112" s="3">
        <v>8800</v>
      </c>
      <c r="CP112" s="3">
        <v>8800</v>
      </c>
      <c r="CQ112" s="3">
        <v>8800</v>
      </c>
      <c r="CR112" s="3">
        <v>8800</v>
      </c>
      <c r="CS112" s="3">
        <v>8800</v>
      </c>
      <c r="CT112" s="3">
        <v>8800</v>
      </c>
      <c r="CU112" s="3">
        <v>8800</v>
      </c>
      <c r="CV112" s="3">
        <v>8800</v>
      </c>
      <c r="CW112" s="3">
        <v>8800</v>
      </c>
      <c r="CX112" s="3">
        <v>8800</v>
      </c>
      <c r="CY112" s="3">
        <v>8800</v>
      </c>
      <c r="CZ112" s="3">
        <v>8800</v>
      </c>
      <c r="DA112" s="3">
        <v>8800</v>
      </c>
      <c r="DB112" s="3">
        <v>8800</v>
      </c>
      <c r="DC112" s="3">
        <v>8800</v>
      </c>
      <c r="DD112" s="3">
        <v>8800</v>
      </c>
      <c r="DE112" s="3">
        <v>8800</v>
      </c>
      <c r="DF112" s="3">
        <v>8800</v>
      </c>
      <c r="DG112" s="3">
        <v>8800</v>
      </c>
      <c r="DH112" s="3">
        <v>8800</v>
      </c>
      <c r="DI112" s="3">
        <v>8800</v>
      </c>
      <c r="DJ112" s="3">
        <v>8800</v>
      </c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</row>
    <row r="113" spans="1:181" ht="15" x14ac:dyDescent="0.25">
      <c r="A113" s="9" t="s">
        <v>208</v>
      </c>
      <c r="B113" s="9" t="s">
        <v>164</v>
      </c>
      <c r="C113" s="9" t="s">
        <v>179</v>
      </c>
      <c r="D113" s="9">
        <v>16</v>
      </c>
      <c r="E113" s="9" t="s">
        <v>24</v>
      </c>
      <c r="F113" s="9" t="s">
        <v>207</v>
      </c>
      <c r="G113" s="2">
        <v>3000</v>
      </c>
      <c r="H113" s="2">
        <v>0</v>
      </c>
      <c r="I113" s="2">
        <v>0</v>
      </c>
      <c r="J113" s="3"/>
      <c r="K113" s="2">
        <f t="shared" si="144"/>
        <v>3000</v>
      </c>
      <c r="L113" s="3"/>
      <c r="M113" s="3"/>
      <c r="N113" s="3"/>
      <c r="O113" s="3"/>
      <c r="P113" s="3"/>
      <c r="Q113" s="3"/>
      <c r="R113" s="3"/>
      <c r="S113" s="3"/>
      <c r="T113" s="3"/>
      <c r="U113" s="4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4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4"/>
      <c r="AV113" s="3"/>
      <c r="AW113" s="3"/>
      <c r="AX113" s="3"/>
      <c r="AY113" s="3"/>
      <c r="AZ113" s="11"/>
      <c r="BA113" s="11"/>
      <c r="BB113" s="11"/>
      <c r="BC113" s="11"/>
      <c r="BD113" s="11"/>
      <c r="BE113" s="11"/>
      <c r="BF113" s="11"/>
      <c r="BG113" s="3"/>
      <c r="BH113" s="12"/>
      <c r="BI113" s="3"/>
      <c r="BJ113" s="3"/>
      <c r="BK113" s="3"/>
      <c r="BL113" s="3"/>
      <c r="BM113" s="3"/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/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1500</v>
      </c>
      <c r="CH113" s="3">
        <v>1500</v>
      </c>
      <c r="CI113" s="3">
        <v>1500</v>
      </c>
      <c r="CJ113" s="3">
        <v>1500</v>
      </c>
      <c r="CK113" s="3">
        <v>1500</v>
      </c>
      <c r="CL113" s="3">
        <v>1500</v>
      </c>
      <c r="CM113" s="3">
        <v>1650</v>
      </c>
      <c r="CN113" s="3">
        <v>1650</v>
      </c>
      <c r="CO113" s="3">
        <v>1650</v>
      </c>
      <c r="CP113" s="3">
        <v>1650</v>
      </c>
      <c r="CQ113" s="3">
        <v>1650</v>
      </c>
      <c r="CR113" s="3">
        <v>1650</v>
      </c>
      <c r="CS113" s="3">
        <v>1650</v>
      </c>
      <c r="CT113" s="3">
        <v>1650</v>
      </c>
      <c r="CU113" s="3">
        <v>1650</v>
      </c>
      <c r="CV113" s="3">
        <v>1650</v>
      </c>
      <c r="CW113" s="3">
        <v>1650</v>
      </c>
      <c r="CX113" s="3">
        <v>1650</v>
      </c>
      <c r="CY113" s="3">
        <v>1650</v>
      </c>
      <c r="CZ113" s="3">
        <v>1650</v>
      </c>
      <c r="DA113" s="3">
        <v>1650</v>
      </c>
      <c r="DB113" s="3">
        <v>1650</v>
      </c>
      <c r="DC113" s="3">
        <v>1650</v>
      </c>
      <c r="DD113" s="3">
        <v>1650</v>
      </c>
      <c r="DE113" s="3">
        <v>1650</v>
      </c>
      <c r="DF113" s="3">
        <v>1650</v>
      </c>
      <c r="DG113" s="3">
        <v>1650</v>
      </c>
      <c r="DH113" s="3">
        <v>1650</v>
      </c>
      <c r="DI113" s="3">
        <v>1650</v>
      </c>
      <c r="DJ113" s="3">
        <v>1650</v>
      </c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</row>
    <row r="114" spans="1:181" ht="15" x14ac:dyDescent="0.25">
      <c r="A114" s="9" t="s">
        <v>209</v>
      </c>
      <c r="B114" s="9" t="s">
        <v>164</v>
      </c>
      <c r="C114" s="9" t="s">
        <v>50</v>
      </c>
      <c r="D114" s="9" t="s">
        <v>193</v>
      </c>
      <c r="E114" s="9" t="s">
        <v>24</v>
      </c>
      <c r="F114" s="9" t="s">
        <v>210</v>
      </c>
      <c r="G114" s="2">
        <v>12000</v>
      </c>
      <c r="H114" s="2">
        <v>2000</v>
      </c>
      <c r="I114" s="2">
        <v>0</v>
      </c>
      <c r="J114" s="3"/>
      <c r="K114" s="2">
        <f t="shared" si="144"/>
        <v>14000</v>
      </c>
      <c r="L114" s="3"/>
      <c r="M114" s="3"/>
      <c r="N114" s="3"/>
      <c r="O114" s="3"/>
      <c r="P114" s="3"/>
      <c r="Q114" s="3"/>
      <c r="R114" s="3"/>
      <c r="S114" s="3"/>
      <c r="T114" s="3"/>
      <c r="U114" s="4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4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4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12"/>
      <c r="BI114" s="3"/>
      <c r="BJ114" s="3"/>
      <c r="BK114" s="3"/>
      <c r="BL114" s="3">
        <v>6000</v>
      </c>
      <c r="BM114" s="3">
        <v>6000</v>
      </c>
      <c r="BN114" s="3">
        <v>6000</v>
      </c>
      <c r="BO114" s="3">
        <v>6000</v>
      </c>
      <c r="BP114" s="3">
        <v>6000</v>
      </c>
      <c r="BQ114" s="3">
        <v>6000</v>
      </c>
      <c r="BR114" s="3">
        <v>6000</v>
      </c>
      <c r="BS114" s="3">
        <v>6000</v>
      </c>
      <c r="BT114" s="3">
        <v>6000</v>
      </c>
      <c r="BU114" s="3"/>
      <c r="BV114" s="3">
        <v>6000</v>
      </c>
      <c r="BW114" s="3">
        <v>6000</v>
      </c>
      <c r="BX114" s="3">
        <v>6000</v>
      </c>
      <c r="BY114" s="3">
        <v>6000</v>
      </c>
      <c r="BZ114" s="3">
        <v>6000</v>
      </c>
      <c r="CA114" s="3">
        <v>6000</v>
      </c>
      <c r="CB114" s="3">
        <v>6000</v>
      </c>
      <c r="CC114" s="3">
        <v>6000</v>
      </c>
      <c r="CD114" s="3">
        <v>6000</v>
      </c>
      <c r="CE114" s="3">
        <v>6000</v>
      </c>
      <c r="CF114" s="3">
        <v>6000</v>
      </c>
      <c r="CG114" s="3">
        <v>6000</v>
      </c>
      <c r="CH114" s="3">
        <v>6000</v>
      </c>
      <c r="CI114" s="3">
        <v>6000</v>
      </c>
      <c r="CJ114" s="3">
        <v>6600</v>
      </c>
      <c r="CK114" s="3">
        <v>6600</v>
      </c>
      <c r="CL114" s="3">
        <v>6600</v>
      </c>
      <c r="CM114" s="3">
        <v>6600</v>
      </c>
      <c r="CN114" s="3">
        <v>6600</v>
      </c>
      <c r="CO114" s="3">
        <v>6600</v>
      </c>
      <c r="CP114" s="3">
        <v>6600</v>
      </c>
      <c r="CQ114" s="3">
        <v>6600</v>
      </c>
      <c r="CR114" s="3">
        <v>6600</v>
      </c>
      <c r="CS114" s="3">
        <v>6600</v>
      </c>
      <c r="CT114" s="3">
        <v>6600</v>
      </c>
      <c r="CU114" s="3">
        <v>6600</v>
      </c>
      <c r="CV114" s="3">
        <v>6600</v>
      </c>
      <c r="CW114" s="3">
        <v>6600</v>
      </c>
      <c r="CX114" s="3">
        <v>6600</v>
      </c>
      <c r="CY114" s="3">
        <v>6600</v>
      </c>
      <c r="CZ114" s="3">
        <v>6600</v>
      </c>
      <c r="DA114" s="3">
        <v>6600</v>
      </c>
      <c r="DB114" s="3">
        <v>6600</v>
      </c>
      <c r="DC114" s="3">
        <v>6600</v>
      </c>
      <c r="DD114" s="3">
        <v>6600</v>
      </c>
      <c r="DE114" s="3">
        <v>6600</v>
      </c>
      <c r="DF114" s="3">
        <v>6600</v>
      </c>
      <c r="DG114" s="3">
        <v>6600</v>
      </c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</row>
    <row r="115" spans="1:181" ht="15" x14ac:dyDescent="0.25">
      <c r="A115" s="9" t="s">
        <v>211</v>
      </c>
      <c r="B115" s="9" t="s">
        <v>164</v>
      </c>
      <c r="C115" s="9" t="s">
        <v>179</v>
      </c>
      <c r="D115" s="9" t="s">
        <v>193</v>
      </c>
      <c r="E115" s="9" t="s">
        <v>24</v>
      </c>
      <c r="F115" s="9" t="s">
        <v>210</v>
      </c>
      <c r="G115" s="2">
        <v>3000</v>
      </c>
      <c r="H115" s="2">
        <v>0</v>
      </c>
      <c r="I115" s="2">
        <v>0</v>
      </c>
      <c r="J115" s="3"/>
      <c r="K115" s="2">
        <f t="shared" si="144"/>
        <v>3000</v>
      </c>
      <c r="L115" s="3"/>
      <c r="M115" s="3"/>
      <c r="N115" s="3"/>
      <c r="O115" s="3"/>
      <c r="P115" s="3"/>
      <c r="Q115" s="3"/>
      <c r="R115" s="3"/>
      <c r="S115" s="3"/>
      <c r="T115" s="3"/>
      <c r="U115" s="4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4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4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12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>
        <v>0</v>
      </c>
      <c r="BT115" s="3">
        <v>0</v>
      </c>
      <c r="BU115" s="3"/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1500</v>
      </c>
      <c r="CG115" s="3">
        <v>1500</v>
      </c>
      <c r="CH115" s="3">
        <v>1500</v>
      </c>
      <c r="CI115" s="3">
        <v>1500</v>
      </c>
      <c r="CJ115" s="3">
        <v>1500</v>
      </c>
      <c r="CK115" s="3">
        <v>1500</v>
      </c>
      <c r="CL115" s="3">
        <v>1500</v>
      </c>
      <c r="CM115" s="3">
        <v>1500</v>
      </c>
      <c r="CN115" s="3">
        <v>1500</v>
      </c>
      <c r="CO115" s="3">
        <v>1500</v>
      </c>
      <c r="CP115" s="3">
        <v>1500</v>
      </c>
      <c r="CQ115" s="3">
        <v>1500</v>
      </c>
      <c r="CR115" s="3">
        <v>1650</v>
      </c>
      <c r="CS115" s="3">
        <v>1650</v>
      </c>
      <c r="CT115" s="3">
        <v>1650</v>
      </c>
      <c r="CU115" s="3">
        <v>1650</v>
      </c>
      <c r="CV115" s="3">
        <v>1650</v>
      </c>
      <c r="CW115" s="3">
        <v>1650</v>
      </c>
      <c r="CX115" s="3">
        <v>1650</v>
      </c>
      <c r="CY115" s="3">
        <v>1650</v>
      </c>
      <c r="CZ115" s="3">
        <v>1650</v>
      </c>
      <c r="DA115" s="3">
        <v>1650</v>
      </c>
      <c r="DB115" s="3">
        <v>1650</v>
      </c>
      <c r="DC115" s="3">
        <v>1650</v>
      </c>
      <c r="DD115" s="3">
        <v>1650</v>
      </c>
      <c r="DE115" s="3">
        <v>1650</v>
      </c>
      <c r="DF115" s="3">
        <v>1650</v>
      </c>
      <c r="DG115" s="3">
        <v>1650</v>
      </c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</row>
    <row r="116" spans="1:181" ht="15" x14ac:dyDescent="0.25">
      <c r="A116" s="9" t="s">
        <v>212</v>
      </c>
      <c r="B116" s="9" t="s">
        <v>164</v>
      </c>
      <c r="C116" s="9" t="s">
        <v>50</v>
      </c>
      <c r="D116" s="9">
        <v>15</v>
      </c>
      <c r="E116" s="9" t="s">
        <v>24</v>
      </c>
      <c r="F116" s="9" t="s">
        <v>213</v>
      </c>
      <c r="G116" s="2">
        <v>6000</v>
      </c>
      <c r="H116" s="2">
        <v>2000</v>
      </c>
      <c r="I116" s="2">
        <v>0</v>
      </c>
      <c r="J116" s="3">
        <v>3000</v>
      </c>
      <c r="K116" s="2">
        <f t="shared" si="144"/>
        <v>8000</v>
      </c>
      <c r="L116" s="3"/>
      <c r="M116" s="3"/>
      <c r="N116" s="3"/>
      <c r="O116" s="3"/>
      <c r="P116" s="3"/>
      <c r="Q116" s="3"/>
      <c r="R116" s="3"/>
      <c r="S116" s="3"/>
      <c r="T116" s="3"/>
      <c r="U116" s="4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4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4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>
        <v>3000</v>
      </c>
      <c r="BG116" s="3">
        <v>3000</v>
      </c>
      <c r="BH116" s="12"/>
      <c r="BI116" s="3">
        <v>3000</v>
      </c>
      <c r="BJ116" s="3">
        <v>3000</v>
      </c>
      <c r="BK116" s="3">
        <v>3000</v>
      </c>
      <c r="BL116" s="3">
        <v>3000</v>
      </c>
      <c r="BM116" s="3">
        <v>3000</v>
      </c>
      <c r="BN116" s="3">
        <v>3000</v>
      </c>
      <c r="BO116" s="3">
        <v>3000</v>
      </c>
      <c r="BP116" s="3">
        <v>3000</v>
      </c>
      <c r="BQ116" s="3">
        <v>3000</v>
      </c>
      <c r="BR116" s="3">
        <v>3000</v>
      </c>
      <c r="BS116" s="3">
        <v>3000</v>
      </c>
      <c r="BT116" s="3">
        <v>3000</v>
      </c>
      <c r="BU116" s="3"/>
      <c r="BV116" s="3">
        <v>3000</v>
      </c>
      <c r="BW116" s="3">
        <v>3000</v>
      </c>
      <c r="BX116" s="3">
        <v>3000</v>
      </c>
      <c r="BY116" s="3">
        <v>3000</v>
      </c>
      <c r="BZ116" s="3">
        <v>3000</v>
      </c>
      <c r="CA116" s="3">
        <v>3000</v>
      </c>
      <c r="CB116" s="3">
        <v>3000</v>
      </c>
      <c r="CC116" s="3">
        <v>3000</v>
      </c>
      <c r="CD116" s="3">
        <v>3000</v>
      </c>
      <c r="CE116" s="3">
        <v>3300</v>
      </c>
      <c r="CF116" s="3">
        <v>3300</v>
      </c>
      <c r="CG116" s="3">
        <v>3300</v>
      </c>
      <c r="CH116" s="3">
        <v>3300</v>
      </c>
      <c r="CI116" s="3">
        <v>3300</v>
      </c>
      <c r="CJ116" s="3">
        <v>3300</v>
      </c>
      <c r="CK116" s="3">
        <v>3300</v>
      </c>
      <c r="CL116" s="3">
        <v>3300</v>
      </c>
      <c r="CM116" s="3">
        <v>3300</v>
      </c>
      <c r="CN116" s="3">
        <v>3300</v>
      </c>
      <c r="CO116" s="3">
        <v>3300</v>
      </c>
      <c r="CP116" s="3">
        <v>3300</v>
      </c>
      <c r="CQ116" s="3">
        <v>3300</v>
      </c>
      <c r="CR116" s="3">
        <v>3300</v>
      </c>
      <c r="CS116" s="3">
        <v>3300</v>
      </c>
      <c r="CT116" s="3">
        <v>3300</v>
      </c>
      <c r="CU116" s="3">
        <v>3300</v>
      </c>
      <c r="CV116" s="3">
        <v>3300</v>
      </c>
      <c r="CW116" s="3">
        <v>3300</v>
      </c>
      <c r="CX116" s="3">
        <v>3300</v>
      </c>
      <c r="CY116" s="3">
        <v>3300</v>
      </c>
      <c r="CZ116" s="3">
        <v>3300</v>
      </c>
      <c r="DA116" s="3">
        <v>3300</v>
      </c>
      <c r="DB116" s="3">
        <v>3300</v>
      </c>
      <c r="DC116" s="3">
        <v>3630</v>
      </c>
      <c r="DD116" s="3">
        <v>3630</v>
      </c>
      <c r="DE116" s="3">
        <v>3630</v>
      </c>
      <c r="DF116" s="3">
        <v>3630</v>
      </c>
      <c r="DG116" s="3">
        <v>3630</v>
      </c>
      <c r="DH116" s="3">
        <v>3630</v>
      </c>
      <c r="DI116" s="3">
        <v>3630</v>
      </c>
      <c r="DJ116" s="3">
        <v>3630</v>
      </c>
      <c r="DK116" s="3">
        <v>3630</v>
      </c>
      <c r="DL116" s="3">
        <v>3630</v>
      </c>
      <c r="DM116" s="3">
        <v>3630</v>
      </c>
      <c r="DN116" s="3">
        <v>3630</v>
      </c>
      <c r="DO116" s="3">
        <v>3630</v>
      </c>
      <c r="DP116" s="3">
        <v>3630</v>
      </c>
      <c r="DQ116" s="3">
        <v>3630</v>
      </c>
      <c r="DR116" s="3">
        <v>3630</v>
      </c>
      <c r="DS116" s="3">
        <v>3630</v>
      </c>
      <c r="DT116" s="3">
        <v>3630</v>
      </c>
      <c r="DU116" s="3">
        <v>3630</v>
      </c>
      <c r="DV116" s="3">
        <v>3630</v>
      </c>
      <c r="DW116" s="3">
        <v>3630</v>
      </c>
      <c r="DX116" s="3">
        <v>3630</v>
      </c>
      <c r="DY116" s="3">
        <v>3630</v>
      </c>
      <c r="DZ116" s="3">
        <v>3630</v>
      </c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</row>
    <row r="117" spans="1:181" ht="15" x14ac:dyDescent="0.25">
      <c r="A117" s="9" t="s">
        <v>214</v>
      </c>
      <c r="B117" s="9" t="s">
        <v>164</v>
      </c>
      <c r="C117" s="9" t="s">
        <v>50</v>
      </c>
      <c r="D117" s="9">
        <v>13</v>
      </c>
      <c r="E117" s="9" t="s">
        <v>24</v>
      </c>
      <c r="F117" s="9" t="s">
        <v>215</v>
      </c>
      <c r="G117" s="2">
        <v>11000</v>
      </c>
      <c r="H117" s="2">
        <v>2000</v>
      </c>
      <c r="I117" s="2">
        <v>0</v>
      </c>
      <c r="J117" s="3">
        <v>5500</v>
      </c>
      <c r="K117" s="2">
        <f t="shared" si="144"/>
        <v>13000</v>
      </c>
      <c r="L117" s="3"/>
      <c r="M117" s="3"/>
      <c r="N117" s="3"/>
      <c r="O117" s="3"/>
      <c r="P117" s="3"/>
      <c r="Q117" s="3"/>
      <c r="R117" s="3"/>
      <c r="S117" s="3"/>
      <c r="T117" s="3"/>
      <c r="U117" s="4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4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4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12"/>
      <c r="BI117" s="3">
        <v>5500</v>
      </c>
      <c r="BJ117" s="3">
        <v>5500</v>
      </c>
      <c r="BK117" s="3">
        <v>5500</v>
      </c>
      <c r="BL117" s="3">
        <v>5500</v>
      </c>
      <c r="BM117" s="3">
        <v>5500</v>
      </c>
      <c r="BN117" s="3">
        <v>5500</v>
      </c>
      <c r="BO117" s="3">
        <v>5500</v>
      </c>
      <c r="BP117" s="3">
        <v>5500</v>
      </c>
      <c r="BQ117" s="3">
        <v>5500</v>
      </c>
      <c r="BR117" s="3">
        <v>5500</v>
      </c>
      <c r="BS117" s="3">
        <v>5500</v>
      </c>
      <c r="BT117" s="3">
        <v>5500</v>
      </c>
      <c r="BU117" s="3"/>
      <c r="BV117" s="3">
        <v>5500</v>
      </c>
      <c r="BW117" s="3">
        <v>5500</v>
      </c>
      <c r="BX117" s="3">
        <v>5500</v>
      </c>
      <c r="BY117" s="3">
        <v>5500</v>
      </c>
      <c r="BZ117" s="3">
        <v>5500</v>
      </c>
      <c r="CA117" s="3">
        <v>5500</v>
      </c>
      <c r="CB117" s="3">
        <v>5500</v>
      </c>
      <c r="CC117" s="3">
        <v>5500</v>
      </c>
      <c r="CD117" s="3">
        <v>5500</v>
      </c>
      <c r="CE117" s="3">
        <v>5500</v>
      </c>
      <c r="CF117" s="3">
        <v>6050</v>
      </c>
      <c r="CG117" s="3">
        <v>6050</v>
      </c>
      <c r="CH117" s="3">
        <v>6050</v>
      </c>
      <c r="CI117" s="3">
        <v>6050</v>
      </c>
      <c r="CJ117" s="3">
        <v>6050</v>
      </c>
      <c r="CK117" s="3">
        <v>6050</v>
      </c>
      <c r="CL117" s="3">
        <v>6050</v>
      </c>
      <c r="CM117" s="3">
        <v>6050</v>
      </c>
      <c r="CN117" s="3">
        <v>6050</v>
      </c>
      <c r="CO117" s="3">
        <v>6050</v>
      </c>
      <c r="CP117" s="3">
        <v>6050</v>
      </c>
      <c r="CQ117" s="3">
        <v>6050</v>
      </c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</row>
    <row r="118" spans="1:181" ht="15" x14ac:dyDescent="0.25">
      <c r="A118" s="9" t="s">
        <v>216</v>
      </c>
      <c r="B118" s="9" t="s">
        <v>164</v>
      </c>
      <c r="C118" s="9" t="s">
        <v>179</v>
      </c>
      <c r="D118" s="9">
        <v>13</v>
      </c>
      <c r="E118" s="9" t="s">
        <v>24</v>
      </c>
      <c r="F118" s="9" t="s">
        <v>215</v>
      </c>
      <c r="G118" s="2"/>
      <c r="H118" s="2"/>
      <c r="I118" s="2"/>
      <c r="J118" s="3"/>
      <c r="K118" s="2"/>
      <c r="L118" s="3"/>
      <c r="M118" s="3"/>
      <c r="N118" s="3"/>
      <c r="O118" s="3"/>
      <c r="P118" s="3"/>
      <c r="Q118" s="3"/>
      <c r="R118" s="3"/>
      <c r="S118" s="3"/>
      <c r="T118" s="3"/>
      <c r="U118" s="4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4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4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12"/>
      <c r="BI118" s="3"/>
      <c r="BJ118" s="3"/>
      <c r="BK118" s="3"/>
      <c r="BL118" s="3"/>
      <c r="BM118" s="3"/>
      <c r="BN118" s="3"/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/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1500</v>
      </c>
      <c r="CC118" s="3">
        <v>1500</v>
      </c>
      <c r="CD118" s="3">
        <v>1500</v>
      </c>
      <c r="CE118" s="3">
        <v>1500</v>
      </c>
      <c r="CF118" s="3">
        <v>1500</v>
      </c>
      <c r="CG118" s="3">
        <v>1500</v>
      </c>
      <c r="CH118" s="3">
        <v>1500</v>
      </c>
      <c r="CI118" s="3">
        <v>1500</v>
      </c>
      <c r="CJ118" s="3">
        <v>1500</v>
      </c>
      <c r="CK118" s="3">
        <v>1500</v>
      </c>
      <c r="CL118" s="3">
        <v>1500</v>
      </c>
      <c r="CM118" s="3">
        <v>1500</v>
      </c>
      <c r="CN118" s="3">
        <v>1650</v>
      </c>
      <c r="CO118" s="3">
        <v>1650</v>
      </c>
      <c r="CP118" s="3">
        <v>1650</v>
      </c>
      <c r="CQ118" s="3">
        <v>1650</v>
      </c>
      <c r="CR118" s="3">
        <v>1650</v>
      </c>
      <c r="CS118" s="3">
        <v>1650</v>
      </c>
      <c r="CT118" s="3">
        <v>1650</v>
      </c>
      <c r="CU118" s="3">
        <v>1650</v>
      </c>
      <c r="CV118" s="3">
        <v>1650</v>
      </c>
      <c r="CW118" s="3">
        <v>1650</v>
      </c>
      <c r="CX118" s="3">
        <v>1650</v>
      </c>
      <c r="CY118" s="3">
        <v>1650</v>
      </c>
      <c r="CZ118" s="3">
        <v>1650</v>
      </c>
      <c r="DA118" s="3">
        <v>1650</v>
      </c>
      <c r="DB118" s="3">
        <v>1650</v>
      </c>
      <c r="DC118" s="3">
        <v>1650</v>
      </c>
      <c r="DD118" s="3">
        <v>1650</v>
      </c>
      <c r="DE118" s="3">
        <v>1650</v>
      </c>
      <c r="DF118" s="3">
        <v>1650</v>
      </c>
      <c r="DG118" s="3">
        <v>1650</v>
      </c>
      <c r="DH118" s="3">
        <v>1650</v>
      </c>
      <c r="DI118" s="3">
        <v>1650</v>
      </c>
      <c r="DJ118" s="3">
        <v>1650</v>
      </c>
      <c r="DK118" s="3">
        <v>1650</v>
      </c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</row>
    <row r="119" spans="1:181" ht="15" x14ac:dyDescent="0.25">
      <c r="A119" s="9" t="s">
        <v>217</v>
      </c>
      <c r="B119" s="9" t="s">
        <v>164</v>
      </c>
      <c r="C119" s="9" t="s">
        <v>53</v>
      </c>
      <c r="D119" s="9">
        <v>12</v>
      </c>
      <c r="E119" s="9" t="s">
        <v>24</v>
      </c>
      <c r="F119" s="9" t="s">
        <v>218</v>
      </c>
      <c r="G119" s="2">
        <v>4600</v>
      </c>
      <c r="H119" s="2">
        <v>2000</v>
      </c>
      <c r="I119" s="2">
        <v>0</v>
      </c>
      <c r="J119" s="3"/>
      <c r="K119" s="2">
        <f t="shared" ref="K119:K120" si="145">SUM(G119:I119)</f>
        <v>6600</v>
      </c>
      <c r="L119" s="3"/>
      <c r="M119" s="3"/>
      <c r="N119" s="3"/>
      <c r="O119" s="3"/>
      <c r="P119" s="3"/>
      <c r="Q119" s="3"/>
      <c r="R119" s="3"/>
      <c r="S119" s="3"/>
      <c r="T119" s="3"/>
      <c r="U119" s="4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4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4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12"/>
      <c r="BI119" s="3"/>
      <c r="BJ119" s="3"/>
      <c r="BK119" s="3">
        <f>ROUND(2300/31*12,2)</f>
        <v>890.32</v>
      </c>
      <c r="BL119" s="3">
        <v>2300</v>
      </c>
      <c r="BM119" s="3">
        <v>2300</v>
      </c>
      <c r="BN119" s="3">
        <v>2300</v>
      </c>
      <c r="BO119" s="3">
        <v>2300</v>
      </c>
      <c r="BP119" s="3">
        <v>2300</v>
      </c>
      <c r="BQ119" s="3">
        <v>2300</v>
      </c>
      <c r="BR119" s="3">
        <v>2300</v>
      </c>
      <c r="BS119" s="3">
        <v>2300</v>
      </c>
      <c r="BT119" s="3">
        <v>2300</v>
      </c>
      <c r="BU119" s="3"/>
      <c r="BV119" s="3">
        <v>2300</v>
      </c>
      <c r="BW119" s="3">
        <v>2300</v>
      </c>
      <c r="BX119" s="3">
        <v>2300</v>
      </c>
      <c r="BY119" s="3">
        <v>2300</v>
      </c>
      <c r="BZ119" s="3">
        <v>2300</v>
      </c>
      <c r="CA119" s="3">
        <v>2300</v>
      </c>
      <c r="CB119" s="3">
        <v>2300</v>
      </c>
      <c r="CC119" s="3">
        <v>2300</v>
      </c>
      <c r="CD119" s="3">
        <v>2300</v>
      </c>
      <c r="CE119" s="3">
        <v>2300</v>
      </c>
      <c r="CF119" s="3">
        <v>2300</v>
      </c>
      <c r="CG119" s="3">
        <v>2300</v>
      </c>
      <c r="CH119" s="3">
        <v>2300</v>
      </c>
      <c r="CI119" s="3">
        <f>ROUND(2300/28*20+2530/28*8,2)</f>
        <v>2365.71</v>
      </c>
      <c r="CJ119" s="3">
        <v>2530</v>
      </c>
      <c r="CK119" s="3">
        <v>2530</v>
      </c>
      <c r="CL119" s="3">
        <v>2530</v>
      </c>
      <c r="CM119" s="3">
        <v>2530</v>
      </c>
      <c r="CN119" s="3">
        <v>2530</v>
      </c>
      <c r="CO119" s="3">
        <v>2530</v>
      </c>
      <c r="CP119" s="3">
        <v>2530</v>
      </c>
      <c r="CQ119" s="3">
        <v>2530</v>
      </c>
      <c r="CR119" s="3">
        <v>2530</v>
      </c>
      <c r="CS119" s="3">
        <v>2530</v>
      </c>
      <c r="CT119" s="3">
        <v>2530</v>
      </c>
      <c r="CU119" s="3">
        <f>ROUND(2530/29*20,2)</f>
        <v>1744.83</v>
      </c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</row>
    <row r="120" spans="1:181" ht="15" x14ac:dyDescent="0.25">
      <c r="A120" s="9" t="s">
        <v>219</v>
      </c>
      <c r="B120" s="9" t="s">
        <v>164</v>
      </c>
      <c r="C120" s="9" t="s">
        <v>50</v>
      </c>
      <c r="D120" s="9">
        <v>11</v>
      </c>
      <c r="E120" s="9" t="s">
        <v>24</v>
      </c>
      <c r="F120" s="9" t="s">
        <v>220</v>
      </c>
      <c r="G120" s="2">
        <v>11000</v>
      </c>
      <c r="H120" s="2">
        <v>2000</v>
      </c>
      <c r="I120" s="2">
        <v>0</v>
      </c>
      <c r="J120" s="3">
        <v>5500</v>
      </c>
      <c r="K120" s="2">
        <f t="shared" si="145"/>
        <v>13000</v>
      </c>
      <c r="L120" s="3"/>
      <c r="M120" s="3"/>
      <c r="N120" s="3"/>
      <c r="O120" s="3"/>
      <c r="P120" s="3"/>
      <c r="Q120" s="3"/>
      <c r="R120" s="3"/>
      <c r="S120" s="3"/>
      <c r="T120" s="3"/>
      <c r="U120" s="4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4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4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>
        <v>5500</v>
      </c>
      <c r="BH120" s="12"/>
      <c r="BI120" s="3">
        <v>5500</v>
      </c>
      <c r="BJ120" s="3">
        <v>5500</v>
      </c>
      <c r="BK120" s="3">
        <v>5500</v>
      </c>
      <c r="BL120" s="3">
        <v>5500</v>
      </c>
      <c r="BM120" s="3">
        <v>5500</v>
      </c>
      <c r="BN120" s="3">
        <v>5500</v>
      </c>
      <c r="BO120" s="3">
        <v>5500</v>
      </c>
      <c r="BP120" s="3">
        <v>5500</v>
      </c>
      <c r="BQ120" s="3">
        <v>5500</v>
      </c>
      <c r="BR120" s="3">
        <v>5500</v>
      </c>
      <c r="BS120" s="3">
        <v>5800</v>
      </c>
      <c r="BT120" s="3">
        <v>5800</v>
      </c>
      <c r="BU120" s="3"/>
      <c r="BV120" s="3">
        <v>5800</v>
      </c>
      <c r="BW120" s="3">
        <v>5800</v>
      </c>
      <c r="BX120" s="3">
        <v>5800</v>
      </c>
      <c r="BY120" s="3">
        <v>5800</v>
      </c>
      <c r="BZ120" s="3">
        <v>5800</v>
      </c>
      <c r="CA120" s="3">
        <v>5800</v>
      </c>
      <c r="CB120" s="3">
        <v>5800</v>
      </c>
      <c r="CC120" s="3">
        <v>5800</v>
      </c>
      <c r="CD120" s="3">
        <v>5800</v>
      </c>
      <c r="CE120" s="3">
        <v>5800</v>
      </c>
      <c r="CF120" s="3">
        <v>6000</v>
      </c>
      <c r="CG120" s="3">
        <v>6000</v>
      </c>
      <c r="CH120" s="3">
        <v>6000</v>
      </c>
      <c r="CI120" s="3">
        <v>6000</v>
      </c>
      <c r="CJ120" s="3">
        <v>6000</v>
      </c>
      <c r="CK120" s="3">
        <v>6000</v>
      </c>
      <c r="CL120" s="3">
        <v>6000</v>
      </c>
      <c r="CM120" s="3">
        <v>6000</v>
      </c>
      <c r="CN120" s="3">
        <v>6000</v>
      </c>
      <c r="CO120" s="3">
        <v>6000</v>
      </c>
      <c r="CP120" s="3">
        <v>6000</v>
      </c>
      <c r="CQ120" s="3">
        <v>6000</v>
      </c>
      <c r="CR120" s="3">
        <v>6600</v>
      </c>
      <c r="CS120" s="3">
        <v>6600</v>
      </c>
      <c r="CT120" s="3">
        <v>6600</v>
      </c>
      <c r="CU120" s="3">
        <v>6600</v>
      </c>
      <c r="CV120" s="3">
        <v>6600</v>
      </c>
      <c r="CW120" s="3">
        <v>6600</v>
      </c>
      <c r="CX120" s="3">
        <v>6600</v>
      </c>
      <c r="CY120" s="3">
        <v>6600</v>
      </c>
      <c r="CZ120" s="3">
        <v>6600</v>
      </c>
      <c r="DA120" s="3">
        <v>6600</v>
      </c>
      <c r="DB120" s="3">
        <v>6600</v>
      </c>
      <c r="DC120" s="3">
        <v>6600</v>
      </c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  <c r="DR120" s="3"/>
      <c r="DS120" s="3"/>
      <c r="DT120" s="3"/>
      <c r="DU120" s="3"/>
      <c r="DV120" s="3"/>
      <c r="DW120" s="3"/>
      <c r="DX120" s="3"/>
      <c r="DY120" s="3"/>
      <c r="DZ120" s="3"/>
      <c r="EA120" s="3"/>
      <c r="EB120" s="3"/>
      <c r="EC120" s="3"/>
      <c r="ED120" s="3"/>
      <c r="EE120" s="3"/>
      <c r="EF120" s="3"/>
      <c r="EG120" s="3"/>
      <c r="EH120" s="3"/>
      <c r="EI120" s="3"/>
      <c r="EJ120" s="3"/>
      <c r="EK120" s="3"/>
      <c r="EL120" s="3"/>
      <c r="EM120" s="3"/>
      <c r="EN120" s="3"/>
      <c r="EO120" s="3"/>
      <c r="EP120" s="3"/>
      <c r="EQ120" s="3"/>
      <c r="ER120" s="3"/>
      <c r="ES120" s="3"/>
      <c r="ET120" s="3"/>
      <c r="EU120" s="3"/>
      <c r="EV120" s="3"/>
      <c r="EW120" s="3"/>
      <c r="EX120" s="3"/>
      <c r="EY120" s="3"/>
      <c r="EZ120" s="3"/>
      <c r="FA120" s="3"/>
      <c r="FB120" s="3"/>
      <c r="FC120" s="3"/>
      <c r="FD120" s="3"/>
      <c r="FE120" s="3"/>
      <c r="FF120" s="3"/>
      <c r="FG120" s="3"/>
      <c r="FH120" s="3"/>
      <c r="FI120" s="3"/>
      <c r="FJ120" s="3"/>
      <c r="FK120" s="3"/>
      <c r="FL120" s="3"/>
      <c r="FM120" s="3"/>
      <c r="FN120" s="3"/>
      <c r="FO120" s="3"/>
      <c r="FP120" s="3"/>
      <c r="FQ120" s="3"/>
      <c r="FR120" s="3"/>
      <c r="FS120" s="3"/>
      <c r="FT120" s="3"/>
      <c r="FU120" s="3"/>
      <c r="FV120" s="3"/>
      <c r="FW120" s="3"/>
      <c r="FX120" s="3"/>
      <c r="FY120" s="3"/>
    </row>
    <row r="121" spans="1:181" ht="15" x14ac:dyDescent="0.25">
      <c r="G121" s="2"/>
      <c r="H121" s="2"/>
      <c r="I121" s="2"/>
      <c r="J121" s="2"/>
      <c r="K121" s="2"/>
      <c r="L121" s="3"/>
      <c r="M121" s="3"/>
      <c r="N121" s="3"/>
      <c r="O121" s="3"/>
      <c r="P121" s="3"/>
      <c r="Q121" s="3"/>
      <c r="R121" s="3"/>
      <c r="S121" s="3"/>
      <c r="T121" s="3"/>
      <c r="U121" s="4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4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4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12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</row>
    <row r="122" spans="1:181" ht="15" x14ac:dyDescent="0.25">
      <c r="A122" s="39" t="s">
        <v>221</v>
      </c>
      <c r="B122" s="38"/>
      <c r="C122" s="38"/>
      <c r="D122" s="38"/>
      <c r="E122" s="38"/>
      <c r="F122" s="38"/>
      <c r="G122" s="22"/>
      <c r="H122" s="22"/>
      <c r="I122" s="22"/>
      <c r="J122" s="22"/>
      <c r="K122" s="22"/>
      <c r="L122" s="23"/>
      <c r="M122" s="23"/>
      <c r="N122" s="23"/>
      <c r="O122" s="23"/>
      <c r="P122" s="23"/>
      <c r="Q122" s="23"/>
      <c r="R122" s="23"/>
      <c r="S122" s="23"/>
      <c r="T122" s="23"/>
      <c r="U122" s="24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4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4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5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3"/>
      <c r="CH122" s="23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23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3"/>
      <c r="DV122" s="23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23"/>
    </row>
    <row r="123" spans="1:181" ht="15" x14ac:dyDescent="0.25">
      <c r="G123" s="2"/>
      <c r="H123" s="2"/>
      <c r="I123" s="2"/>
      <c r="J123" s="2"/>
      <c r="K123" s="2"/>
      <c r="L123" s="3"/>
      <c r="M123" s="3"/>
      <c r="N123" s="3"/>
      <c r="O123" s="3"/>
      <c r="P123" s="3"/>
      <c r="Q123" s="3"/>
      <c r="R123" s="3"/>
      <c r="S123" s="3"/>
      <c r="T123" s="3"/>
      <c r="U123" s="4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4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4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12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</row>
    <row r="124" spans="1:181" ht="15" x14ac:dyDescent="0.25">
      <c r="A124" s="9"/>
      <c r="B124" s="9"/>
      <c r="F124" s="9"/>
      <c r="G124" s="2"/>
      <c r="H124" s="2"/>
      <c r="I124" s="2"/>
      <c r="J124" s="2"/>
      <c r="K124" s="2"/>
      <c r="L124" s="3"/>
      <c r="M124" s="11"/>
      <c r="N124" s="11"/>
      <c r="O124" s="11"/>
      <c r="P124" s="11"/>
      <c r="Q124" s="11"/>
      <c r="R124" s="11"/>
      <c r="S124" s="11"/>
      <c r="T124" s="11"/>
      <c r="U124" s="12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2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3"/>
      <c r="AT124" s="3"/>
      <c r="AU124" s="12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12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  <c r="DR124" s="3"/>
      <c r="DS124" s="3"/>
      <c r="DT124" s="3"/>
      <c r="DU124" s="3"/>
      <c r="DV124" s="3"/>
      <c r="DW124" s="3"/>
      <c r="DX124" s="3"/>
      <c r="DY124" s="3"/>
      <c r="DZ124" s="3"/>
      <c r="EA124" s="3"/>
      <c r="EB124" s="3"/>
      <c r="EC124" s="3"/>
      <c r="ED124" s="3"/>
      <c r="EE124" s="3"/>
      <c r="EF124" s="3"/>
      <c r="EG124" s="3"/>
      <c r="EH124" s="3"/>
      <c r="EI124" s="3"/>
      <c r="EJ124" s="3"/>
      <c r="EK124" s="3"/>
      <c r="EL124" s="3"/>
      <c r="EM124" s="3"/>
      <c r="EN124" s="3"/>
      <c r="EO124" s="3"/>
      <c r="EP124" s="3"/>
      <c r="EQ124" s="3"/>
      <c r="ER124" s="3"/>
      <c r="ES124" s="3"/>
      <c r="ET124" s="3"/>
      <c r="EU124" s="3"/>
      <c r="EV124" s="3"/>
      <c r="EW124" s="3"/>
      <c r="EX124" s="3"/>
      <c r="EY124" s="3"/>
      <c r="EZ124" s="3"/>
      <c r="FA124" s="3"/>
      <c r="FB124" s="3"/>
      <c r="FC124" s="3"/>
      <c r="FD124" s="3"/>
      <c r="FE124" s="3"/>
      <c r="FF124" s="3"/>
      <c r="FG124" s="3"/>
      <c r="FH124" s="3"/>
      <c r="FI124" s="3"/>
      <c r="FJ124" s="3"/>
      <c r="FK124" s="3"/>
      <c r="FL124" s="3"/>
      <c r="FM124" s="3"/>
      <c r="FN124" s="3"/>
      <c r="FO124" s="3"/>
      <c r="FP124" s="3"/>
      <c r="FQ124" s="3"/>
      <c r="FR124" s="3"/>
      <c r="FS124" s="3"/>
      <c r="FT124" s="3"/>
      <c r="FU124" s="3"/>
      <c r="FV124" s="3"/>
      <c r="FW124" s="3"/>
      <c r="FX124" s="3"/>
      <c r="FY124" s="3"/>
    </row>
    <row r="125" spans="1:181" ht="15" x14ac:dyDescent="0.25">
      <c r="A125" s="9"/>
      <c r="B125" s="9"/>
      <c r="F125" s="9"/>
      <c r="G125" s="2"/>
      <c r="H125" s="2"/>
      <c r="I125" s="2"/>
      <c r="J125" s="2"/>
      <c r="K125" s="2"/>
      <c r="L125" s="3"/>
      <c r="M125" s="11"/>
      <c r="N125" s="11"/>
      <c r="O125" s="11"/>
      <c r="P125" s="11"/>
      <c r="Q125" s="11"/>
      <c r="R125" s="11"/>
      <c r="S125" s="11"/>
      <c r="T125" s="11"/>
      <c r="U125" s="12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2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3"/>
      <c r="AT125" s="3"/>
      <c r="AU125" s="12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12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/>
      <c r="DY125" s="3"/>
      <c r="DZ125" s="3"/>
      <c r="EA125" s="3"/>
      <c r="EB125" s="3"/>
      <c r="EC125" s="3"/>
      <c r="ED125" s="3"/>
      <c r="EE125" s="3"/>
      <c r="EF125" s="3"/>
      <c r="EG125" s="3"/>
      <c r="EH125" s="3"/>
      <c r="EI125" s="3"/>
      <c r="EJ125" s="3"/>
      <c r="EK125" s="3"/>
      <c r="EL125" s="3"/>
      <c r="EM125" s="3"/>
      <c r="EN125" s="3"/>
      <c r="EO125" s="3"/>
      <c r="EP125" s="3"/>
      <c r="EQ125" s="3"/>
      <c r="ER125" s="3"/>
      <c r="ES125" s="3"/>
      <c r="ET125" s="3"/>
      <c r="EU125" s="3"/>
      <c r="EV125" s="3"/>
      <c r="EW125" s="3"/>
      <c r="EX125" s="3"/>
      <c r="EY125" s="3"/>
      <c r="EZ125" s="3"/>
      <c r="FA125" s="3"/>
      <c r="FB125" s="3"/>
      <c r="FC125" s="3"/>
      <c r="FD125" s="3"/>
      <c r="FE125" s="3"/>
      <c r="FF125" s="3"/>
      <c r="FG125" s="3"/>
      <c r="FH125" s="3"/>
      <c r="FI125" s="3"/>
      <c r="FJ125" s="3"/>
      <c r="FK125" s="3"/>
      <c r="FL125" s="3"/>
      <c r="FM125" s="3"/>
      <c r="FN125" s="3"/>
      <c r="FO125" s="3"/>
      <c r="FP125" s="3"/>
      <c r="FQ125" s="3"/>
      <c r="FR125" s="3"/>
      <c r="FS125" s="3"/>
      <c r="FT125" s="3"/>
      <c r="FU125" s="3"/>
      <c r="FV125" s="3"/>
      <c r="FW125" s="3"/>
      <c r="FX125" s="3"/>
      <c r="FY125" s="3"/>
    </row>
    <row r="126" spans="1:181" ht="15" x14ac:dyDescent="0.25">
      <c r="A126" s="9"/>
      <c r="B126" s="9"/>
      <c r="F126" s="9"/>
      <c r="G126" s="2"/>
      <c r="H126" s="2"/>
      <c r="I126" s="2"/>
      <c r="J126" s="2"/>
      <c r="K126" s="2"/>
      <c r="L126" s="3"/>
      <c r="M126" s="3"/>
      <c r="N126" s="3"/>
      <c r="O126" s="3"/>
      <c r="P126" s="3"/>
      <c r="Q126" s="3"/>
      <c r="R126" s="3"/>
      <c r="S126" s="3"/>
      <c r="T126" s="3"/>
      <c r="U126" s="4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4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4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4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  <c r="DR126" s="3"/>
      <c r="DS126" s="3"/>
      <c r="DT126" s="3"/>
      <c r="DU126" s="3"/>
      <c r="DV126" s="3"/>
      <c r="DW126" s="3"/>
      <c r="DX126" s="3"/>
      <c r="DY126" s="3"/>
      <c r="DZ126" s="3"/>
      <c r="EA126" s="3"/>
      <c r="EB126" s="3"/>
      <c r="EC126" s="3"/>
      <c r="ED126" s="3"/>
      <c r="EE126" s="3"/>
      <c r="EF126" s="3"/>
      <c r="EG126" s="3"/>
      <c r="EH126" s="3"/>
      <c r="EI126" s="3"/>
      <c r="EJ126" s="3"/>
      <c r="EK126" s="3"/>
      <c r="EL126" s="3"/>
      <c r="EM126" s="3"/>
      <c r="EN126" s="3"/>
      <c r="EO126" s="3"/>
      <c r="EP126" s="3"/>
      <c r="EQ126" s="3"/>
      <c r="ER126" s="3"/>
      <c r="ES126" s="3"/>
      <c r="ET126" s="3"/>
      <c r="EU126" s="3"/>
      <c r="EV126" s="3"/>
      <c r="EW126" s="3"/>
      <c r="EX126" s="3"/>
      <c r="EY126" s="3"/>
      <c r="EZ126" s="3"/>
      <c r="FA126" s="3"/>
      <c r="FB126" s="3"/>
      <c r="FC126" s="3"/>
      <c r="FD126" s="3"/>
      <c r="FE126" s="3"/>
      <c r="FF126" s="3"/>
      <c r="FG126" s="3"/>
      <c r="FH126" s="3"/>
      <c r="FI126" s="3"/>
      <c r="FJ126" s="3"/>
      <c r="FK126" s="3"/>
      <c r="FL126" s="3"/>
      <c r="FM126" s="3"/>
      <c r="FN126" s="3"/>
      <c r="FO126" s="3"/>
      <c r="FP126" s="3"/>
      <c r="FQ126" s="3"/>
      <c r="FR126" s="3"/>
      <c r="FS126" s="3"/>
      <c r="FT126" s="3"/>
      <c r="FU126" s="3"/>
      <c r="FV126" s="3"/>
      <c r="FW126" s="3"/>
      <c r="FX126" s="3"/>
      <c r="FY126" s="3"/>
    </row>
    <row r="127" spans="1:181" ht="15" x14ac:dyDescent="0.25">
      <c r="A127" s="9"/>
      <c r="B127" s="9"/>
      <c r="F127" s="9"/>
      <c r="G127" s="2"/>
      <c r="H127" s="2"/>
      <c r="I127" s="2"/>
      <c r="J127" s="2"/>
      <c r="K127" s="2"/>
      <c r="L127" s="3"/>
      <c r="M127" s="3"/>
      <c r="N127" s="3"/>
      <c r="O127" s="3"/>
      <c r="P127" s="3"/>
      <c r="Q127" s="3"/>
      <c r="R127" s="3"/>
      <c r="S127" s="3"/>
      <c r="T127" s="3"/>
      <c r="U127" s="4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4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4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4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</row>
    <row r="128" spans="1:181" ht="15" x14ac:dyDescent="0.25">
      <c r="A128" s="9"/>
      <c r="B128" s="9"/>
      <c r="F128" s="9"/>
      <c r="G128" s="2"/>
      <c r="H128" s="2"/>
      <c r="I128" s="2"/>
      <c r="J128" s="2"/>
      <c r="K128" s="2"/>
      <c r="L128" s="3"/>
      <c r="M128" s="11"/>
      <c r="N128" s="11"/>
      <c r="O128" s="3"/>
      <c r="P128" s="3"/>
      <c r="Q128" s="3"/>
      <c r="R128" s="3"/>
      <c r="S128" s="3"/>
      <c r="T128" s="3"/>
      <c r="U128" s="4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4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4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4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  <c r="DR128" s="3"/>
      <c r="DS128" s="3"/>
      <c r="DT128" s="3"/>
      <c r="DU128" s="3"/>
      <c r="DV128" s="3"/>
      <c r="DW128" s="3"/>
      <c r="DX128" s="3"/>
      <c r="DY128" s="3"/>
      <c r="DZ128" s="3"/>
      <c r="EA128" s="3"/>
      <c r="EB128" s="3"/>
      <c r="EC128" s="3"/>
      <c r="ED128" s="3"/>
      <c r="EE128" s="3"/>
      <c r="EF128" s="3"/>
      <c r="EG128" s="3"/>
      <c r="EH128" s="3"/>
      <c r="EI128" s="3"/>
      <c r="EJ128" s="3"/>
      <c r="EK128" s="3"/>
      <c r="EL128" s="3"/>
      <c r="EM128" s="3"/>
      <c r="EN128" s="3"/>
      <c r="EO128" s="3"/>
      <c r="EP128" s="3"/>
      <c r="EQ128" s="3"/>
      <c r="ER128" s="3"/>
      <c r="ES128" s="3"/>
      <c r="ET128" s="3"/>
      <c r="EU128" s="3"/>
      <c r="EV128" s="3"/>
      <c r="EW128" s="3"/>
      <c r="EX128" s="3"/>
      <c r="EY128" s="3"/>
      <c r="EZ128" s="3"/>
      <c r="FA128" s="3"/>
      <c r="FB128" s="3"/>
      <c r="FC128" s="3"/>
      <c r="FD128" s="3"/>
      <c r="FE128" s="3"/>
      <c r="FF128" s="3"/>
      <c r="FG128" s="3"/>
      <c r="FH128" s="3"/>
      <c r="FI128" s="3"/>
      <c r="FJ128" s="3"/>
      <c r="FK128" s="3"/>
      <c r="FL128" s="3"/>
      <c r="FM128" s="3"/>
      <c r="FN128" s="3"/>
      <c r="FO128" s="3"/>
      <c r="FP128" s="3"/>
      <c r="FQ128" s="3"/>
      <c r="FR128" s="3"/>
      <c r="FS128" s="3"/>
      <c r="FT128" s="3"/>
      <c r="FU128" s="3"/>
      <c r="FV128" s="3"/>
      <c r="FW128" s="3"/>
      <c r="FX128" s="3"/>
      <c r="FY128" s="3"/>
    </row>
    <row r="129" spans="1:181" ht="15" x14ac:dyDescent="0.25">
      <c r="A129" s="9"/>
      <c r="B129" s="9"/>
      <c r="F129" s="9"/>
      <c r="G129" s="2"/>
      <c r="H129" s="2"/>
      <c r="I129" s="2"/>
      <c r="J129" s="2"/>
      <c r="K129" s="2"/>
      <c r="L129" s="3"/>
      <c r="M129" s="3"/>
      <c r="N129" s="3"/>
      <c r="O129" s="3"/>
      <c r="P129" s="3"/>
      <c r="Q129" s="3"/>
      <c r="R129" s="3"/>
      <c r="S129" s="3"/>
      <c r="T129" s="3"/>
      <c r="U129" s="4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4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4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12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</row>
    <row r="130" spans="1:181" ht="15" x14ac:dyDescent="0.25">
      <c r="A130" s="9"/>
      <c r="B130" s="9"/>
      <c r="F130" s="9"/>
      <c r="G130" s="2"/>
      <c r="H130" s="2"/>
      <c r="I130" s="2"/>
      <c r="J130" s="2"/>
      <c r="K130" s="2"/>
      <c r="L130" s="3"/>
      <c r="M130" s="11"/>
      <c r="N130" s="11"/>
      <c r="O130" s="3"/>
      <c r="P130" s="3"/>
      <c r="Q130" s="3"/>
      <c r="R130" s="3"/>
      <c r="S130" s="3"/>
      <c r="T130" s="3"/>
      <c r="U130" s="4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4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4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4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</row>
    <row r="131" spans="1:181" ht="15" x14ac:dyDescent="0.25">
      <c r="A131" s="9"/>
      <c r="B131" s="9"/>
      <c r="F131" s="9"/>
      <c r="G131" s="2"/>
      <c r="H131" s="2"/>
      <c r="I131" s="2"/>
      <c r="J131" s="2"/>
      <c r="K131" s="2"/>
      <c r="L131" s="3"/>
      <c r="M131" s="11"/>
      <c r="N131" s="11"/>
      <c r="O131" s="3"/>
      <c r="P131" s="3"/>
      <c r="Q131" s="3"/>
      <c r="R131" s="3"/>
      <c r="S131" s="3"/>
      <c r="T131" s="3"/>
      <c r="U131" s="4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4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4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11"/>
      <c r="BG131" s="11"/>
      <c r="BH131" s="12"/>
      <c r="BI131" s="11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</row>
    <row r="132" spans="1:181" ht="15" x14ac:dyDescent="0.25">
      <c r="A132" s="9"/>
      <c r="B132" s="9"/>
      <c r="F132" s="9"/>
      <c r="G132" s="2"/>
      <c r="H132" s="2"/>
      <c r="I132" s="2"/>
      <c r="J132" s="2"/>
      <c r="K132" s="2"/>
      <c r="L132" s="3"/>
      <c r="M132" s="3"/>
      <c r="N132" s="3"/>
      <c r="O132" s="3"/>
      <c r="P132" s="3"/>
      <c r="Q132" s="3"/>
      <c r="R132" s="3"/>
      <c r="S132" s="3"/>
      <c r="T132" s="3"/>
      <c r="U132" s="4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4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4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4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</row>
    <row r="133" spans="1:181" ht="15" x14ac:dyDescent="0.25">
      <c r="A133" s="9"/>
      <c r="B133" s="9"/>
      <c r="F133" s="9"/>
      <c r="G133" s="2"/>
      <c r="H133" s="2"/>
      <c r="I133" s="2"/>
      <c r="J133" s="2"/>
      <c r="K133" s="2"/>
      <c r="L133" s="3"/>
      <c r="M133" s="11"/>
      <c r="N133" s="11"/>
      <c r="O133" s="3"/>
      <c r="P133" s="3"/>
      <c r="Q133" s="3"/>
      <c r="R133" s="3"/>
      <c r="S133" s="3"/>
      <c r="T133" s="3"/>
      <c r="U133" s="4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4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4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4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</row>
    <row r="134" spans="1:181" ht="15" x14ac:dyDescent="0.25">
      <c r="A134" s="9"/>
      <c r="B134" s="9"/>
      <c r="F134" s="9"/>
      <c r="G134" s="2"/>
      <c r="H134" s="2"/>
      <c r="I134" s="2"/>
      <c r="J134" s="2"/>
      <c r="K134" s="2"/>
      <c r="L134" s="3"/>
      <c r="M134" s="3"/>
      <c r="N134" s="3"/>
      <c r="O134" s="3"/>
      <c r="P134" s="3"/>
      <c r="Q134" s="3"/>
      <c r="R134" s="3"/>
      <c r="S134" s="3"/>
      <c r="T134" s="3"/>
      <c r="U134" s="4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4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4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4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</row>
    <row r="135" spans="1:181" ht="15" x14ac:dyDescent="0.25">
      <c r="A135" s="9"/>
      <c r="B135" s="9"/>
      <c r="F135" s="9"/>
      <c r="G135" s="2"/>
      <c r="H135" s="2"/>
      <c r="I135" s="2"/>
      <c r="J135" s="2"/>
      <c r="K135" s="2"/>
      <c r="L135" s="3"/>
      <c r="M135" s="3"/>
      <c r="N135" s="3"/>
      <c r="O135" s="3"/>
      <c r="P135" s="3"/>
      <c r="Q135" s="3"/>
      <c r="R135" s="3"/>
      <c r="S135" s="3"/>
      <c r="T135" s="3"/>
      <c r="U135" s="4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4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4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4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</row>
    <row r="136" spans="1:181" ht="15" x14ac:dyDescent="0.25">
      <c r="A136" s="9"/>
      <c r="B136" s="9"/>
      <c r="F136" s="9"/>
      <c r="G136" s="2"/>
      <c r="H136" s="2"/>
      <c r="I136" s="2"/>
      <c r="J136" s="2"/>
      <c r="K136" s="2"/>
      <c r="L136" s="3"/>
      <c r="M136" s="11"/>
      <c r="N136" s="11"/>
      <c r="O136" s="3"/>
      <c r="P136" s="3"/>
      <c r="Q136" s="3"/>
      <c r="R136" s="3"/>
      <c r="S136" s="3"/>
      <c r="T136" s="3"/>
      <c r="U136" s="4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4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4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4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</row>
    <row r="137" spans="1:181" ht="15" x14ac:dyDescent="0.25">
      <c r="A137" s="9"/>
      <c r="B137" s="9"/>
      <c r="F137" s="9"/>
      <c r="G137" s="2"/>
      <c r="H137" s="2"/>
      <c r="I137" s="2"/>
      <c r="J137" s="2"/>
      <c r="K137" s="2"/>
      <c r="L137" s="3"/>
      <c r="M137" s="3"/>
      <c r="N137" s="3"/>
      <c r="O137" s="3"/>
      <c r="P137" s="3"/>
      <c r="Q137" s="3"/>
      <c r="R137" s="3"/>
      <c r="S137" s="3"/>
      <c r="T137" s="3"/>
      <c r="U137" s="4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4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4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4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</row>
    <row r="138" spans="1:181" ht="15" x14ac:dyDescent="0.25">
      <c r="A138" s="9"/>
      <c r="B138" s="9"/>
      <c r="F138" s="9"/>
      <c r="G138" s="2"/>
      <c r="H138" s="2"/>
      <c r="I138" s="2"/>
      <c r="J138" s="2"/>
      <c r="K138" s="2"/>
      <c r="L138" s="3"/>
      <c r="M138" s="3"/>
      <c r="N138" s="3"/>
      <c r="O138" s="3"/>
      <c r="P138" s="3"/>
      <c r="Q138" s="3"/>
      <c r="R138" s="3"/>
      <c r="S138" s="3"/>
      <c r="T138" s="3"/>
      <c r="U138" s="4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4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4"/>
      <c r="AV138" s="3"/>
      <c r="AW138" s="3"/>
      <c r="AX138" s="3"/>
      <c r="AY138" s="3"/>
      <c r="AZ138" s="3"/>
      <c r="BA138" s="3"/>
      <c r="BB138" s="3"/>
      <c r="BC138" s="11"/>
      <c r="BD138" s="11"/>
      <c r="BE138" s="11"/>
      <c r="BF138" s="11"/>
      <c r="BG138" s="11"/>
      <c r="BH138" s="4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</row>
    <row r="139" spans="1:181" ht="15" x14ac:dyDescent="0.25">
      <c r="A139" s="9"/>
      <c r="B139" s="9"/>
      <c r="F139" s="9"/>
      <c r="G139" s="26"/>
      <c r="H139" s="26"/>
      <c r="I139" s="26"/>
      <c r="J139" s="26"/>
      <c r="K139" s="26"/>
      <c r="U139" s="4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4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4"/>
      <c r="AV139" s="3"/>
      <c r="AW139" s="3"/>
      <c r="AX139" s="3"/>
      <c r="AY139" s="11"/>
      <c r="AZ139" s="11"/>
      <c r="BA139" s="11"/>
      <c r="BB139" s="3"/>
      <c r="BC139" s="3"/>
      <c r="BD139" s="3"/>
      <c r="BE139" s="3"/>
      <c r="BF139" s="3"/>
      <c r="BG139" s="3"/>
      <c r="BH139" s="4"/>
      <c r="BI139" s="3"/>
      <c r="BJ139" s="3"/>
      <c r="BK139" s="3"/>
      <c r="BL139" s="3"/>
      <c r="FB139" s="3"/>
      <c r="FC139" s="3"/>
      <c r="FD139" s="3"/>
      <c r="FE139" s="3"/>
      <c r="FF139" s="3"/>
      <c r="FG139" s="3"/>
      <c r="FH139" s="3"/>
      <c r="FI139" s="3"/>
      <c r="FJ139" s="3"/>
      <c r="FK139" s="3"/>
      <c r="FL139" s="3"/>
      <c r="FM139" s="3"/>
      <c r="FN139" s="3"/>
      <c r="FO139" s="3"/>
      <c r="FP139" s="3"/>
      <c r="FQ139" s="3"/>
      <c r="FR139" s="3"/>
      <c r="FS139" s="3"/>
      <c r="FT139" s="3"/>
      <c r="FU139" s="3"/>
      <c r="FV139" s="3"/>
      <c r="FW139" s="3"/>
      <c r="FX139" s="3"/>
      <c r="FY139" s="3"/>
    </row>
    <row r="140" spans="1:181" ht="15" x14ac:dyDescent="0.25">
      <c r="A140" s="9"/>
      <c r="B140" s="9"/>
      <c r="F140" s="9"/>
      <c r="G140" s="2"/>
      <c r="H140" s="2"/>
      <c r="I140" s="2"/>
      <c r="J140" s="2"/>
      <c r="K140" s="2"/>
      <c r="L140" s="3"/>
      <c r="M140" s="3"/>
      <c r="N140" s="3"/>
      <c r="O140" s="3"/>
      <c r="P140" s="3"/>
      <c r="Q140" s="3"/>
      <c r="R140" s="3"/>
      <c r="S140" s="3"/>
      <c r="T140" s="3"/>
      <c r="U140" s="4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4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4"/>
      <c r="AV140" s="3"/>
      <c r="AW140" s="3"/>
      <c r="AX140" s="3"/>
      <c r="AY140" s="3"/>
      <c r="AZ140" s="11"/>
      <c r="BA140" s="11"/>
      <c r="BB140" s="11"/>
      <c r="BC140" s="11"/>
      <c r="BD140" s="11"/>
      <c r="BE140" s="11"/>
      <c r="BF140" s="11"/>
      <c r="BG140" s="11"/>
      <c r="BH140" s="12"/>
      <c r="BI140" s="11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</row>
    <row r="141" spans="1:181" ht="15" x14ac:dyDescent="0.25">
      <c r="A141" s="9"/>
      <c r="B141" s="9"/>
      <c r="F141" s="9"/>
      <c r="G141" s="2"/>
      <c r="H141" s="2"/>
      <c r="I141" s="2"/>
      <c r="J141" s="2"/>
      <c r="K141" s="2"/>
      <c r="L141" s="3"/>
      <c r="M141" s="3"/>
      <c r="N141" s="3"/>
      <c r="O141" s="3"/>
      <c r="P141" s="3"/>
      <c r="Q141" s="3"/>
      <c r="R141" s="3"/>
      <c r="S141" s="3"/>
      <c r="T141" s="3"/>
      <c r="U141" s="4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4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4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12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</row>
    <row r="142" spans="1:181" ht="15" x14ac:dyDescent="0.25">
      <c r="A142" s="9"/>
      <c r="B142" s="10"/>
      <c r="F142" s="9"/>
      <c r="G142" s="2"/>
      <c r="H142" s="2"/>
      <c r="I142" s="2"/>
      <c r="J142" s="2"/>
      <c r="K142" s="2"/>
      <c r="L142" s="3"/>
      <c r="M142" s="3"/>
      <c r="N142" s="3"/>
      <c r="O142" s="3"/>
      <c r="P142" s="3"/>
      <c r="Q142" s="3"/>
      <c r="R142" s="3"/>
      <c r="S142" s="3"/>
      <c r="T142" s="3"/>
      <c r="U142" s="4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4"/>
      <c r="AI142" s="3"/>
      <c r="AJ142" s="3"/>
      <c r="AK142" s="3"/>
      <c r="AL142" s="3"/>
      <c r="AM142" s="3"/>
      <c r="AN142" s="3"/>
      <c r="AO142" s="3"/>
      <c r="AP142" s="3"/>
      <c r="AQ142" s="3"/>
      <c r="AR142" s="11"/>
      <c r="AS142" s="3"/>
      <c r="AT142" s="3"/>
      <c r="AU142" s="4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12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</row>
    <row r="143" spans="1:181" ht="15" x14ac:dyDescent="0.25">
      <c r="A143" s="9"/>
      <c r="B143" s="10"/>
      <c r="F143" s="9"/>
      <c r="G143" s="2"/>
      <c r="H143" s="2"/>
      <c r="I143" s="2"/>
      <c r="J143" s="2"/>
      <c r="K143" s="2"/>
      <c r="L143" s="3"/>
      <c r="M143" s="3"/>
      <c r="N143" s="3"/>
      <c r="O143" s="3"/>
      <c r="P143" s="3"/>
      <c r="Q143" s="3"/>
      <c r="R143" s="3"/>
      <c r="S143" s="3"/>
      <c r="T143" s="3"/>
      <c r="U143" s="4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4"/>
      <c r="AI143" s="3"/>
      <c r="AJ143" s="3"/>
      <c r="AK143" s="3"/>
      <c r="AL143" s="3"/>
      <c r="AM143" s="3"/>
      <c r="AN143" s="3"/>
      <c r="AO143" s="3"/>
      <c r="AP143" s="3"/>
      <c r="AQ143" s="3"/>
      <c r="AR143" s="11"/>
      <c r="AS143" s="3"/>
      <c r="AT143" s="3"/>
      <c r="AU143" s="4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4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</row>
    <row r="144" spans="1:181" ht="15" x14ac:dyDescent="0.25">
      <c r="A144" s="9"/>
      <c r="B144" s="10"/>
      <c r="F144" s="9"/>
      <c r="G144" s="2"/>
      <c r="H144" s="2"/>
      <c r="I144" s="2"/>
      <c r="J144" s="2"/>
      <c r="K144" s="2"/>
      <c r="L144" s="3"/>
      <c r="M144" s="3"/>
      <c r="N144" s="3"/>
      <c r="O144" s="3"/>
      <c r="P144" s="3"/>
      <c r="Q144" s="3"/>
      <c r="R144" s="23"/>
      <c r="S144" s="23"/>
      <c r="T144" s="3"/>
      <c r="U144" s="4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4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4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4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</row>
    <row r="145" spans="1:181" ht="15" x14ac:dyDescent="0.25">
      <c r="A145" s="9"/>
      <c r="B145" s="10"/>
      <c r="F145" s="9"/>
      <c r="G145" s="2"/>
      <c r="H145" s="2"/>
      <c r="I145" s="2"/>
      <c r="J145" s="2"/>
      <c r="K145" s="2"/>
      <c r="L145" s="3"/>
      <c r="M145" s="3"/>
      <c r="N145" s="3"/>
      <c r="O145" s="3"/>
      <c r="P145" s="3"/>
      <c r="Q145" s="3"/>
      <c r="R145" s="3"/>
      <c r="S145" s="3"/>
      <c r="T145" s="3"/>
      <c r="U145" s="4"/>
      <c r="V145" s="3"/>
      <c r="W145" s="3"/>
      <c r="X145" s="3"/>
      <c r="Y145" s="3"/>
      <c r="Z145" s="3"/>
      <c r="AA145" s="3"/>
      <c r="AB145" s="3"/>
      <c r="AC145" s="3"/>
      <c r="AD145" s="3"/>
      <c r="AE145" s="11"/>
      <c r="AF145" s="11"/>
      <c r="AG145" s="11"/>
      <c r="AH145" s="4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3"/>
      <c r="AT145" s="3"/>
      <c r="AU145" s="4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4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</row>
    <row r="146" spans="1:181" ht="15" x14ac:dyDescent="0.25">
      <c r="A146" s="9"/>
      <c r="B146" s="10"/>
      <c r="F146" s="9"/>
      <c r="G146" s="2"/>
      <c r="H146" s="2"/>
      <c r="I146" s="2"/>
      <c r="J146" s="2"/>
      <c r="K146" s="2"/>
      <c r="L146" s="3"/>
      <c r="M146" s="3"/>
      <c r="N146" s="3"/>
      <c r="O146" s="3"/>
      <c r="P146" s="3"/>
      <c r="Q146" s="3"/>
      <c r="R146" s="3"/>
      <c r="S146" s="3"/>
      <c r="T146" s="3"/>
      <c r="U146" s="4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4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4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4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</row>
    <row r="147" spans="1:181" ht="15" x14ac:dyDescent="0.25">
      <c r="A147" s="9"/>
      <c r="B147" s="10"/>
      <c r="F147" s="9"/>
      <c r="G147" s="2"/>
      <c r="H147" s="2"/>
      <c r="I147" s="2"/>
      <c r="J147" s="2"/>
      <c r="K147" s="2"/>
      <c r="L147" s="3"/>
      <c r="M147" s="3"/>
      <c r="N147" s="3"/>
      <c r="O147" s="3"/>
      <c r="P147" s="3"/>
      <c r="Q147" s="3"/>
      <c r="R147" s="3"/>
      <c r="S147" s="3"/>
      <c r="T147" s="3"/>
      <c r="U147" s="4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4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4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4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</row>
    <row r="148" spans="1:181" ht="15" x14ac:dyDescent="0.25">
      <c r="A148" s="9"/>
      <c r="B148" s="10"/>
      <c r="F148" s="9"/>
      <c r="G148" s="2"/>
      <c r="H148" s="2"/>
      <c r="I148" s="2"/>
      <c r="J148" s="2"/>
      <c r="K148" s="2"/>
      <c r="L148" s="3"/>
      <c r="M148" s="3"/>
      <c r="N148" s="3"/>
      <c r="O148" s="3"/>
      <c r="P148" s="3"/>
      <c r="Q148" s="3"/>
      <c r="R148" s="3"/>
      <c r="S148" s="3"/>
      <c r="T148" s="3"/>
      <c r="U148" s="4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4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4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12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</row>
    <row r="149" spans="1:181" ht="15" x14ac:dyDescent="0.25">
      <c r="A149" s="9"/>
      <c r="B149" s="10"/>
      <c r="F149" s="9"/>
      <c r="G149" s="2"/>
      <c r="H149" s="2"/>
      <c r="I149" s="2"/>
      <c r="J149" s="2"/>
      <c r="K149" s="2"/>
      <c r="L149" s="3"/>
      <c r="M149" s="3"/>
      <c r="N149" s="3"/>
      <c r="O149" s="3"/>
      <c r="P149" s="3"/>
      <c r="Q149" s="3"/>
      <c r="R149" s="3"/>
      <c r="S149" s="3"/>
      <c r="T149" s="3"/>
      <c r="U149" s="4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4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4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4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</row>
    <row r="150" spans="1:181" ht="15" x14ac:dyDescent="0.25">
      <c r="A150" s="9"/>
      <c r="B150" s="10"/>
      <c r="F150" s="9"/>
      <c r="G150" s="2"/>
      <c r="H150" s="2"/>
      <c r="I150" s="2"/>
      <c r="J150" s="2"/>
      <c r="K150" s="2"/>
      <c r="L150" s="3"/>
      <c r="M150" s="3"/>
      <c r="N150" s="3"/>
      <c r="O150" s="3"/>
      <c r="P150" s="3"/>
      <c r="Q150" s="3"/>
      <c r="R150" s="3"/>
      <c r="S150" s="3"/>
      <c r="T150" s="3"/>
      <c r="U150" s="4"/>
      <c r="V150" s="3"/>
      <c r="W150" s="3"/>
      <c r="X150" s="3"/>
      <c r="Y150" s="3"/>
      <c r="Z150" s="3"/>
      <c r="AA150" s="3"/>
      <c r="AB150" s="3"/>
      <c r="AC150" s="11"/>
      <c r="AD150" s="3"/>
      <c r="AE150" s="3"/>
      <c r="AF150" s="3"/>
      <c r="AG150" s="3"/>
      <c r="AH150" s="4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4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4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</row>
    <row r="151" spans="1:181" ht="15" x14ac:dyDescent="0.25">
      <c r="A151" s="9"/>
      <c r="B151" s="10"/>
      <c r="F151" s="9"/>
      <c r="G151" s="2"/>
      <c r="H151" s="2"/>
      <c r="I151" s="2"/>
      <c r="J151" s="2"/>
      <c r="K151" s="2"/>
      <c r="L151" s="3"/>
      <c r="M151" s="3"/>
      <c r="N151" s="3"/>
      <c r="O151" s="3"/>
      <c r="P151" s="3"/>
      <c r="Q151" s="3"/>
      <c r="R151" s="3"/>
      <c r="S151" s="3"/>
      <c r="T151" s="3"/>
      <c r="U151" s="4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4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4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4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</row>
    <row r="152" spans="1:181" ht="15" x14ac:dyDescent="0.25">
      <c r="A152" s="9"/>
      <c r="B152" s="10"/>
      <c r="F152" s="9"/>
      <c r="G152" s="2"/>
      <c r="H152" s="2"/>
      <c r="I152" s="2"/>
      <c r="J152" s="2"/>
      <c r="K152" s="2"/>
      <c r="L152" s="3"/>
      <c r="M152" s="3"/>
      <c r="N152" s="3"/>
      <c r="O152" s="3"/>
      <c r="P152" s="3"/>
      <c r="Q152" s="3"/>
      <c r="R152" s="3"/>
      <c r="S152" s="3"/>
      <c r="T152" s="3"/>
      <c r="U152" s="4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4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4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11"/>
      <c r="BG152" s="3"/>
      <c r="BH152" s="4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</row>
    <row r="153" spans="1:181" ht="15" x14ac:dyDescent="0.25">
      <c r="A153" s="9"/>
      <c r="B153" s="10"/>
      <c r="F153" s="9"/>
      <c r="G153" s="2"/>
      <c r="H153" s="2"/>
      <c r="I153" s="2"/>
      <c r="J153" s="2"/>
      <c r="K153" s="2"/>
      <c r="L153" s="3"/>
      <c r="M153" s="3"/>
      <c r="N153" s="3"/>
      <c r="O153" s="3"/>
      <c r="P153" s="3"/>
      <c r="Q153" s="3"/>
      <c r="R153" s="23"/>
      <c r="S153" s="23"/>
      <c r="T153" s="3"/>
      <c r="U153" s="4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4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4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4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</row>
    <row r="154" spans="1:181" ht="15" x14ac:dyDescent="0.25">
      <c r="A154" s="9"/>
      <c r="B154" s="10"/>
      <c r="F154" s="9"/>
      <c r="G154" s="2"/>
      <c r="H154" s="2"/>
      <c r="I154" s="2"/>
      <c r="J154" s="2"/>
      <c r="K154" s="2"/>
      <c r="L154" s="11"/>
      <c r="M154" s="11"/>
      <c r="N154" s="11"/>
      <c r="O154" s="11"/>
      <c r="P154" s="11"/>
      <c r="Q154" s="3"/>
      <c r="R154" s="3"/>
      <c r="S154" s="3"/>
      <c r="T154" s="3"/>
      <c r="U154" s="4"/>
      <c r="V154" s="3"/>
      <c r="W154" s="3"/>
      <c r="X154" s="3"/>
      <c r="Y154" s="3"/>
      <c r="Z154" s="3"/>
      <c r="AA154" s="3"/>
      <c r="AB154" s="3"/>
      <c r="AC154" s="3"/>
      <c r="AD154" s="11"/>
      <c r="AE154" s="11"/>
      <c r="AF154" s="11"/>
      <c r="AG154" s="11"/>
      <c r="AH154" s="4"/>
      <c r="AI154" s="11"/>
      <c r="AJ154" s="11"/>
      <c r="AK154" s="11"/>
      <c r="AL154" s="3"/>
      <c r="AM154" s="3"/>
      <c r="AN154" s="3"/>
      <c r="AO154" s="3"/>
      <c r="AP154" s="3"/>
      <c r="AQ154" s="3"/>
      <c r="AR154" s="3"/>
      <c r="AS154" s="3"/>
      <c r="AT154" s="3"/>
      <c r="AU154" s="4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4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</row>
    <row r="155" spans="1:181" ht="15" x14ac:dyDescent="0.25">
      <c r="A155" s="9"/>
      <c r="B155" s="10"/>
      <c r="F155" s="9"/>
      <c r="G155" s="2"/>
      <c r="H155" s="2"/>
      <c r="I155" s="2"/>
      <c r="J155" s="2"/>
      <c r="K155" s="2"/>
      <c r="L155" s="3"/>
      <c r="M155" s="3"/>
      <c r="N155" s="3"/>
      <c r="O155" s="3"/>
      <c r="P155" s="3"/>
      <c r="Q155" s="3"/>
      <c r="R155" s="3"/>
      <c r="S155" s="3"/>
      <c r="T155" s="3"/>
      <c r="U155" s="4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4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4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4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</row>
    <row r="156" spans="1:181" ht="15" x14ac:dyDescent="0.25">
      <c r="A156" s="9"/>
      <c r="B156" s="10"/>
      <c r="F156" s="9"/>
      <c r="G156" s="2"/>
      <c r="H156" s="2"/>
      <c r="I156" s="2"/>
      <c r="J156" s="2"/>
      <c r="K156" s="2"/>
      <c r="L156" s="11"/>
      <c r="M156" s="11"/>
      <c r="N156" s="11"/>
      <c r="O156" s="11"/>
      <c r="P156" s="11"/>
      <c r="Q156" s="11"/>
      <c r="R156" s="11"/>
      <c r="S156" s="11"/>
      <c r="T156" s="11"/>
      <c r="U156" s="12"/>
      <c r="V156" s="11"/>
      <c r="W156" s="11"/>
      <c r="X156" s="11"/>
      <c r="Y156" s="11"/>
      <c r="Z156" s="11"/>
      <c r="AA156" s="11"/>
      <c r="AB156" s="11"/>
      <c r="AC156" s="3"/>
      <c r="AD156" s="3"/>
      <c r="AE156" s="3"/>
      <c r="AF156" s="3"/>
      <c r="AG156" s="3"/>
      <c r="AH156" s="4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4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4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</row>
    <row r="157" spans="1:181" ht="15" x14ac:dyDescent="0.25">
      <c r="A157" s="9"/>
      <c r="B157" s="10"/>
      <c r="F157" s="9"/>
      <c r="G157" s="2"/>
      <c r="H157" s="2"/>
      <c r="I157" s="2"/>
      <c r="J157" s="2"/>
      <c r="K157" s="2"/>
      <c r="L157" s="3"/>
      <c r="M157" s="3"/>
      <c r="N157" s="3"/>
      <c r="O157" s="3"/>
      <c r="P157" s="3"/>
      <c r="Q157" s="3"/>
      <c r="R157" s="3"/>
      <c r="S157" s="3"/>
      <c r="T157" s="3"/>
      <c r="U157" s="4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4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4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4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  <c r="DR157" s="3"/>
      <c r="DS157" s="3"/>
      <c r="DT157" s="3"/>
      <c r="DU157" s="3"/>
      <c r="DV157" s="3"/>
      <c r="DW157" s="3"/>
      <c r="DX157" s="3"/>
      <c r="DY157" s="3"/>
      <c r="DZ157" s="3"/>
      <c r="EA157" s="3"/>
      <c r="EB157" s="3"/>
      <c r="EC157" s="3"/>
      <c r="ED157" s="3"/>
      <c r="EE157" s="3"/>
      <c r="EF157" s="3"/>
      <c r="EG157" s="3"/>
      <c r="EH157" s="3"/>
      <c r="EI157" s="3"/>
      <c r="EJ157" s="3"/>
      <c r="EK157" s="3"/>
      <c r="EL157" s="3"/>
      <c r="EM157" s="3"/>
      <c r="EN157" s="3"/>
      <c r="EO157" s="3"/>
      <c r="EP157" s="3"/>
      <c r="EQ157" s="3"/>
      <c r="ER157" s="3"/>
      <c r="ES157" s="3"/>
      <c r="ET157" s="3"/>
      <c r="EU157" s="3"/>
      <c r="EV157" s="3"/>
      <c r="EW157" s="3"/>
      <c r="EX157" s="3"/>
      <c r="EY157" s="3"/>
      <c r="EZ157" s="3"/>
      <c r="FA157" s="3"/>
      <c r="FB157" s="3"/>
      <c r="FC157" s="3"/>
      <c r="FD157" s="3"/>
      <c r="FE157" s="3"/>
      <c r="FF157" s="3"/>
      <c r="FG157" s="3"/>
      <c r="FH157" s="3"/>
      <c r="FI157" s="3"/>
      <c r="FJ157" s="3"/>
      <c r="FK157" s="3"/>
      <c r="FL157" s="3"/>
      <c r="FM157" s="3"/>
      <c r="FN157" s="3"/>
      <c r="FO157" s="3"/>
      <c r="FP157" s="3"/>
      <c r="FQ157" s="3"/>
      <c r="FR157" s="3"/>
      <c r="FS157" s="3"/>
      <c r="FT157" s="3"/>
      <c r="FU157" s="3"/>
      <c r="FV157" s="3"/>
      <c r="FW157" s="3"/>
      <c r="FX157" s="3"/>
      <c r="FY157" s="3"/>
    </row>
    <row r="158" spans="1:181" ht="15" x14ac:dyDescent="0.25">
      <c r="A158" s="9"/>
      <c r="B158" s="10"/>
      <c r="F158" s="9"/>
      <c r="G158" s="2"/>
      <c r="H158" s="2"/>
      <c r="I158" s="2"/>
      <c r="J158" s="2"/>
      <c r="K158" s="2"/>
      <c r="L158" s="3"/>
      <c r="M158" s="3"/>
      <c r="N158" s="3"/>
      <c r="O158" s="3"/>
      <c r="P158" s="3"/>
      <c r="Q158" s="3"/>
      <c r="R158" s="3"/>
      <c r="S158" s="3"/>
      <c r="T158" s="3"/>
      <c r="U158" s="4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4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4"/>
      <c r="AV158" s="3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4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</row>
    <row r="159" spans="1:181" ht="15" x14ac:dyDescent="0.25">
      <c r="A159" s="9"/>
      <c r="B159" s="10"/>
      <c r="F159" s="9"/>
      <c r="G159" s="2"/>
      <c r="H159" s="2"/>
      <c r="I159" s="2"/>
      <c r="J159" s="2"/>
      <c r="K159" s="2"/>
      <c r="L159" s="3"/>
      <c r="M159" s="3"/>
      <c r="N159" s="3"/>
      <c r="O159" s="3"/>
      <c r="P159" s="11"/>
      <c r="Q159" s="11"/>
      <c r="R159" s="11"/>
      <c r="S159" s="11"/>
      <c r="T159" s="11"/>
      <c r="U159" s="12"/>
      <c r="V159" s="11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4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4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4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</row>
    <row r="160" spans="1:181" ht="15" x14ac:dyDescent="0.25">
      <c r="A160" s="9"/>
      <c r="B160" s="10"/>
      <c r="F160" s="9"/>
      <c r="G160" s="2"/>
      <c r="H160" s="2"/>
      <c r="I160" s="2"/>
      <c r="J160" s="2"/>
      <c r="K160" s="2"/>
      <c r="L160" s="11"/>
      <c r="M160" s="11"/>
      <c r="N160" s="11"/>
      <c r="O160" s="11"/>
      <c r="P160" s="11"/>
      <c r="Q160" s="11"/>
      <c r="R160" s="11"/>
      <c r="S160" s="11"/>
      <c r="T160" s="11"/>
      <c r="U160" s="12"/>
      <c r="V160" s="11"/>
      <c r="W160" s="11"/>
      <c r="X160" s="11"/>
      <c r="Y160" s="11"/>
      <c r="Z160" s="11"/>
      <c r="AA160" s="11"/>
      <c r="AB160" s="11"/>
      <c r="AC160" s="11"/>
      <c r="AD160" s="11"/>
      <c r="AE160" s="3"/>
      <c r="AF160" s="3"/>
      <c r="AG160" s="3"/>
      <c r="AH160" s="4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4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4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</row>
    <row r="161" spans="1:181" ht="15" x14ac:dyDescent="0.25">
      <c r="A161" s="9"/>
      <c r="B161" s="10"/>
      <c r="E161" s="27"/>
      <c r="F161" s="27"/>
      <c r="G161" s="2"/>
      <c r="H161" s="2"/>
      <c r="I161" s="2"/>
      <c r="J161" s="2"/>
      <c r="K161" s="2"/>
      <c r="L161" s="3"/>
      <c r="M161" s="3"/>
      <c r="N161" s="3"/>
      <c r="O161" s="3"/>
      <c r="P161" s="3"/>
      <c r="Q161" s="3"/>
      <c r="R161" s="3"/>
      <c r="S161" s="3"/>
      <c r="T161" s="3"/>
      <c r="U161" s="4"/>
      <c r="V161" s="3"/>
      <c r="W161" s="3"/>
      <c r="X161" s="3"/>
      <c r="Y161" s="3"/>
      <c r="Z161" s="3"/>
      <c r="AA161" s="3"/>
      <c r="AB161" s="11"/>
      <c r="AC161" s="3"/>
      <c r="AD161" s="3"/>
      <c r="AE161" s="3"/>
      <c r="AF161" s="3"/>
      <c r="AG161" s="3"/>
      <c r="AH161" s="4"/>
      <c r="AI161" s="3"/>
      <c r="AJ161" s="3"/>
      <c r="AK161" s="3"/>
      <c r="AL161" s="3"/>
      <c r="AM161" s="3"/>
      <c r="AN161" s="3"/>
      <c r="AO161" s="3"/>
      <c r="AP161" s="11"/>
      <c r="AQ161" s="11"/>
      <c r="AR161" s="11"/>
      <c r="AS161" s="11"/>
      <c r="AT161" s="11"/>
      <c r="AU161" s="4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2"/>
      <c r="BI161" s="11"/>
      <c r="BJ161" s="11"/>
      <c r="BK161" s="11"/>
      <c r="BL161" s="11"/>
      <c r="BM161" s="11"/>
      <c r="BN161" s="11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</row>
    <row r="162" spans="1:181" ht="15" x14ac:dyDescent="0.25">
      <c r="A162" s="9"/>
      <c r="B162" s="10"/>
      <c r="E162" s="27"/>
      <c r="F162" s="27"/>
      <c r="G162" s="2"/>
      <c r="H162" s="2"/>
      <c r="I162" s="2"/>
      <c r="J162" s="2"/>
      <c r="K162" s="2"/>
      <c r="L162" s="3"/>
      <c r="M162" s="3"/>
      <c r="N162" s="3"/>
      <c r="O162" s="3"/>
      <c r="P162" s="3"/>
      <c r="Q162" s="3"/>
      <c r="R162" s="3"/>
      <c r="S162" s="3"/>
      <c r="T162" s="3"/>
      <c r="U162" s="4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4"/>
      <c r="AI162" s="3"/>
      <c r="AJ162" s="3"/>
      <c r="AK162" s="3"/>
      <c r="AL162" s="3"/>
      <c r="AM162" s="3"/>
      <c r="AN162" s="3"/>
      <c r="AO162" s="11"/>
      <c r="AP162" s="11"/>
      <c r="AQ162" s="11"/>
      <c r="AR162" s="3"/>
      <c r="AS162" s="3"/>
      <c r="AT162" s="3"/>
      <c r="AU162" s="4"/>
      <c r="AV162" s="3"/>
      <c r="AW162" s="3"/>
      <c r="AX162" s="3"/>
      <c r="AY162" s="3"/>
      <c r="AZ162" s="3"/>
      <c r="BA162" s="3"/>
      <c r="BB162" s="3"/>
      <c r="BC162" s="3"/>
      <c r="BD162" s="3"/>
      <c r="BE162" s="11"/>
      <c r="BF162" s="11"/>
      <c r="BG162" s="11"/>
      <c r="BH162" s="12"/>
      <c r="BI162" s="11"/>
      <c r="BJ162" s="11"/>
      <c r="BK162" s="11"/>
      <c r="BL162" s="11"/>
      <c r="BM162" s="11"/>
      <c r="BN162" s="11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</row>
    <row r="163" spans="1:181" ht="15" x14ac:dyDescent="0.25">
      <c r="A163" s="9"/>
      <c r="B163" s="10"/>
      <c r="F163" s="9"/>
      <c r="G163" s="2"/>
      <c r="H163" s="2"/>
      <c r="I163" s="2"/>
      <c r="J163" s="2"/>
      <c r="K163" s="2"/>
      <c r="L163" s="3"/>
      <c r="M163" s="3"/>
      <c r="N163" s="3"/>
      <c r="O163" s="3"/>
      <c r="P163" s="3"/>
      <c r="Q163" s="3"/>
      <c r="R163" s="3"/>
      <c r="S163" s="3"/>
      <c r="T163" s="3"/>
      <c r="U163" s="4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4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4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4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</row>
    <row r="164" spans="1:181" ht="15" x14ac:dyDescent="0.25">
      <c r="A164" s="9"/>
      <c r="B164" s="10"/>
      <c r="F164" s="9"/>
      <c r="G164" s="2"/>
      <c r="H164" s="2"/>
      <c r="I164" s="2"/>
      <c r="J164" s="2"/>
      <c r="K164" s="2"/>
      <c r="L164" s="3"/>
      <c r="M164" s="3"/>
      <c r="N164" s="3"/>
      <c r="O164" s="3"/>
      <c r="P164" s="3"/>
      <c r="Q164" s="3"/>
      <c r="R164" s="3"/>
      <c r="S164" s="3"/>
      <c r="T164" s="3"/>
      <c r="U164" s="4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11"/>
      <c r="AH164" s="4"/>
      <c r="AI164" s="11"/>
      <c r="AJ164" s="11"/>
      <c r="AK164" s="11"/>
      <c r="AL164" s="3"/>
      <c r="AM164" s="3"/>
      <c r="AN164" s="3"/>
      <c r="AO164" s="3"/>
      <c r="AP164" s="3"/>
      <c r="AQ164" s="3"/>
      <c r="AR164" s="3"/>
      <c r="AS164" s="3"/>
      <c r="AT164" s="3"/>
      <c r="AU164" s="4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4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</row>
    <row r="165" spans="1:181" ht="15" x14ac:dyDescent="0.25">
      <c r="A165" s="9"/>
      <c r="B165" s="10"/>
      <c r="F165" s="9"/>
      <c r="G165" s="2"/>
      <c r="H165" s="2"/>
      <c r="I165" s="2"/>
      <c r="J165" s="2"/>
      <c r="K165" s="2"/>
      <c r="L165" s="3"/>
      <c r="M165" s="3"/>
      <c r="N165" s="3"/>
      <c r="O165" s="3"/>
      <c r="P165" s="11"/>
      <c r="Q165" s="11"/>
      <c r="R165" s="11"/>
      <c r="S165" s="11"/>
      <c r="T165" s="11"/>
      <c r="U165" s="12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4"/>
      <c r="AI165" s="11"/>
      <c r="AJ165" s="11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4"/>
      <c r="AV165" s="3"/>
      <c r="AW165" s="3"/>
      <c r="AX165" s="11"/>
      <c r="AY165" s="3"/>
      <c r="AZ165" s="3"/>
      <c r="BA165" s="3"/>
      <c r="BB165" s="3"/>
      <c r="BC165" s="3"/>
      <c r="BD165" s="3"/>
      <c r="BE165" s="3"/>
      <c r="BF165" s="3"/>
      <c r="BG165" s="3"/>
      <c r="BH165" s="4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</row>
    <row r="166" spans="1:181" ht="15" x14ac:dyDescent="0.25">
      <c r="A166" s="9"/>
      <c r="B166" s="10"/>
      <c r="F166" s="9"/>
      <c r="G166" s="2"/>
      <c r="H166" s="2"/>
      <c r="I166" s="2"/>
      <c r="J166" s="2"/>
      <c r="K166" s="2"/>
      <c r="L166" s="3"/>
      <c r="M166" s="3"/>
      <c r="N166" s="3"/>
      <c r="O166" s="3"/>
      <c r="P166" s="3"/>
      <c r="Q166" s="3"/>
      <c r="R166" s="3"/>
      <c r="S166" s="3"/>
      <c r="T166" s="3"/>
      <c r="U166" s="4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4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4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4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</row>
    <row r="167" spans="1:181" ht="15" x14ac:dyDescent="0.25">
      <c r="A167" s="9"/>
      <c r="B167" s="10"/>
      <c r="F167" s="9"/>
      <c r="G167" s="2"/>
      <c r="H167" s="2"/>
      <c r="I167" s="2"/>
      <c r="J167" s="2"/>
      <c r="K167" s="2"/>
      <c r="L167" s="3"/>
      <c r="M167" s="3"/>
      <c r="N167" s="3"/>
      <c r="O167" s="3"/>
      <c r="P167" s="3"/>
      <c r="Q167" s="3"/>
      <c r="R167" s="11"/>
      <c r="S167" s="11"/>
      <c r="T167" s="11"/>
      <c r="U167" s="12"/>
      <c r="V167" s="11"/>
      <c r="W167" s="11"/>
      <c r="X167" s="11"/>
      <c r="Y167" s="11"/>
      <c r="Z167" s="11"/>
      <c r="AA167" s="3"/>
      <c r="AB167" s="3"/>
      <c r="AC167" s="3"/>
      <c r="AD167" s="3"/>
      <c r="AE167" s="3"/>
      <c r="AF167" s="3"/>
      <c r="AG167" s="3"/>
      <c r="AH167" s="4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4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4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</row>
    <row r="168" spans="1:181" ht="15" x14ac:dyDescent="0.25">
      <c r="A168" s="9"/>
      <c r="B168" s="10"/>
      <c r="F168" s="9"/>
      <c r="G168" s="2"/>
      <c r="H168" s="2"/>
      <c r="I168" s="2"/>
      <c r="J168" s="2"/>
      <c r="K168" s="2"/>
      <c r="L168" s="3"/>
      <c r="M168" s="3"/>
      <c r="N168" s="3"/>
      <c r="O168" s="3"/>
      <c r="P168" s="3"/>
      <c r="Q168" s="3"/>
      <c r="R168" s="3"/>
      <c r="S168" s="3"/>
      <c r="T168" s="3"/>
      <c r="U168" s="4"/>
      <c r="V168" s="3"/>
      <c r="W168" s="3"/>
      <c r="X168" s="3"/>
      <c r="Y168" s="3"/>
      <c r="Z168" s="11"/>
      <c r="AA168" s="11"/>
      <c r="AB168" s="11"/>
      <c r="AC168" s="11"/>
      <c r="AD168" s="11"/>
      <c r="AE168" s="11"/>
      <c r="AF168" s="3"/>
      <c r="AG168" s="3"/>
      <c r="AH168" s="4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4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4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</row>
    <row r="169" spans="1:181" ht="15" x14ac:dyDescent="0.25">
      <c r="A169" s="10"/>
      <c r="B169" s="10"/>
      <c r="C169" s="10"/>
      <c r="D169" s="10"/>
      <c r="F169" s="9"/>
      <c r="G169" s="2"/>
      <c r="H169" s="2"/>
      <c r="I169" s="2"/>
      <c r="J169" s="2"/>
      <c r="K169" s="2"/>
      <c r="L169" s="3"/>
      <c r="M169" s="3"/>
      <c r="N169" s="3"/>
      <c r="O169" s="3"/>
      <c r="P169" s="3"/>
      <c r="Q169" s="3"/>
      <c r="R169" s="3"/>
      <c r="S169" s="3"/>
      <c r="T169" s="3"/>
      <c r="U169" s="4"/>
      <c r="V169" s="3"/>
      <c r="W169" s="3"/>
      <c r="X169" s="3"/>
      <c r="Y169" s="11"/>
      <c r="Z169" s="11"/>
      <c r="AA169" s="11"/>
      <c r="AB169" s="11"/>
      <c r="AC169" s="11"/>
      <c r="AD169" s="11"/>
      <c r="AE169" s="11"/>
      <c r="AF169" s="11"/>
      <c r="AG169" s="11"/>
      <c r="AH169" s="4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4"/>
      <c r="AV169" s="11"/>
      <c r="AW169" s="11"/>
      <c r="AX169" s="11"/>
      <c r="AY169" s="11"/>
      <c r="AZ169" s="11"/>
      <c r="BA169" s="3"/>
      <c r="BB169" s="3"/>
      <c r="BC169" s="3"/>
      <c r="BD169" s="3"/>
      <c r="BE169" s="3"/>
      <c r="BF169" s="3"/>
      <c r="BG169" s="3"/>
      <c r="BH169" s="4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</row>
    <row r="170" spans="1:181" ht="15" x14ac:dyDescent="0.25">
      <c r="A170" s="9"/>
      <c r="B170" s="10"/>
      <c r="F170" s="9"/>
      <c r="G170" s="2"/>
      <c r="H170" s="2"/>
      <c r="I170" s="2"/>
      <c r="J170" s="2"/>
      <c r="K170" s="2"/>
      <c r="L170" s="11"/>
      <c r="M170" s="11"/>
      <c r="N170" s="11"/>
      <c r="O170" s="11"/>
      <c r="P170" s="11"/>
      <c r="Q170" s="11"/>
      <c r="R170" s="11"/>
      <c r="S170" s="11"/>
      <c r="T170" s="11"/>
      <c r="U170" s="12"/>
      <c r="V170" s="11"/>
      <c r="W170" s="11"/>
      <c r="X170" s="11"/>
      <c r="Y170" s="11"/>
      <c r="Z170" s="11"/>
      <c r="AA170" s="11"/>
      <c r="AB170" s="11"/>
      <c r="AC170" s="11"/>
      <c r="AD170" s="11"/>
      <c r="AE170" s="3"/>
      <c r="AF170" s="3"/>
      <c r="AG170" s="3"/>
      <c r="AH170" s="4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4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4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</row>
    <row r="171" spans="1:181" ht="15" x14ac:dyDescent="0.25">
      <c r="A171" s="10"/>
      <c r="B171" s="10"/>
      <c r="C171" s="10"/>
      <c r="D171" s="10"/>
      <c r="E171" s="10"/>
      <c r="F171" s="10"/>
      <c r="G171" s="2"/>
      <c r="H171" s="2"/>
      <c r="I171" s="2"/>
      <c r="J171" s="2"/>
      <c r="K171" s="2"/>
      <c r="L171" s="3"/>
      <c r="M171" s="3"/>
      <c r="N171" s="3"/>
      <c r="O171" s="3"/>
      <c r="P171" s="3"/>
      <c r="Q171" s="3"/>
      <c r="R171" s="3"/>
      <c r="S171" s="3"/>
      <c r="T171" s="3"/>
      <c r="U171" s="4"/>
      <c r="V171" s="3"/>
      <c r="W171" s="3"/>
      <c r="X171" s="3"/>
      <c r="Y171" s="11"/>
      <c r="Z171" s="11"/>
      <c r="AA171" s="11"/>
      <c r="AB171" s="11"/>
      <c r="AC171" s="11"/>
      <c r="AD171" s="11"/>
      <c r="AE171" s="11"/>
      <c r="AF171" s="11"/>
      <c r="AG171" s="11"/>
      <c r="AH171" s="4"/>
      <c r="AI171" s="11"/>
      <c r="AJ171" s="11"/>
      <c r="AK171" s="11"/>
      <c r="AL171" s="11"/>
      <c r="AM171" s="11"/>
      <c r="AN171" s="11"/>
      <c r="AO171" s="11"/>
      <c r="AP171" s="11"/>
      <c r="AQ171" s="3"/>
      <c r="AR171" s="3"/>
      <c r="AS171" s="3"/>
      <c r="AT171" s="3"/>
      <c r="AU171" s="4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4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</row>
    <row r="172" spans="1:181" ht="15" x14ac:dyDescent="0.25">
      <c r="A172" s="9"/>
      <c r="B172" s="10"/>
      <c r="F172" s="9"/>
      <c r="G172" s="2"/>
      <c r="H172" s="2"/>
      <c r="I172" s="2"/>
      <c r="J172" s="2"/>
      <c r="K172" s="2"/>
      <c r="L172" s="3"/>
      <c r="M172" s="3"/>
      <c r="N172" s="3"/>
      <c r="O172" s="3"/>
      <c r="P172" s="3"/>
      <c r="Q172" s="3"/>
      <c r="R172" s="3"/>
      <c r="S172" s="3"/>
      <c r="T172" s="3"/>
      <c r="U172" s="4"/>
      <c r="V172" s="3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4"/>
      <c r="AI172" s="11"/>
      <c r="AJ172" s="11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4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11"/>
      <c r="BH172" s="4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</row>
    <row r="173" spans="1:181" ht="15" x14ac:dyDescent="0.25">
      <c r="A173" s="9"/>
      <c r="B173" s="10"/>
      <c r="F173" s="9"/>
      <c r="G173" s="2"/>
      <c r="H173" s="2"/>
      <c r="I173" s="2"/>
      <c r="J173" s="2"/>
      <c r="K173" s="2"/>
      <c r="L173" s="11"/>
      <c r="M173" s="11"/>
      <c r="N173" s="11"/>
      <c r="O173" s="11"/>
      <c r="P173" s="11"/>
      <c r="Q173" s="11"/>
      <c r="R173" s="11"/>
      <c r="S173" s="11"/>
      <c r="T173" s="11"/>
      <c r="U173" s="12"/>
      <c r="V173" s="11"/>
      <c r="W173" s="11"/>
      <c r="X173" s="11"/>
      <c r="Y173" s="11"/>
      <c r="Z173" s="11"/>
      <c r="AA173" s="11"/>
      <c r="AB173" s="11"/>
      <c r="AC173" s="3"/>
      <c r="AD173" s="3"/>
      <c r="AE173" s="3"/>
      <c r="AF173" s="3"/>
      <c r="AG173" s="3"/>
      <c r="AH173" s="4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4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4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</row>
    <row r="174" spans="1:181" ht="15" x14ac:dyDescent="0.25">
      <c r="A174" s="9"/>
      <c r="B174" s="10"/>
      <c r="F174" s="9"/>
      <c r="G174" s="2"/>
      <c r="H174" s="2"/>
      <c r="I174" s="2"/>
      <c r="J174" s="2"/>
      <c r="K174" s="2"/>
      <c r="L174" s="11"/>
      <c r="M174" s="11"/>
      <c r="N174" s="11"/>
      <c r="O174" s="11"/>
      <c r="P174" s="3"/>
      <c r="Q174" s="3"/>
      <c r="R174" s="3"/>
      <c r="S174" s="3"/>
      <c r="T174" s="3"/>
      <c r="U174" s="4"/>
      <c r="V174" s="3"/>
      <c r="W174" s="3"/>
      <c r="X174" s="3"/>
      <c r="Y174" s="3"/>
      <c r="Z174" s="3"/>
      <c r="AA174" s="3"/>
      <c r="AB174" s="3"/>
      <c r="AC174" s="11"/>
      <c r="AD174" s="11"/>
      <c r="AE174" s="11"/>
      <c r="AF174" s="11"/>
      <c r="AG174" s="11"/>
      <c r="AH174" s="4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4"/>
      <c r="AV174" s="11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4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</row>
    <row r="175" spans="1:181" ht="15" x14ac:dyDescent="0.25">
      <c r="A175" s="9"/>
      <c r="B175" s="10"/>
      <c r="F175" s="9"/>
      <c r="G175" s="2"/>
      <c r="H175" s="2"/>
      <c r="I175" s="2"/>
      <c r="J175" s="2"/>
      <c r="K175" s="2"/>
      <c r="L175" s="3"/>
      <c r="M175" s="3"/>
      <c r="N175" s="3"/>
      <c r="O175" s="3"/>
      <c r="P175" s="3"/>
      <c r="Q175" s="3"/>
      <c r="R175" s="3"/>
      <c r="S175" s="3"/>
      <c r="T175" s="3"/>
      <c r="U175" s="4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4"/>
      <c r="AI175" s="3"/>
      <c r="AJ175" s="3"/>
      <c r="AK175" s="3"/>
      <c r="AL175" s="11"/>
      <c r="AM175" s="11"/>
      <c r="AN175" s="11"/>
      <c r="AO175" s="11"/>
      <c r="AP175" s="11"/>
      <c r="AQ175" s="11"/>
      <c r="AR175" s="11"/>
      <c r="AS175" s="11"/>
      <c r="AT175" s="11"/>
      <c r="AU175" s="4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4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</row>
    <row r="176" spans="1:181" ht="15" x14ac:dyDescent="0.25">
      <c r="A176" s="9"/>
      <c r="B176" s="10"/>
      <c r="F176" s="9"/>
      <c r="G176" s="2"/>
      <c r="H176" s="2"/>
      <c r="I176" s="2"/>
      <c r="J176" s="2"/>
      <c r="K176" s="2"/>
      <c r="L176" s="3"/>
      <c r="M176" s="3"/>
      <c r="N176" s="3"/>
      <c r="O176" s="3"/>
      <c r="P176" s="3"/>
      <c r="Q176" s="3"/>
      <c r="R176" s="3"/>
      <c r="S176" s="3"/>
      <c r="T176" s="3"/>
      <c r="U176" s="4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4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4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4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</row>
    <row r="177" spans="1:181" ht="15" x14ac:dyDescent="0.25">
      <c r="A177" s="9"/>
      <c r="B177" s="10"/>
      <c r="F177" s="9"/>
      <c r="G177" s="2"/>
      <c r="H177" s="2"/>
      <c r="I177" s="2"/>
      <c r="J177" s="2"/>
      <c r="K177" s="2"/>
      <c r="L177" s="11"/>
      <c r="M177" s="11"/>
      <c r="N177" s="11"/>
      <c r="O177" s="11"/>
      <c r="P177" s="3"/>
      <c r="Q177" s="3"/>
      <c r="R177" s="3"/>
      <c r="S177" s="3"/>
      <c r="T177" s="3"/>
      <c r="U177" s="4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4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4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4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</row>
    <row r="178" spans="1:181" ht="15" x14ac:dyDescent="0.25">
      <c r="A178" s="9"/>
      <c r="B178" s="9"/>
      <c r="F178" s="9"/>
      <c r="G178" s="2"/>
      <c r="H178" s="2"/>
      <c r="I178" s="2"/>
      <c r="J178" s="2"/>
      <c r="K178" s="2"/>
      <c r="L178" s="3"/>
      <c r="M178" s="3"/>
      <c r="N178" s="3"/>
      <c r="O178" s="3"/>
      <c r="P178" s="3"/>
      <c r="Q178" s="3"/>
      <c r="R178" s="3"/>
      <c r="S178" s="3"/>
      <c r="T178" s="3"/>
      <c r="U178" s="4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4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4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4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</row>
    <row r="179" spans="1:181" ht="15" x14ac:dyDescent="0.25">
      <c r="A179" s="9"/>
      <c r="B179" s="9"/>
      <c r="F179" s="9"/>
      <c r="G179" s="2"/>
      <c r="H179" s="2"/>
      <c r="I179" s="2"/>
      <c r="J179" s="2"/>
      <c r="K179" s="2"/>
      <c r="L179" s="3"/>
      <c r="M179" s="3"/>
      <c r="N179" s="3"/>
      <c r="O179" s="3"/>
      <c r="P179" s="3"/>
      <c r="Q179" s="3"/>
      <c r="R179" s="3"/>
      <c r="S179" s="3"/>
      <c r="T179" s="3"/>
      <c r="U179" s="4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4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4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4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</row>
    <row r="180" spans="1:181" ht="15" x14ac:dyDescent="0.25">
      <c r="A180" s="40"/>
      <c r="B180" s="38"/>
      <c r="C180" s="38"/>
      <c r="D180" s="38"/>
      <c r="E180" s="38"/>
      <c r="F180" s="38"/>
      <c r="G180" s="22"/>
      <c r="H180" s="22"/>
      <c r="I180" s="22"/>
      <c r="J180" s="22"/>
      <c r="K180" s="22"/>
      <c r="L180" s="23"/>
      <c r="M180" s="23"/>
      <c r="N180" s="23"/>
      <c r="O180" s="23"/>
      <c r="P180" s="23"/>
      <c r="Q180" s="23"/>
      <c r="R180" s="23"/>
      <c r="S180" s="23"/>
      <c r="T180" s="23"/>
      <c r="U180" s="24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4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4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4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23"/>
      <c r="CB180" s="23"/>
      <c r="CC180" s="23"/>
      <c r="CD180" s="23"/>
      <c r="CE180" s="23"/>
      <c r="CF180" s="23"/>
      <c r="CG180" s="23"/>
      <c r="CH180" s="23"/>
      <c r="CI180" s="23"/>
      <c r="CJ180" s="23"/>
      <c r="CK180" s="23"/>
      <c r="CL180" s="23"/>
      <c r="CM180" s="23"/>
      <c r="CN180" s="23"/>
      <c r="CO180" s="23"/>
      <c r="CP180" s="23"/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/>
      <c r="DB180" s="23"/>
      <c r="DC180" s="23"/>
      <c r="DD180" s="23"/>
      <c r="DE180" s="23"/>
      <c r="DF180" s="23"/>
      <c r="DG180" s="23"/>
      <c r="DH180" s="23"/>
      <c r="DI180" s="23"/>
      <c r="DJ180" s="23"/>
      <c r="DK180" s="23"/>
      <c r="DL180" s="23"/>
      <c r="DM180" s="23"/>
      <c r="DN180" s="23"/>
      <c r="DO180" s="23"/>
      <c r="DP180" s="23"/>
      <c r="DQ180" s="23"/>
      <c r="DR180" s="23"/>
      <c r="DS180" s="23"/>
      <c r="DT180" s="23"/>
      <c r="DU180" s="23"/>
      <c r="DV180" s="23"/>
      <c r="DW180" s="23"/>
      <c r="DX180" s="23"/>
      <c r="DY180" s="23"/>
      <c r="DZ180" s="23"/>
      <c r="EA180" s="23"/>
      <c r="EB180" s="23"/>
      <c r="EC180" s="23"/>
      <c r="ED180" s="23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3"/>
      <c r="EP180" s="23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3"/>
      <c r="FJ180" s="23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</row>
    <row r="181" spans="1:181" ht="15" x14ac:dyDescent="0.25">
      <c r="G181" s="2"/>
      <c r="H181" s="2"/>
      <c r="I181" s="2"/>
      <c r="J181" s="2"/>
      <c r="K181" s="2"/>
      <c r="L181" s="3"/>
      <c r="M181" s="3"/>
      <c r="N181" s="3"/>
      <c r="O181" s="3"/>
      <c r="P181" s="3"/>
      <c r="Q181" s="3"/>
      <c r="R181" s="3"/>
      <c r="S181" s="3"/>
      <c r="T181" s="3"/>
      <c r="U181" s="4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4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4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4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</row>
    <row r="182" spans="1:181" ht="15" x14ac:dyDescent="0.25">
      <c r="A182" s="14"/>
      <c r="B182" s="9"/>
      <c r="C182" s="9"/>
      <c r="D182" s="9"/>
      <c r="E182" s="9"/>
      <c r="F182" s="14"/>
      <c r="G182" s="2"/>
      <c r="H182" s="2"/>
      <c r="I182" s="2"/>
      <c r="J182" s="2"/>
      <c r="K182" s="2"/>
      <c r="L182" s="3"/>
      <c r="M182" s="3"/>
      <c r="N182" s="3"/>
      <c r="O182" s="3"/>
      <c r="P182" s="3"/>
      <c r="Q182" s="3"/>
      <c r="R182" s="3"/>
      <c r="S182" s="3"/>
      <c r="T182" s="3"/>
      <c r="U182" s="4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4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4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4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</row>
    <row r="183" spans="1:181" ht="15" x14ac:dyDescent="0.25">
      <c r="A183" s="9"/>
      <c r="B183" s="9"/>
      <c r="C183" s="9"/>
      <c r="D183" s="9"/>
      <c r="E183" s="10"/>
      <c r="F183" s="9"/>
      <c r="G183" s="2"/>
      <c r="H183" s="2"/>
      <c r="I183" s="2"/>
      <c r="J183" s="2"/>
      <c r="K183" s="2"/>
      <c r="L183" s="3"/>
      <c r="M183" s="3"/>
      <c r="N183" s="3"/>
      <c r="O183" s="3"/>
      <c r="P183" s="3"/>
      <c r="Q183" s="3"/>
      <c r="R183" s="3"/>
      <c r="S183" s="3"/>
      <c r="T183" s="3"/>
      <c r="U183" s="4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4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4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4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</row>
    <row r="184" spans="1:181" ht="15" x14ac:dyDescent="0.25">
      <c r="A184" s="9"/>
      <c r="B184" s="9"/>
      <c r="C184" s="9"/>
      <c r="D184" s="9"/>
      <c r="E184" s="10"/>
      <c r="F184" s="9"/>
      <c r="G184" s="2"/>
      <c r="H184" s="2"/>
      <c r="I184" s="2"/>
      <c r="J184" s="2"/>
      <c r="K184" s="2"/>
      <c r="L184" s="3"/>
      <c r="M184" s="3"/>
      <c r="N184" s="3"/>
      <c r="O184" s="3"/>
      <c r="P184" s="3"/>
      <c r="Q184" s="3"/>
      <c r="R184" s="3"/>
      <c r="S184" s="3"/>
      <c r="T184" s="3"/>
      <c r="U184" s="4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4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4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4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</row>
    <row r="185" spans="1:181" ht="15" x14ac:dyDescent="0.25">
      <c r="A185" s="9"/>
      <c r="B185" s="9"/>
      <c r="C185" s="9"/>
      <c r="D185" s="9"/>
      <c r="E185" s="10"/>
      <c r="F185" s="9"/>
      <c r="G185" s="2"/>
      <c r="H185" s="2"/>
      <c r="I185" s="2"/>
      <c r="J185" s="2"/>
      <c r="K185" s="2"/>
      <c r="L185" s="3"/>
      <c r="M185" s="3"/>
      <c r="N185" s="3"/>
      <c r="O185" s="3"/>
      <c r="P185" s="3"/>
      <c r="Q185" s="3"/>
      <c r="R185" s="3"/>
      <c r="S185" s="3"/>
      <c r="T185" s="3"/>
      <c r="U185" s="4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4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4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4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</row>
    <row r="186" spans="1:181" ht="15" x14ac:dyDescent="0.25">
      <c r="A186" s="9"/>
      <c r="B186" s="9"/>
      <c r="C186" s="9"/>
      <c r="D186" s="9"/>
      <c r="E186" s="10"/>
      <c r="F186" s="9"/>
      <c r="G186" s="2"/>
      <c r="H186" s="2"/>
      <c r="I186" s="2"/>
      <c r="J186" s="2"/>
      <c r="K186" s="2"/>
      <c r="L186" s="3"/>
      <c r="M186" s="3"/>
      <c r="N186" s="3"/>
      <c r="O186" s="3"/>
      <c r="P186" s="3"/>
      <c r="Q186" s="3"/>
      <c r="R186" s="3"/>
      <c r="S186" s="3"/>
      <c r="T186" s="3"/>
      <c r="U186" s="4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4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4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4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</row>
    <row r="187" spans="1:181" ht="15" x14ac:dyDescent="0.25">
      <c r="A187" s="9"/>
      <c r="B187" s="9"/>
      <c r="C187" s="9"/>
      <c r="D187" s="9"/>
      <c r="E187" s="10"/>
      <c r="F187" s="9"/>
      <c r="G187" s="2"/>
      <c r="H187" s="2"/>
      <c r="I187" s="2"/>
      <c r="J187" s="2"/>
      <c r="K187" s="2"/>
      <c r="L187" s="3"/>
      <c r="M187" s="3"/>
      <c r="N187" s="3"/>
      <c r="O187" s="3"/>
      <c r="P187" s="3"/>
      <c r="Q187" s="3"/>
      <c r="R187" s="3"/>
      <c r="S187" s="3"/>
      <c r="T187" s="3"/>
      <c r="U187" s="4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4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4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4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</row>
    <row r="188" spans="1:181" ht="15" x14ac:dyDescent="0.25">
      <c r="A188" s="9"/>
      <c r="B188" s="9"/>
      <c r="C188" s="9"/>
      <c r="D188" s="9"/>
      <c r="E188" s="10"/>
      <c r="F188" s="9"/>
      <c r="G188" s="2"/>
      <c r="H188" s="2"/>
      <c r="I188" s="2"/>
      <c r="J188" s="2"/>
      <c r="K188" s="2"/>
      <c r="L188" s="3"/>
      <c r="M188" s="3"/>
      <c r="N188" s="3"/>
      <c r="O188" s="3"/>
      <c r="P188" s="3"/>
      <c r="Q188" s="3"/>
      <c r="R188" s="3"/>
      <c r="S188" s="3"/>
      <c r="T188" s="3"/>
      <c r="U188" s="4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4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4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4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</row>
    <row r="189" spans="1:181" ht="15" x14ac:dyDescent="0.25">
      <c r="A189" s="9"/>
      <c r="B189" s="10"/>
      <c r="C189" s="28"/>
      <c r="D189" s="28"/>
      <c r="E189" s="28"/>
      <c r="F189" s="9"/>
      <c r="G189" s="2"/>
      <c r="H189" s="2"/>
      <c r="I189" s="2"/>
      <c r="J189" s="2"/>
      <c r="K189" s="2"/>
      <c r="L189" s="3"/>
      <c r="M189" s="3"/>
      <c r="N189" s="3"/>
      <c r="O189" s="3"/>
      <c r="P189" s="3"/>
      <c r="Q189" s="3"/>
      <c r="R189" s="3"/>
      <c r="S189" s="3"/>
      <c r="T189" s="3"/>
      <c r="U189" s="4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4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4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4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</row>
    <row r="190" spans="1:181" ht="15" x14ac:dyDescent="0.25">
      <c r="A190" s="9"/>
      <c r="B190" s="9"/>
      <c r="C190" s="28"/>
      <c r="D190" s="28"/>
      <c r="E190" s="28"/>
      <c r="F190" s="9"/>
      <c r="G190" s="2"/>
      <c r="H190" s="2"/>
      <c r="I190" s="2"/>
      <c r="J190" s="2"/>
      <c r="K190" s="2"/>
      <c r="L190" s="3"/>
      <c r="M190" s="3"/>
      <c r="N190" s="3"/>
      <c r="O190" s="3"/>
      <c r="P190" s="3"/>
      <c r="Q190" s="3"/>
      <c r="R190" s="3"/>
      <c r="S190" s="3"/>
      <c r="T190" s="3"/>
      <c r="U190" s="4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4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4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4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</row>
    <row r="191" spans="1:181" ht="15" x14ac:dyDescent="0.25">
      <c r="A191" s="9"/>
      <c r="B191" s="9"/>
      <c r="C191" s="28"/>
      <c r="D191" s="28"/>
      <c r="E191" s="28"/>
      <c r="F191" s="9"/>
      <c r="G191" s="2"/>
      <c r="H191" s="2"/>
      <c r="I191" s="2"/>
      <c r="J191" s="2"/>
      <c r="K191" s="2"/>
      <c r="L191" s="3"/>
      <c r="M191" s="3"/>
      <c r="N191" s="3"/>
      <c r="O191" s="3"/>
      <c r="P191" s="3"/>
      <c r="Q191" s="3"/>
      <c r="R191" s="3"/>
      <c r="S191" s="3"/>
      <c r="T191" s="3"/>
      <c r="U191" s="4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4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4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4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</row>
    <row r="192" spans="1:181" ht="15" x14ac:dyDescent="0.25">
      <c r="A192" s="9"/>
      <c r="B192" s="10"/>
      <c r="C192" s="28"/>
      <c r="D192" s="28"/>
      <c r="E192" s="28"/>
      <c r="F192" s="9"/>
      <c r="G192" s="2"/>
      <c r="H192" s="2"/>
      <c r="I192" s="2"/>
      <c r="J192" s="2"/>
      <c r="K192" s="2"/>
      <c r="L192" s="3"/>
      <c r="M192" s="3"/>
      <c r="N192" s="3"/>
      <c r="O192" s="3"/>
      <c r="P192" s="3"/>
      <c r="Q192" s="3"/>
      <c r="R192" s="3"/>
      <c r="S192" s="3"/>
      <c r="T192" s="3"/>
      <c r="U192" s="4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4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4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4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</row>
    <row r="193" spans="1:181" ht="15" x14ac:dyDescent="0.25">
      <c r="A193" s="9"/>
      <c r="B193" s="10"/>
      <c r="C193" s="28"/>
      <c r="D193" s="28"/>
      <c r="E193" s="28"/>
      <c r="F193" s="9"/>
      <c r="G193" s="2"/>
      <c r="H193" s="2"/>
      <c r="I193" s="2"/>
      <c r="J193" s="2"/>
      <c r="K193" s="2"/>
      <c r="L193" s="3"/>
      <c r="M193" s="3"/>
      <c r="N193" s="3"/>
      <c r="O193" s="3"/>
      <c r="P193" s="3"/>
      <c r="Q193" s="3"/>
      <c r="R193" s="3"/>
      <c r="S193" s="3"/>
      <c r="T193" s="3"/>
      <c r="U193" s="4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4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4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4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</row>
    <row r="194" spans="1:181" ht="15" x14ac:dyDescent="0.25">
      <c r="A194" s="9"/>
      <c r="B194" s="9"/>
      <c r="C194" s="28"/>
      <c r="D194" s="28"/>
      <c r="E194" s="28"/>
      <c r="F194" s="10"/>
      <c r="G194" s="2"/>
      <c r="H194" s="2"/>
      <c r="I194" s="2"/>
      <c r="J194" s="2"/>
      <c r="K194" s="2"/>
      <c r="L194" s="3"/>
      <c r="M194" s="3"/>
      <c r="N194" s="3"/>
      <c r="O194" s="3"/>
      <c r="P194" s="3"/>
      <c r="Q194" s="3"/>
      <c r="R194" s="3"/>
      <c r="S194" s="3"/>
      <c r="T194" s="3"/>
      <c r="U194" s="4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4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4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4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</row>
    <row r="195" spans="1:181" ht="15" x14ac:dyDescent="0.25">
      <c r="A195" s="9"/>
      <c r="B195" s="9"/>
      <c r="C195" s="28"/>
      <c r="D195" s="28"/>
      <c r="E195" s="28"/>
      <c r="F195" s="10"/>
      <c r="G195" s="2"/>
      <c r="H195" s="2"/>
      <c r="I195" s="2"/>
      <c r="J195" s="2"/>
      <c r="K195" s="2"/>
      <c r="L195" s="3"/>
      <c r="M195" s="3"/>
      <c r="N195" s="3"/>
      <c r="O195" s="3"/>
      <c r="P195" s="3"/>
      <c r="Q195" s="3"/>
      <c r="R195" s="3"/>
      <c r="S195" s="3"/>
      <c r="T195" s="3"/>
      <c r="U195" s="4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4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4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4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</row>
    <row r="196" spans="1:181" ht="15" x14ac:dyDescent="0.25">
      <c r="A196" s="9"/>
      <c r="B196" s="10"/>
      <c r="C196" s="28"/>
      <c r="D196" s="28"/>
      <c r="E196" s="28"/>
      <c r="F196" s="9"/>
      <c r="G196" s="2"/>
      <c r="H196" s="2"/>
      <c r="I196" s="2"/>
      <c r="J196" s="2"/>
      <c r="K196" s="2"/>
      <c r="L196" s="3"/>
      <c r="M196" s="3"/>
      <c r="N196" s="3"/>
      <c r="O196" s="3"/>
      <c r="P196" s="3"/>
      <c r="Q196" s="3"/>
      <c r="R196" s="3"/>
      <c r="S196" s="3"/>
      <c r="T196" s="3"/>
      <c r="U196" s="4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4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4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4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</row>
    <row r="197" spans="1:181" ht="15" x14ac:dyDescent="0.25">
      <c r="A197" s="28"/>
      <c r="B197" s="9"/>
      <c r="C197" s="28"/>
      <c r="D197" s="28"/>
      <c r="E197" s="29"/>
      <c r="F197" s="29"/>
      <c r="G197" s="2"/>
      <c r="H197" s="2"/>
      <c r="I197" s="2"/>
      <c r="J197" s="2"/>
      <c r="K197" s="2"/>
      <c r="L197" s="3"/>
      <c r="M197" s="3"/>
      <c r="N197" s="3"/>
      <c r="O197" s="3"/>
      <c r="P197" s="3"/>
      <c r="Q197" s="3"/>
      <c r="R197" s="3"/>
      <c r="S197" s="3"/>
      <c r="T197" s="3"/>
      <c r="U197" s="4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4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4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4"/>
      <c r="BI197" s="3"/>
      <c r="BJ197" s="3"/>
      <c r="BK197" s="3"/>
      <c r="BL197" s="3"/>
      <c r="BM197" s="3"/>
      <c r="BN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</row>
    <row r="198" spans="1:181" ht="15" x14ac:dyDescent="0.25">
      <c r="A198" s="28"/>
      <c r="B198" s="9"/>
      <c r="C198" s="28"/>
      <c r="D198" s="28"/>
      <c r="E198" s="29"/>
      <c r="F198" s="29"/>
      <c r="G198" s="2"/>
      <c r="H198" s="2"/>
      <c r="I198" s="2"/>
      <c r="J198" s="2"/>
      <c r="K198" s="2"/>
      <c r="L198" s="3"/>
      <c r="M198" s="3"/>
      <c r="N198" s="3"/>
      <c r="O198" s="3"/>
      <c r="P198" s="3"/>
      <c r="Q198" s="3"/>
      <c r="R198" s="3"/>
      <c r="S198" s="3"/>
      <c r="T198" s="3"/>
      <c r="U198" s="4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4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4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4"/>
      <c r="BI198" s="3"/>
      <c r="BJ198" s="3"/>
      <c r="BK198" s="3"/>
      <c r="BL198" s="3"/>
      <c r="BM198" s="3"/>
      <c r="BN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</row>
    <row r="199" spans="1:181" ht="15" x14ac:dyDescent="0.25">
      <c r="A199" s="10"/>
      <c r="B199" s="9"/>
      <c r="D199" s="28"/>
      <c r="F199" s="10"/>
      <c r="G199" s="2"/>
      <c r="H199" s="2"/>
      <c r="I199" s="2"/>
      <c r="J199" s="2"/>
      <c r="K199" s="2"/>
      <c r="L199" s="3"/>
      <c r="M199" s="3"/>
      <c r="N199" s="3"/>
      <c r="O199" s="3"/>
      <c r="P199" s="3"/>
      <c r="Q199" s="3"/>
      <c r="R199" s="3"/>
      <c r="S199" s="3"/>
      <c r="T199" s="3"/>
      <c r="U199" s="4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4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4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4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</row>
    <row r="200" spans="1:181" ht="15" x14ac:dyDescent="0.25">
      <c r="A200" s="10"/>
      <c r="B200" s="9"/>
      <c r="D200" s="28"/>
      <c r="F200" s="10"/>
      <c r="G200" s="2"/>
      <c r="H200" s="2"/>
      <c r="I200" s="2"/>
      <c r="J200" s="2"/>
      <c r="K200" s="2"/>
      <c r="L200" s="3"/>
      <c r="M200" s="3"/>
      <c r="N200" s="3"/>
      <c r="O200" s="3"/>
      <c r="P200" s="3"/>
      <c r="Q200" s="3"/>
      <c r="R200" s="3"/>
      <c r="S200" s="3"/>
      <c r="T200" s="3"/>
      <c r="U200" s="4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4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4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4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</row>
    <row r="201" spans="1:181" ht="15" x14ac:dyDescent="0.25">
      <c r="A201" s="10"/>
      <c r="B201" s="9"/>
      <c r="D201" s="28"/>
      <c r="F201" s="10"/>
      <c r="G201" s="2"/>
      <c r="H201" s="2"/>
      <c r="I201" s="2"/>
      <c r="J201" s="2"/>
      <c r="K201" s="2"/>
      <c r="L201" s="3"/>
      <c r="M201" s="3"/>
      <c r="N201" s="3"/>
      <c r="O201" s="3"/>
      <c r="P201" s="3"/>
      <c r="Q201" s="3"/>
      <c r="R201" s="3"/>
      <c r="S201" s="3"/>
      <c r="T201" s="3"/>
      <c r="U201" s="4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4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4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4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</row>
    <row r="202" spans="1:181" ht="15" x14ac:dyDescent="0.25">
      <c r="A202" s="9"/>
      <c r="B202" s="9"/>
      <c r="D202" s="28"/>
      <c r="F202" s="9"/>
      <c r="G202" s="2"/>
      <c r="H202" s="2"/>
      <c r="I202" s="2"/>
      <c r="J202" s="2"/>
      <c r="K202" s="2"/>
      <c r="L202" s="3"/>
      <c r="M202" s="3"/>
      <c r="N202" s="3"/>
      <c r="O202" s="3"/>
      <c r="P202" s="3"/>
      <c r="Q202" s="3"/>
      <c r="R202" s="3"/>
      <c r="S202" s="3"/>
      <c r="T202" s="3"/>
      <c r="U202" s="4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4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4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4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</row>
    <row r="203" spans="1:181" ht="15" x14ac:dyDescent="0.25">
      <c r="A203" s="28"/>
      <c r="B203" s="10"/>
      <c r="C203" s="28"/>
      <c r="D203" s="28"/>
      <c r="E203" s="29"/>
      <c r="F203" s="29"/>
      <c r="G203" s="2"/>
      <c r="H203" s="2"/>
      <c r="I203" s="2"/>
      <c r="J203" s="2"/>
      <c r="K203" s="2"/>
      <c r="L203" s="3"/>
      <c r="M203" s="3"/>
      <c r="N203" s="3"/>
      <c r="O203" s="3"/>
      <c r="P203" s="3"/>
      <c r="Q203" s="3"/>
      <c r="R203" s="3"/>
      <c r="S203" s="3"/>
      <c r="T203" s="3"/>
      <c r="U203" s="4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4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4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4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</row>
    <row r="204" spans="1:181" ht="15" x14ac:dyDescent="0.25">
      <c r="A204" s="28"/>
      <c r="B204" s="9"/>
      <c r="C204" s="28"/>
      <c r="D204" s="28"/>
      <c r="E204" s="29"/>
      <c r="F204" s="29"/>
      <c r="G204" s="2"/>
      <c r="H204" s="2"/>
      <c r="I204" s="2"/>
      <c r="J204" s="2"/>
      <c r="K204" s="2"/>
      <c r="L204" s="3"/>
      <c r="M204" s="3"/>
      <c r="N204" s="3"/>
      <c r="O204" s="3"/>
      <c r="P204" s="3"/>
      <c r="Q204" s="3"/>
      <c r="R204" s="3"/>
      <c r="S204" s="3"/>
      <c r="T204" s="3"/>
      <c r="U204" s="4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4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4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4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</row>
    <row r="205" spans="1:181" ht="15" x14ac:dyDescent="0.25">
      <c r="A205" s="28"/>
      <c r="B205" s="9"/>
      <c r="C205" s="28"/>
      <c r="D205" s="28"/>
      <c r="E205" s="29"/>
      <c r="F205" s="29"/>
      <c r="G205" s="2"/>
      <c r="H205" s="2"/>
      <c r="I205" s="2"/>
      <c r="J205" s="2"/>
      <c r="K205" s="2"/>
      <c r="L205" s="3"/>
      <c r="M205" s="3"/>
      <c r="N205" s="3"/>
      <c r="O205" s="3"/>
      <c r="P205" s="3"/>
      <c r="Q205" s="3"/>
      <c r="R205" s="3"/>
      <c r="S205" s="3"/>
      <c r="T205" s="3"/>
      <c r="U205" s="4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4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4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4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</row>
    <row r="206" spans="1:181" ht="15" x14ac:dyDescent="0.25">
      <c r="A206" s="28"/>
      <c r="B206" s="10"/>
      <c r="C206" s="28"/>
      <c r="D206" s="28"/>
      <c r="E206" s="29"/>
      <c r="F206" s="29"/>
      <c r="G206" s="2"/>
      <c r="H206" s="2"/>
      <c r="I206" s="2"/>
      <c r="J206" s="2"/>
      <c r="K206" s="2"/>
      <c r="L206" s="3"/>
      <c r="M206" s="3"/>
      <c r="N206" s="3"/>
      <c r="O206" s="3"/>
      <c r="P206" s="3"/>
      <c r="Q206" s="3"/>
      <c r="R206" s="3"/>
      <c r="S206" s="3"/>
      <c r="T206" s="3"/>
      <c r="U206" s="4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4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4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12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</row>
    <row r="207" spans="1:181" ht="15" x14ac:dyDescent="0.25">
      <c r="A207" s="9"/>
      <c r="B207" s="10"/>
      <c r="D207" s="28"/>
      <c r="F207" s="9"/>
      <c r="G207" s="2"/>
      <c r="H207" s="2"/>
      <c r="I207" s="2"/>
      <c r="J207" s="2"/>
      <c r="K207" s="2"/>
      <c r="L207" s="3"/>
      <c r="M207" s="3"/>
      <c r="N207" s="3"/>
      <c r="O207" s="3"/>
      <c r="P207" s="3"/>
      <c r="Q207" s="3"/>
      <c r="R207" s="3"/>
      <c r="S207" s="3"/>
      <c r="T207" s="3"/>
      <c r="U207" s="4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4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4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4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</row>
    <row r="208" spans="1:181" ht="15" x14ac:dyDescent="0.25">
      <c r="A208" s="9"/>
      <c r="B208" s="10"/>
      <c r="D208" s="28"/>
      <c r="F208" s="9"/>
      <c r="G208" s="2"/>
      <c r="H208" s="2"/>
      <c r="I208" s="2"/>
      <c r="J208" s="2"/>
      <c r="K208" s="2"/>
      <c r="L208" s="3"/>
      <c r="M208" s="3"/>
      <c r="N208" s="3"/>
      <c r="O208" s="3"/>
      <c r="P208" s="3"/>
      <c r="Q208" s="3"/>
      <c r="R208" s="3"/>
      <c r="S208" s="3"/>
      <c r="T208" s="3"/>
      <c r="U208" s="4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4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4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4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</row>
    <row r="209" spans="1:181" ht="15" x14ac:dyDescent="0.25">
      <c r="A209" s="9"/>
      <c r="B209" s="10"/>
      <c r="D209" s="28"/>
      <c r="F209" s="9"/>
      <c r="G209" s="2"/>
      <c r="H209" s="2"/>
      <c r="I209" s="2"/>
      <c r="J209" s="2"/>
      <c r="K209" s="2"/>
      <c r="L209" s="3"/>
      <c r="M209" s="3"/>
      <c r="N209" s="3"/>
      <c r="O209" s="3"/>
      <c r="P209" s="3"/>
      <c r="Q209" s="3"/>
      <c r="R209" s="3"/>
      <c r="S209" s="3"/>
      <c r="T209" s="3"/>
      <c r="U209" s="4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4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4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4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</row>
    <row r="210" spans="1:181" ht="15" x14ac:dyDescent="0.25">
      <c r="A210" s="9"/>
      <c r="B210" s="9"/>
      <c r="D210" s="28"/>
      <c r="F210" s="9"/>
      <c r="G210" s="2"/>
      <c r="H210" s="2"/>
      <c r="I210" s="2"/>
      <c r="J210" s="2"/>
      <c r="K210" s="2"/>
      <c r="L210" s="3"/>
      <c r="M210" s="3"/>
      <c r="N210" s="3"/>
      <c r="O210" s="3"/>
      <c r="P210" s="3"/>
      <c r="Q210" s="3"/>
      <c r="R210" s="3"/>
      <c r="S210" s="3"/>
      <c r="T210" s="3"/>
      <c r="U210" s="4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4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4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4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</row>
    <row r="211" spans="1:181" ht="15" x14ac:dyDescent="0.25">
      <c r="A211" s="28"/>
      <c r="B211" s="9"/>
      <c r="C211" s="28"/>
      <c r="D211" s="28"/>
      <c r="E211" s="29"/>
      <c r="F211" s="29"/>
      <c r="G211" s="2"/>
      <c r="H211" s="2"/>
      <c r="I211" s="2"/>
      <c r="J211" s="2"/>
      <c r="K211" s="2"/>
      <c r="L211" s="3"/>
      <c r="M211" s="3"/>
      <c r="N211" s="3"/>
      <c r="O211" s="3"/>
      <c r="P211" s="3"/>
      <c r="Q211" s="3"/>
      <c r="R211" s="3"/>
      <c r="S211" s="3"/>
      <c r="T211" s="3"/>
      <c r="U211" s="4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4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4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4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</row>
    <row r="212" spans="1:181" ht="15" x14ac:dyDescent="0.25">
      <c r="A212" s="28"/>
      <c r="B212" s="9"/>
      <c r="C212" s="28"/>
      <c r="D212" s="28"/>
      <c r="E212" s="29"/>
      <c r="F212" s="29"/>
      <c r="G212" s="2"/>
      <c r="H212" s="2"/>
      <c r="I212" s="2"/>
      <c r="J212" s="2"/>
      <c r="K212" s="2"/>
      <c r="L212" s="3"/>
      <c r="M212" s="3"/>
      <c r="N212" s="3"/>
      <c r="O212" s="3"/>
      <c r="P212" s="3"/>
      <c r="Q212" s="3"/>
      <c r="R212" s="3"/>
      <c r="S212" s="3"/>
      <c r="T212" s="3"/>
      <c r="U212" s="4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4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4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4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</row>
    <row r="213" spans="1:181" ht="15" x14ac:dyDescent="0.25">
      <c r="A213" s="28"/>
      <c r="B213" s="10"/>
      <c r="C213" s="28"/>
      <c r="D213" s="28"/>
      <c r="E213" s="29"/>
      <c r="F213" s="29"/>
      <c r="G213" s="2"/>
      <c r="H213" s="2"/>
      <c r="I213" s="2"/>
      <c r="J213" s="2"/>
      <c r="K213" s="2"/>
      <c r="L213" s="3"/>
      <c r="M213" s="3"/>
      <c r="N213" s="3"/>
      <c r="O213" s="3"/>
      <c r="P213" s="3"/>
      <c r="Q213" s="3"/>
      <c r="R213" s="3"/>
      <c r="S213" s="3"/>
      <c r="T213" s="3"/>
      <c r="U213" s="4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4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4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4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</row>
    <row r="214" spans="1:181" ht="15" x14ac:dyDescent="0.25">
      <c r="A214" s="28"/>
      <c r="B214" s="10"/>
      <c r="C214" s="28"/>
      <c r="D214" s="28"/>
      <c r="E214" s="29"/>
      <c r="F214" s="29"/>
      <c r="G214" s="2"/>
      <c r="H214" s="2"/>
      <c r="I214" s="2"/>
      <c r="J214" s="2"/>
      <c r="K214" s="2"/>
      <c r="L214" s="3"/>
      <c r="M214" s="3"/>
      <c r="N214" s="3"/>
      <c r="O214" s="3"/>
      <c r="P214" s="3"/>
      <c r="Q214" s="3"/>
      <c r="R214" s="11"/>
      <c r="S214" s="11"/>
      <c r="T214" s="11"/>
      <c r="U214" s="12"/>
      <c r="V214" s="11"/>
      <c r="W214" s="11"/>
      <c r="X214" s="11"/>
      <c r="Y214" s="11"/>
      <c r="Z214" s="11"/>
      <c r="AA214" s="3"/>
      <c r="AB214" s="3"/>
      <c r="AC214" s="3"/>
      <c r="AD214" s="3"/>
      <c r="AE214" s="3"/>
      <c r="AF214" s="3"/>
      <c r="AG214" s="3"/>
      <c r="AH214" s="4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4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12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</row>
    <row r="215" spans="1:181" ht="15" x14ac:dyDescent="0.25">
      <c r="A215" s="28"/>
      <c r="B215" s="9"/>
      <c r="C215" s="28"/>
      <c r="D215" s="28"/>
      <c r="E215" s="29"/>
      <c r="F215" s="29"/>
      <c r="G215" s="2"/>
      <c r="H215" s="2"/>
      <c r="I215" s="2"/>
      <c r="J215" s="2"/>
      <c r="K215" s="2"/>
      <c r="L215" s="3"/>
      <c r="M215" s="3"/>
      <c r="N215" s="3"/>
      <c r="O215" s="3"/>
      <c r="P215" s="3"/>
      <c r="Q215" s="3"/>
      <c r="R215" s="3"/>
      <c r="S215" s="3"/>
      <c r="T215" s="3"/>
      <c r="U215" s="4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4"/>
      <c r="AI215" s="3"/>
      <c r="AJ215" s="3"/>
      <c r="AK215" s="3"/>
      <c r="AL215" s="3"/>
      <c r="AM215" s="3"/>
      <c r="AN215" s="3"/>
      <c r="AO215" s="3"/>
      <c r="AP215" s="3"/>
      <c r="AQ215" s="3"/>
      <c r="AR215" s="11"/>
      <c r="AS215" s="3"/>
      <c r="AT215" s="3"/>
      <c r="AU215" s="4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12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</row>
    <row r="216" spans="1:181" ht="15" x14ac:dyDescent="0.25">
      <c r="A216" s="28"/>
      <c r="B216" s="10"/>
      <c r="C216" s="28"/>
      <c r="D216" s="28"/>
      <c r="E216" s="29"/>
      <c r="F216" s="29"/>
      <c r="G216" s="2"/>
      <c r="H216" s="2"/>
      <c r="I216" s="2"/>
      <c r="J216" s="2"/>
      <c r="K216" s="2"/>
      <c r="L216" s="3"/>
      <c r="M216" s="3"/>
      <c r="N216" s="3"/>
      <c r="O216" s="3"/>
      <c r="P216" s="3"/>
      <c r="Q216" s="3"/>
      <c r="R216" s="3"/>
      <c r="S216" s="3"/>
      <c r="T216" s="3"/>
      <c r="U216" s="4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4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4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4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</row>
    <row r="217" spans="1:181" ht="15" x14ac:dyDescent="0.25">
      <c r="A217" s="28"/>
      <c r="B217" s="10"/>
      <c r="C217" s="28"/>
      <c r="D217" s="28"/>
      <c r="E217" s="29"/>
      <c r="F217" s="29"/>
      <c r="G217" s="2"/>
      <c r="H217" s="2"/>
      <c r="I217" s="2"/>
      <c r="J217" s="2"/>
      <c r="K217" s="2"/>
      <c r="L217" s="3"/>
      <c r="M217" s="3"/>
      <c r="N217" s="3"/>
      <c r="O217" s="3"/>
      <c r="P217" s="3"/>
      <c r="Q217" s="3"/>
      <c r="R217" s="3"/>
      <c r="S217" s="3"/>
      <c r="T217" s="3"/>
      <c r="U217" s="4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4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4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4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</row>
    <row r="218" spans="1:181" ht="15" x14ac:dyDescent="0.25">
      <c r="A218" s="28"/>
      <c r="B218" s="9"/>
      <c r="C218" s="28"/>
      <c r="D218" s="28"/>
      <c r="E218" s="29"/>
      <c r="F218" s="29"/>
      <c r="G218" s="2"/>
      <c r="H218" s="2"/>
      <c r="I218" s="2"/>
      <c r="J218" s="2"/>
      <c r="K218" s="2"/>
      <c r="L218" s="3"/>
      <c r="M218" s="3"/>
      <c r="N218" s="3"/>
      <c r="O218" s="3"/>
      <c r="P218" s="3"/>
      <c r="Q218" s="3"/>
      <c r="R218" s="3"/>
      <c r="S218" s="3"/>
      <c r="T218" s="3"/>
      <c r="U218" s="4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4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4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4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</row>
    <row r="219" spans="1:181" ht="15" x14ac:dyDescent="0.25">
      <c r="A219" s="28"/>
      <c r="B219" s="10"/>
      <c r="C219" s="28"/>
      <c r="D219" s="28"/>
      <c r="E219" s="29"/>
      <c r="F219" s="29"/>
      <c r="G219" s="2"/>
      <c r="H219" s="2"/>
      <c r="I219" s="2"/>
      <c r="J219" s="2"/>
      <c r="K219" s="2"/>
      <c r="L219" s="3"/>
      <c r="M219" s="3"/>
      <c r="N219" s="3"/>
      <c r="O219" s="3"/>
      <c r="P219" s="3"/>
      <c r="Q219" s="3"/>
      <c r="R219" s="3"/>
      <c r="S219" s="3"/>
      <c r="T219" s="3"/>
      <c r="U219" s="4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4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4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4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</row>
    <row r="220" spans="1:181" ht="15" x14ac:dyDescent="0.25">
      <c r="A220" s="28"/>
      <c r="B220" s="10"/>
      <c r="C220" s="28"/>
      <c r="D220" s="28"/>
      <c r="E220" s="29"/>
      <c r="F220" s="29"/>
      <c r="G220" s="2"/>
      <c r="H220" s="2"/>
      <c r="I220" s="2"/>
      <c r="J220" s="2"/>
      <c r="K220" s="2"/>
      <c r="L220" s="3"/>
      <c r="M220" s="3"/>
      <c r="N220" s="3"/>
      <c r="O220" s="3"/>
      <c r="P220" s="3"/>
      <c r="Q220" s="3"/>
      <c r="R220" s="3"/>
      <c r="S220" s="3"/>
      <c r="T220" s="3"/>
      <c r="U220" s="4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4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4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4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</row>
    <row r="221" spans="1:181" ht="15" x14ac:dyDescent="0.25">
      <c r="A221" s="28"/>
      <c r="B221" s="10"/>
      <c r="C221" s="28"/>
      <c r="D221" s="28"/>
      <c r="E221" s="29"/>
      <c r="F221" s="29"/>
      <c r="G221" s="2"/>
      <c r="H221" s="2"/>
      <c r="I221" s="2"/>
      <c r="J221" s="2"/>
      <c r="K221" s="2"/>
      <c r="L221" s="3"/>
      <c r="M221" s="3"/>
      <c r="N221" s="3"/>
      <c r="O221" s="3"/>
      <c r="P221" s="3"/>
      <c r="Q221" s="3"/>
      <c r="R221" s="3"/>
      <c r="S221" s="3"/>
      <c r="T221" s="3"/>
      <c r="U221" s="4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4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4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4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</row>
    <row r="222" spans="1:181" ht="15" x14ac:dyDescent="0.25">
      <c r="A222" s="28"/>
      <c r="B222" s="10"/>
      <c r="C222" s="28"/>
      <c r="D222" s="28"/>
      <c r="E222" s="29"/>
      <c r="F222" s="29"/>
      <c r="G222" s="2"/>
      <c r="H222" s="2"/>
      <c r="I222" s="2"/>
      <c r="J222" s="2"/>
      <c r="K222" s="2"/>
      <c r="L222" s="3"/>
      <c r="M222" s="3"/>
      <c r="N222" s="3"/>
      <c r="O222" s="3"/>
      <c r="P222" s="3"/>
      <c r="Q222" s="3"/>
      <c r="R222" s="3"/>
      <c r="S222" s="3"/>
      <c r="T222" s="3"/>
      <c r="U222" s="4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4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4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4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</row>
    <row r="223" spans="1:181" ht="15" x14ac:dyDescent="0.25">
      <c r="A223" s="28"/>
      <c r="B223" s="10"/>
      <c r="C223" s="28"/>
      <c r="D223" s="28"/>
      <c r="E223" s="29"/>
      <c r="F223" s="29"/>
      <c r="G223" s="2"/>
      <c r="H223" s="2"/>
      <c r="I223" s="2"/>
      <c r="J223" s="2"/>
      <c r="K223" s="2"/>
      <c r="L223" s="3"/>
      <c r="M223" s="3"/>
      <c r="N223" s="3"/>
      <c r="O223" s="3"/>
      <c r="P223" s="3"/>
      <c r="Q223" s="3"/>
      <c r="R223" s="3"/>
      <c r="S223" s="3"/>
      <c r="T223" s="3"/>
      <c r="U223" s="4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4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4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4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</row>
    <row r="224" spans="1:181" ht="15" x14ac:dyDescent="0.25">
      <c r="A224" s="28"/>
      <c r="B224" s="10"/>
      <c r="C224" s="28"/>
      <c r="D224" s="28"/>
      <c r="E224" s="29"/>
      <c r="F224" s="29"/>
      <c r="G224" s="2"/>
      <c r="H224" s="2"/>
      <c r="I224" s="2"/>
      <c r="J224" s="2"/>
      <c r="K224" s="2"/>
      <c r="L224" s="3"/>
      <c r="M224" s="3"/>
      <c r="N224" s="3"/>
      <c r="O224" s="3"/>
      <c r="P224" s="3"/>
      <c r="Q224" s="3"/>
      <c r="R224" s="3"/>
      <c r="S224" s="3"/>
      <c r="T224" s="3"/>
      <c r="U224" s="4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4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4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4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</row>
    <row r="225" spans="1:181" ht="15" x14ac:dyDescent="0.25">
      <c r="A225" s="28"/>
      <c r="B225" s="10"/>
      <c r="C225" s="28"/>
      <c r="D225" s="28"/>
      <c r="E225" s="29"/>
      <c r="F225" s="29"/>
      <c r="G225" s="2"/>
      <c r="H225" s="2"/>
      <c r="I225" s="2"/>
      <c r="J225" s="2"/>
      <c r="K225" s="2"/>
      <c r="L225" s="3"/>
      <c r="M225" s="3"/>
      <c r="N225" s="3"/>
      <c r="O225" s="3"/>
      <c r="P225" s="3"/>
      <c r="Q225" s="3"/>
      <c r="R225" s="3"/>
      <c r="S225" s="3"/>
      <c r="T225" s="3"/>
      <c r="U225" s="4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4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4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4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</row>
    <row r="226" spans="1:181" ht="15" x14ac:dyDescent="0.25">
      <c r="A226" s="28"/>
      <c r="B226" s="9"/>
      <c r="C226" s="28"/>
      <c r="D226" s="28"/>
      <c r="E226" s="29"/>
      <c r="F226" s="29"/>
      <c r="G226" s="2"/>
      <c r="H226" s="2"/>
      <c r="I226" s="2"/>
      <c r="J226" s="2"/>
      <c r="K226" s="2"/>
      <c r="L226" s="3"/>
      <c r="M226" s="3"/>
      <c r="N226" s="3"/>
      <c r="O226" s="3"/>
      <c r="P226" s="3"/>
      <c r="Q226" s="3"/>
      <c r="R226" s="3"/>
      <c r="S226" s="3"/>
      <c r="T226" s="3"/>
      <c r="U226" s="4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4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4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4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</row>
    <row r="227" spans="1:181" ht="15" x14ac:dyDescent="0.25">
      <c r="A227" s="28"/>
      <c r="B227" s="10"/>
      <c r="C227" s="28"/>
      <c r="D227" s="28"/>
      <c r="E227" s="29"/>
      <c r="F227" s="29"/>
      <c r="G227" s="2"/>
      <c r="H227" s="2"/>
      <c r="I227" s="2"/>
      <c r="J227" s="2"/>
      <c r="K227" s="2"/>
      <c r="L227" s="3"/>
      <c r="M227" s="3"/>
      <c r="N227" s="3"/>
      <c r="O227" s="3"/>
      <c r="P227" s="3"/>
      <c r="Q227" s="3"/>
      <c r="R227" s="3"/>
      <c r="S227" s="3"/>
      <c r="T227" s="3"/>
      <c r="U227" s="4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4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4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4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</row>
    <row r="228" spans="1:181" ht="15" x14ac:dyDescent="0.25">
      <c r="A228" s="28"/>
      <c r="B228" s="28"/>
      <c r="C228" s="28"/>
      <c r="D228" s="28"/>
      <c r="E228" s="29"/>
      <c r="F228" s="29"/>
      <c r="G228" s="2"/>
      <c r="H228" s="2"/>
      <c r="I228" s="2"/>
      <c r="J228" s="2"/>
      <c r="K228" s="2"/>
      <c r="L228" s="30"/>
      <c r="M228" s="30"/>
      <c r="N228" s="30"/>
      <c r="O228" s="30"/>
      <c r="P228" s="30"/>
      <c r="Q228" s="30"/>
      <c r="R228" s="30"/>
      <c r="S228" s="30"/>
      <c r="T228" s="30"/>
      <c r="U228" s="31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1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1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1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  <c r="BW228" s="30"/>
      <c r="BX228" s="30"/>
      <c r="BY228" s="30"/>
      <c r="BZ228" s="30"/>
      <c r="CA228" s="30"/>
      <c r="CB228" s="30"/>
      <c r="CC228" s="30"/>
      <c r="CD228" s="30"/>
      <c r="CE228" s="30"/>
      <c r="CF228" s="30"/>
      <c r="CG228" s="30"/>
      <c r="CH228" s="30"/>
      <c r="CI228" s="30"/>
      <c r="CJ228" s="30"/>
      <c r="CK228" s="30"/>
      <c r="CL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C228" s="30"/>
      <c r="DD228" s="30"/>
      <c r="DE228" s="30"/>
      <c r="DF228" s="30"/>
      <c r="DG228" s="30"/>
      <c r="DH228" s="30"/>
      <c r="DI228" s="30"/>
      <c r="DJ228" s="30"/>
      <c r="DK228" s="30"/>
      <c r="DL228" s="30"/>
      <c r="DM228" s="30"/>
      <c r="DN228" s="30"/>
      <c r="DO228" s="30"/>
      <c r="DP228" s="30"/>
      <c r="DQ228" s="30"/>
      <c r="DR228" s="30"/>
      <c r="DS228" s="30"/>
      <c r="DT228" s="30"/>
      <c r="DU228" s="30"/>
      <c r="DV228" s="30"/>
      <c r="DW228" s="30"/>
      <c r="DX228" s="30"/>
      <c r="DY228" s="30"/>
      <c r="DZ228" s="30"/>
      <c r="EA228" s="30"/>
      <c r="EB228" s="30"/>
      <c r="EC228" s="30"/>
      <c r="ED228" s="30"/>
      <c r="EE228" s="30"/>
      <c r="EF228" s="30"/>
      <c r="EG228" s="30"/>
      <c r="EH228" s="30"/>
      <c r="EI228" s="30"/>
      <c r="EJ228" s="30"/>
      <c r="EK228" s="30"/>
      <c r="EL228" s="30"/>
      <c r="EM228" s="30"/>
      <c r="EN228" s="30"/>
      <c r="EO228" s="30"/>
      <c r="EP228" s="30"/>
      <c r="EQ228" s="30"/>
      <c r="ER228" s="30"/>
      <c r="ES228" s="30"/>
      <c r="ET228" s="30"/>
      <c r="EU228" s="30"/>
      <c r="EV228" s="30"/>
      <c r="EW228" s="30"/>
      <c r="EX228" s="30"/>
      <c r="EY228" s="30"/>
      <c r="EZ228" s="30"/>
      <c r="FA228" s="30"/>
      <c r="FB228" s="30"/>
      <c r="FC228" s="30"/>
      <c r="FD228" s="30"/>
      <c r="FE228" s="30"/>
      <c r="FF228" s="30"/>
      <c r="FG228" s="30"/>
      <c r="FH228" s="30"/>
      <c r="FI228" s="30"/>
      <c r="FJ228" s="30"/>
      <c r="FK228" s="30"/>
      <c r="FL228" s="30"/>
      <c r="FM228" s="30"/>
      <c r="FN228" s="30"/>
      <c r="FO228" s="30"/>
      <c r="FP228" s="30"/>
      <c r="FQ228" s="30"/>
      <c r="FR228" s="30"/>
      <c r="FS228" s="30"/>
      <c r="FT228" s="30"/>
      <c r="FU228" s="30"/>
      <c r="FV228" s="30"/>
      <c r="FW228" s="30"/>
      <c r="FX228" s="30"/>
      <c r="FY228" s="30"/>
    </row>
    <row r="229" spans="1:181" ht="15" x14ac:dyDescent="0.25">
      <c r="A229" s="28"/>
      <c r="B229" s="9"/>
      <c r="C229" s="28"/>
      <c r="D229" s="28"/>
      <c r="E229" s="29"/>
      <c r="F229" s="29"/>
      <c r="G229" s="2"/>
      <c r="H229" s="2"/>
      <c r="I229" s="2"/>
      <c r="J229" s="2"/>
      <c r="K229" s="2"/>
      <c r="L229" s="3"/>
      <c r="M229" s="3"/>
      <c r="N229" s="3"/>
      <c r="O229" s="3"/>
      <c r="P229" s="3"/>
      <c r="Q229" s="3"/>
      <c r="R229" s="3"/>
      <c r="S229" s="3"/>
      <c r="T229" s="3"/>
      <c r="U229" s="4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4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4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4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</row>
    <row r="230" spans="1:181" ht="15" x14ac:dyDescent="0.25">
      <c r="A230" s="28"/>
      <c r="B230" s="9"/>
      <c r="C230" s="28"/>
      <c r="D230" s="28"/>
      <c r="E230" s="29"/>
      <c r="F230" s="29"/>
      <c r="G230" s="2"/>
      <c r="H230" s="2"/>
      <c r="I230" s="2"/>
      <c r="J230" s="2"/>
      <c r="K230" s="2"/>
      <c r="L230" s="3"/>
      <c r="M230" s="3"/>
      <c r="N230" s="3"/>
      <c r="O230" s="3"/>
      <c r="P230" s="3"/>
      <c r="Q230" s="3"/>
      <c r="R230" s="3"/>
      <c r="S230" s="3"/>
      <c r="T230" s="3"/>
      <c r="U230" s="4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4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4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4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</row>
    <row r="231" spans="1:181" ht="15" x14ac:dyDescent="0.25">
      <c r="A231" s="28"/>
      <c r="B231" s="9"/>
      <c r="C231" s="28"/>
      <c r="D231" s="28"/>
      <c r="E231" s="29"/>
      <c r="F231" s="29"/>
      <c r="G231" s="2"/>
      <c r="H231" s="2"/>
      <c r="I231" s="2"/>
      <c r="J231" s="2"/>
      <c r="K231" s="2"/>
      <c r="L231" s="3"/>
      <c r="M231" s="3"/>
      <c r="N231" s="3"/>
      <c r="O231" s="3"/>
      <c r="P231" s="3"/>
      <c r="Q231" s="3"/>
      <c r="R231" s="3"/>
      <c r="S231" s="3"/>
      <c r="T231" s="3"/>
      <c r="U231" s="4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4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4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4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</row>
    <row r="232" spans="1:181" ht="15" x14ac:dyDescent="0.25">
      <c r="A232" s="28"/>
      <c r="B232" s="9"/>
      <c r="C232" s="28"/>
      <c r="D232" s="28"/>
      <c r="E232" s="29"/>
      <c r="F232" s="29"/>
      <c r="G232" s="2"/>
      <c r="H232" s="2"/>
      <c r="I232" s="2"/>
      <c r="J232" s="2"/>
      <c r="K232" s="2"/>
      <c r="L232" s="3"/>
      <c r="M232" s="3"/>
      <c r="N232" s="3"/>
      <c r="O232" s="3"/>
      <c r="P232" s="3"/>
      <c r="Q232" s="3"/>
      <c r="R232" s="3"/>
      <c r="S232" s="3"/>
      <c r="T232" s="3"/>
      <c r="U232" s="4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4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4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4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</row>
    <row r="233" spans="1:181" ht="15" x14ac:dyDescent="0.25">
      <c r="A233" s="28"/>
      <c r="B233" s="9"/>
      <c r="C233" s="28"/>
      <c r="D233" s="28"/>
      <c r="E233" s="29"/>
      <c r="F233" s="29"/>
      <c r="G233" s="2"/>
      <c r="H233" s="2"/>
      <c r="I233" s="2"/>
      <c r="J233" s="2"/>
      <c r="K233" s="2"/>
      <c r="L233" s="3"/>
      <c r="M233" s="3"/>
      <c r="N233" s="3"/>
      <c r="O233" s="3"/>
      <c r="P233" s="3"/>
      <c r="Q233" s="3"/>
      <c r="R233" s="3"/>
      <c r="S233" s="3"/>
      <c r="T233" s="3"/>
      <c r="U233" s="4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4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4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4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</row>
    <row r="234" spans="1:181" ht="15" x14ac:dyDescent="0.25">
      <c r="A234" s="28"/>
      <c r="B234" s="9"/>
      <c r="C234" s="28"/>
      <c r="D234" s="28"/>
      <c r="E234" s="29"/>
      <c r="F234" s="29"/>
      <c r="G234" s="2"/>
      <c r="H234" s="2"/>
      <c r="I234" s="2"/>
      <c r="J234" s="2"/>
      <c r="K234" s="2"/>
      <c r="L234" s="3"/>
      <c r="M234" s="3"/>
      <c r="N234" s="3"/>
      <c r="O234" s="3"/>
      <c r="P234" s="3"/>
      <c r="Q234" s="3"/>
      <c r="R234" s="3"/>
      <c r="S234" s="3"/>
      <c r="T234" s="3"/>
      <c r="U234" s="4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4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4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4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</row>
    <row r="235" spans="1:181" ht="15" x14ac:dyDescent="0.25">
      <c r="A235" s="28"/>
      <c r="B235" s="9"/>
      <c r="C235" s="28"/>
      <c r="D235" s="28"/>
      <c r="E235" s="29"/>
      <c r="F235" s="29"/>
      <c r="G235" s="2"/>
      <c r="H235" s="2"/>
      <c r="I235" s="2"/>
      <c r="J235" s="2"/>
      <c r="K235" s="2"/>
      <c r="L235" s="3"/>
      <c r="M235" s="3"/>
      <c r="N235" s="3"/>
      <c r="O235" s="3"/>
      <c r="P235" s="3"/>
      <c r="Q235" s="3"/>
      <c r="R235" s="3"/>
      <c r="S235" s="3"/>
      <c r="T235" s="3"/>
      <c r="U235" s="4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4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4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4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</row>
    <row r="236" spans="1:181" ht="15" x14ac:dyDescent="0.25">
      <c r="A236" s="28"/>
      <c r="B236" s="10"/>
      <c r="C236" s="28"/>
      <c r="D236" s="28"/>
      <c r="E236" s="29"/>
      <c r="F236" s="29"/>
      <c r="G236" s="2"/>
      <c r="H236" s="2"/>
      <c r="I236" s="2"/>
      <c r="J236" s="2"/>
      <c r="K236" s="2"/>
      <c r="L236" s="3"/>
      <c r="M236" s="3"/>
      <c r="N236" s="3"/>
      <c r="O236" s="3"/>
      <c r="P236" s="3"/>
      <c r="Q236" s="3"/>
      <c r="R236" s="3"/>
      <c r="S236" s="3"/>
      <c r="T236" s="3"/>
      <c r="U236" s="4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4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4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4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</row>
    <row r="237" spans="1:181" ht="15" x14ac:dyDescent="0.25">
      <c r="A237" s="28"/>
      <c r="B237" s="9"/>
      <c r="C237" s="28"/>
      <c r="D237" s="28"/>
      <c r="E237" s="29"/>
      <c r="F237" s="29"/>
      <c r="G237" s="2"/>
      <c r="H237" s="2"/>
      <c r="I237" s="2"/>
      <c r="J237" s="2"/>
      <c r="K237" s="2"/>
      <c r="L237" s="3"/>
      <c r="M237" s="3"/>
      <c r="N237" s="3"/>
      <c r="O237" s="3"/>
      <c r="P237" s="3"/>
      <c r="Q237" s="3"/>
      <c r="R237" s="3"/>
      <c r="S237" s="3"/>
      <c r="T237" s="3"/>
      <c r="U237" s="4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4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4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4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</row>
    <row r="238" spans="1:181" ht="15" x14ac:dyDescent="0.25">
      <c r="A238" s="28"/>
      <c r="B238" s="9"/>
      <c r="C238" s="28"/>
      <c r="D238" s="28"/>
      <c r="E238" s="29"/>
      <c r="F238" s="29"/>
      <c r="G238" s="2"/>
      <c r="H238" s="2"/>
      <c r="I238" s="2"/>
      <c r="J238" s="2"/>
      <c r="K238" s="2"/>
      <c r="L238" s="3"/>
      <c r="M238" s="3"/>
      <c r="N238" s="3"/>
      <c r="O238" s="3"/>
      <c r="P238" s="3"/>
      <c r="Q238" s="3"/>
      <c r="R238" s="3"/>
      <c r="S238" s="3"/>
      <c r="T238" s="3"/>
      <c r="U238" s="4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4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4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4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</row>
    <row r="239" spans="1:181" ht="15" x14ac:dyDescent="0.25">
      <c r="A239" s="28"/>
      <c r="B239" s="28"/>
      <c r="C239" s="28"/>
      <c r="D239" s="28"/>
      <c r="E239" s="29"/>
      <c r="F239" s="29"/>
      <c r="G239" s="2"/>
      <c r="H239" s="2"/>
      <c r="I239" s="2"/>
      <c r="J239" s="2"/>
      <c r="K239" s="2"/>
      <c r="L239" s="3"/>
      <c r="M239" s="3"/>
      <c r="N239" s="3"/>
      <c r="O239" s="3"/>
      <c r="P239" s="3"/>
      <c r="Q239" s="3"/>
      <c r="R239" s="3"/>
      <c r="S239" s="3"/>
      <c r="T239" s="3"/>
      <c r="U239" s="4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4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4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4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</row>
    <row r="240" spans="1:181" ht="15" x14ac:dyDescent="0.25">
      <c r="A240" s="28"/>
      <c r="B240" s="10"/>
      <c r="C240" s="28"/>
      <c r="D240" s="28"/>
      <c r="E240" s="29"/>
      <c r="F240" s="29"/>
      <c r="G240" s="2"/>
      <c r="H240" s="2"/>
      <c r="I240" s="2"/>
      <c r="J240" s="2"/>
      <c r="K240" s="2"/>
      <c r="L240" s="3"/>
      <c r="M240" s="3"/>
      <c r="N240" s="3"/>
      <c r="O240" s="3"/>
      <c r="P240" s="11"/>
      <c r="Q240" s="11"/>
      <c r="R240" s="11"/>
      <c r="S240" s="11"/>
      <c r="T240" s="11"/>
      <c r="U240" s="12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4"/>
      <c r="AI240" s="11"/>
      <c r="AJ240" s="11"/>
      <c r="AK240" s="11"/>
      <c r="AL240" s="11"/>
      <c r="AM240" s="3"/>
      <c r="AN240" s="3"/>
      <c r="AO240" s="3"/>
      <c r="AP240" s="3"/>
      <c r="AQ240" s="3"/>
      <c r="AR240" s="3"/>
      <c r="AS240" s="3"/>
      <c r="AT240" s="3"/>
      <c r="AU240" s="4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4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</row>
    <row r="241" spans="1:181" ht="15" x14ac:dyDescent="0.25">
      <c r="A241" s="28"/>
      <c r="B241" s="10"/>
      <c r="C241" s="28"/>
      <c r="D241" s="28"/>
      <c r="E241" s="29"/>
      <c r="F241" s="29"/>
      <c r="G241" s="2"/>
      <c r="H241" s="2"/>
      <c r="I241" s="2"/>
      <c r="J241" s="2"/>
      <c r="K241" s="2"/>
      <c r="L241" s="3"/>
      <c r="M241" s="3"/>
      <c r="N241" s="3"/>
      <c r="O241" s="3"/>
      <c r="P241" s="3"/>
      <c r="Q241" s="3"/>
      <c r="R241" s="3"/>
      <c r="S241" s="3"/>
      <c r="T241" s="3"/>
      <c r="U241" s="4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4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4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4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</row>
    <row r="242" spans="1:181" ht="15" x14ac:dyDescent="0.25">
      <c r="A242" s="28"/>
      <c r="B242" s="9"/>
      <c r="C242" s="28"/>
      <c r="D242" s="28"/>
      <c r="E242" s="29"/>
      <c r="F242" s="29"/>
      <c r="G242" s="2"/>
      <c r="H242" s="2"/>
      <c r="I242" s="2"/>
      <c r="J242" s="2"/>
      <c r="K242" s="2"/>
      <c r="L242" s="3"/>
      <c r="M242" s="3"/>
      <c r="N242" s="3"/>
      <c r="O242" s="3"/>
      <c r="P242" s="3"/>
      <c r="Q242" s="3"/>
      <c r="R242" s="3"/>
      <c r="S242" s="3"/>
      <c r="T242" s="3"/>
      <c r="U242" s="4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4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4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4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</row>
    <row r="243" spans="1:181" ht="15" x14ac:dyDescent="0.25">
      <c r="A243" s="28"/>
      <c r="B243" s="9"/>
      <c r="C243" s="28"/>
      <c r="D243" s="28"/>
      <c r="E243" s="29"/>
      <c r="F243" s="29"/>
      <c r="G243" s="2"/>
      <c r="H243" s="2"/>
      <c r="I243" s="2"/>
      <c r="J243" s="2"/>
      <c r="K243" s="2"/>
      <c r="L243" s="3"/>
      <c r="M243" s="3"/>
      <c r="N243" s="3"/>
      <c r="O243" s="3"/>
      <c r="P243" s="3"/>
      <c r="Q243" s="3"/>
      <c r="R243" s="3"/>
      <c r="S243" s="3"/>
      <c r="T243" s="3"/>
      <c r="U243" s="4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4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4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4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</row>
    <row r="244" spans="1:181" ht="15" x14ac:dyDescent="0.25">
      <c r="A244" s="28"/>
      <c r="B244" s="10"/>
      <c r="C244" s="28"/>
      <c r="D244" s="28"/>
      <c r="E244" s="29"/>
      <c r="F244" s="29"/>
      <c r="G244" s="2"/>
      <c r="H244" s="2"/>
      <c r="I244" s="2"/>
      <c r="J244" s="2"/>
      <c r="K244" s="2"/>
      <c r="L244" s="3"/>
      <c r="M244" s="3"/>
      <c r="N244" s="3"/>
      <c r="O244" s="3"/>
      <c r="P244" s="3"/>
      <c r="Q244" s="3"/>
      <c r="R244" s="3"/>
      <c r="S244" s="3"/>
      <c r="T244" s="3"/>
      <c r="U244" s="4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11"/>
      <c r="AH244" s="4"/>
      <c r="AI244" s="11"/>
      <c r="AJ244" s="11"/>
      <c r="AK244" s="11"/>
      <c r="AL244" s="3"/>
      <c r="AM244" s="3"/>
      <c r="AN244" s="3"/>
      <c r="AO244" s="3"/>
      <c r="AP244" s="3"/>
      <c r="AQ244" s="3"/>
      <c r="AR244" s="3"/>
      <c r="AS244" s="3"/>
      <c r="AT244" s="3"/>
      <c r="AU244" s="4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4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</row>
    <row r="245" spans="1:181" ht="15" x14ac:dyDescent="0.25">
      <c r="A245" s="28"/>
      <c r="B245" s="10"/>
      <c r="C245" s="28"/>
      <c r="D245" s="28"/>
      <c r="E245" s="29"/>
      <c r="F245" s="29"/>
      <c r="G245" s="2"/>
      <c r="H245" s="2"/>
      <c r="I245" s="2"/>
      <c r="J245" s="2"/>
      <c r="K245" s="2"/>
      <c r="L245" s="3"/>
      <c r="M245" s="3"/>
      <c r="N245" s="3"/>
      <c r="O245" s="3"/>
      <c r="P245" s="3"/>
      <c r="Q245" s="3"/>
      <c r="R245" s="3"/>
      <c r="S245" s="3"/>
      <c r="T245" s="3"/>
      <c r="U245" s="4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4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4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4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</row>
    <row r="246" spans="1:181" ht="15" x14ac:dyDescent="0.25">
      <c r="A246" s="28"/>
      <c r="B246" s="10"/>
      <c r="C246" s="28"/>
      <c r="D246" s="28"/>
      <c r="E246" s="29"/>
      <c r="F246" s="29"/>
      <c r="G246" s="2"/>
      <c r="H246" s="2"/>
      <c r="I246" s="2"/>
      <c r="J246" s="2"/>
      <c r="K246" s="2"/>
      <c r="L246" s="3"/>
      <c r="M246" s="3"/>
      <c r="N246" s="3"/>
      <c r="O246" s="3"/>
      <c r="P246" s="3"/>
      <c r="Q246" s="3"/>
      <c r="R246" s="3"/>
      <c r="S246" s="3"/>
      <c r="T246" s="3"/>
      <c r="U246" s="4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4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4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4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</row>
    <row r="247" spans="1:181" ht="15" x14ac:dyDescent="0.25">
      <c r="A247" s="28"/>
      <c r="B247" s="10"/>
      <c r="C247" s="28"/>
      <c r="D247" s="28"/>
      <c r="E247" s="29"/>
      <c r="F247" s="29"/>
      <c r="G247" s="2"/>
      <c r="H247" s="2"/>
      <c r="I247" s="2"/>
      <c r="J247" s="2"/>
      <c r="K247" s="2"/>
      <c r="L247" s="3"/>
      <c r="M247" s="3"/>
      <c r="N247" s="3"/>
      <c r="O247" s="3"/>
      <c r="P247" s="3"/>
      <c r="Q247" s="3"/>
      <c r="R247" s="3"/>
      <c r="S247" s="3"/>
      <c r="T247" s="3"/>
      <c r="U247" s="4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4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4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4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</row>
    <row r="248" spans="1:181" ht="15" x14ac:dyDescent="0.25">
      <c r="A248" s="28"/>
      <c r="B248" s="10"/>
      <c r="C248" s="28"/>
      <c r="D248" s="28"/>
      <c r="E248" s="29"/>
      <c r="F248" s="29"/>
      <c r="G248" s="2"/>
      <c r="H248" s="2"/>
      <c r="I248" s="2"/>
      <c r="J248" s="2"/>
      <c r="K248" s="2"/>
      <c r="L248" s="3"/>
      <c r="M248" s="3"/>
      <c r="N248" s="3"/>
      <c r="O248" s="3"/>
      <c r="P248" s="3"/>
      <c r="Q248" s="3"/>
      <c r="R248" s="3"/>
      <c r="S248" s="3"/>
      <c r="T248" s="3"/>
      <c r="U248" s="4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4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4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4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</row>
    <row r="249" spans="1:181" ht="15" x14ac:dyDescent="0.25">
      <c r="A249" s="28"/>
      <c r="B249" s="10"/>
      <c r="C249" s="28"/>
      <c r="D249" s="28"/>
      <c r="E249" s="29"/>
      <c r="F249" s="29"/>
      <c r="G249" s="2"/>
      <c r="H249" s="2"/>
      <c r="I249" s="2"/>
      <c r="J249" s="2"/>
      <c r="K249" s="2"/>
      <c r="L249" s="3"/>
      <c r="M249" s="3"/>
      <c r="N249" s="3"/>
      <c r="O249" s="3"/>
      <c r="P249" s="3"/>
      <c r="Q249" s="3"/>
      <c r="R249" s="3"/>
      <c r="S249" s="3"/>
      <c r="T249" s="3"/>
      <c r="U249" s="4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4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4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4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</row>
    <row r="250" spans="1:181" ht="15" x14ac:dyDescent="0.25">
      <c r="A250" s="28"/>
      <c r="B250" s="28"/>
      <c r="C250" s="28"/>
      <c r="D250" s="28"/>
      <c r="E250" s="29"/>
      <c r="F250" s="29"/>
      <c r="G250" s="2"/>
      <c r="H250" s="2"/>
      <c r="I250" s="2"/>
      <c r="J250" s="2"/>
      <c r="K250" s="2"/>
      <c r="L250" s="3"/>
      <c r="M250" s="3"/>
      <c r="N250" s="3"/>
      <c r="O250" s="3"/>
      <c r="P250" s="3"/>
      <c r="Q250" s="3"/>
      <c r="R250" s="3"/>
      <c r="S250" s="3"/>
      <c r="T250" s="3"/>
      <c r="U250" s="4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4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4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4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</row>
    <row r="251" spans="1:181" ht="15" x14ac:dyDescent="0.25">
      <c r="A251" s="28"/>
      <c r="B251" s="28"/>
      <c r="C251" s="28"/>
      <c r="D251" s="28"/>
      <c r="E251" s="29"/>
      <c r="F251" s="29"/>
      <c r="G251" s="2"/>
      <c r="H251" s="2"/>
      <c r="I251" s="2"/>
      <c r="J251" s="2"/>
      <c r="K251" s="2"/>
      <c r="L251" s="3"/>
      <c r="M251" s="3"/>
      <c r="N251" s="3"/>
      <c r="O251" s="3"/>
      <c r="P251" s="3"/>
      <c r="Q251" s="3"/>
      <c r="R251" s="3"/>
      <c r="S251" s="3"/>
      <c r="T251" s="3"/>
      <c r="U251" s="4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4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4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4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</row>
    <row r="252" spans="1:181" ht="15" x14ac:dyDescent="0.25">
      <c r="E252" s="29"/>
      <c r="F252" s="29"/>
      <c r="G252" s="2"/>
      <c r="H252" s="2"/>
      <c r="I252" s="2"/>
      <c r="J252" s="2"/>
      <c r="K252" s="2"/>
      <c r="L252" s="3"/>
      <c r="M252" s="3"/>
      <c r="N252" s="3"/>
      <c r="O252" s="3"/>
      <c r="P252" s="3"/>
      <c r="Q252" s="3"/>
      <c r="R252" s="3"/>
      <c r="S252" s="3"/>
      <c r="T252" s="3"/>
      <c r="U252" s="4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4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4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4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</row>
    <row r="253" spans="1:181" ht="15" x14ac:dyDescent="0.25">
      <c r="E253" s="29"/>
      <c r="F253" s="29"/>
      <c r="G253" s="2"/>
      <c r="H253" s="2"/>
      <c r="I253" s="2"/>
      <c r="J253" s="2"/>
      <c r="K253" s="2"/>
      <c r="L253" s="3"/>
      <c r="M253" s="3"/>
      <c r="N253" s="3"/>
      <c r="O253" s="3"/>
      <c r="P253" s="3"/>
      <c r="Q253" s="3"/>
      <c r="R253" s="3"/>
      <c r="S253" s="3"/>
      <c r="T253" s="3"/>
      <c r="U253" s="4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4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4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4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</row>
    <row r="254" spans="1:181" ht="15" x14ac:dyDescent="0.25">
      <c r="E254" s="29"/>
      <c r="F254" s="29"/>
      <c r="G254" s="2"/>
      <c r="H254" s="2"/>
      <c r="I254" s="2"/>
      <c r="J254" s="2"/>
      <c r="K254" s="2"/>
      <c r="L254" s="3"/>
      <c r="M254" s="3"/>
      <c r="N254" s="3"/>
      <c r="O254" s="3"/>
      <c r="P254" s="3"/>
      <c r="Q254" s="3"/>
      <c r="R254" s="3"/>
      <c r="S254" s="3"/>
      <c r="T254" s="3"/>
      <c r="U254" s="4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4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4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4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</row>
    <row r="255" spans="1:181" ht="15" x14ac:dyDescent="0.25">
      <c r="A255" s="28"/>
      <c r="B255" s="28"/>
      <c r="C255" s="28"/>
      <c r="D255" s="28"/>
      <c r="E255" s="29"/>
      <c r="F255" s="29"/>
      <c r="G255" s="2"/>
      <c r="H255" s="2"/>
      <c r="I255" s="2"/>
      <c r="J255" s="2"/>
      <c r="K255" s="2"/>
      <c r="L255" s="3"/>
      <c r="M255" s="11"/>
      <c r="N255" s="11"/>
      <c r="O255" s="3"/>
      <c r="P255" s="3"/>
      <c r="Q255" s="3"/>
      <c r="R255" s="3"/>
      <c r="S255" s="3"/>
      <c r="T255" s="3"/>
      <c r="U255" s="4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4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4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4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</row>
    <row r="256" spans="1:181" ht="15" x14ac:dyDescent="0.25">
      <c r="A256" s="28"/>
      <c r="B256" s="28"/>
      <c r="C256" s="28"/>
      <c r="D256" s="28"/>
      <c r="E256" s="29"/>
      <c r="F256" s="29"/>
      <c r="G256" s="2"/>
      <c r="H256" s="2"/>
      <c r="I256" s="2"/>
      <c r="J256" s="2"/>
      <c r="K256" s="2"/>
      <c r="L256" s="3"/>
      <c r="M256" s="11"/>
      <c r="N256" s="11"/>
      <c r="O256" s="3"/>
      <c r="P256" s="3"/>
      <c r="Q256" s="3"/>
      <c r="R256" s="3"/>
      <c r="S256" s="3"/>
      <c r="T256" s="3"/>
      <c r="U256" s="4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4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4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4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</row>
    <row r="257" spans="1:181" ht="15" x14ac:dyDescent="0.25">
      <c r="A257" s="28"/>
      <c r="B257" s="28"/>
      <c r="C257" s="28"/>
      <c r="D257" s="28"/>
      <c r="E257" s="29"/>
      <c r="F257" s="29"/>
      <c r="G257" s="2"/>
      <c r="H257" s="2"/>
      <c r="I257" s="2"/>
      <c r="J257" s="2"/>
      <c r="K257" s="2"/>
      <c r="L257" s="3"/>
      <c r="M257" s="11"/>
      <c r="N257" s="11"/>
      <c r="O257" s="3"/>
      <c r="P257" s="3"/>
      <c r="Q257" s="3"/>
      <c r="R257" s="3"/>
      <c r="S257" s="3"/>
      <c r="T257" s="3"/>
      <c r="U257" s="4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4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4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4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</row>
    <row r="258" spans="1:181" ht="15" x14ac:dyDescent="0.25">
      <c r="A258" s="28"/>
      <c r="B258" s="28"/>
      <c r="C258" s="28"/>
      <c r="D258" s="28"/>
      <c r="E258" s="29"/>
      <c r="F258" s="29"/>
      <c r="G258" s="2"/>
      <c r="H258" s="2"/>
      <c r="I258" s="2"/>
      <c r="J258" s="2"/>
      <c r="K258" s="2"/>
      <c r="L258" s="3"/>
      <c r="M258" s="3"/>
      <c r="N258" s="3"/>
      <c r="O258" s="3"/>
      <c r="P258" s="11"/>
      <c r="Q258" s="11"/>
      <c r="R258" s="11"/>
      <c r="S258" s="11"/>
      <c r="T258" s="11"/>
      <c r="U258" s="12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4"/>
      <c r="AI258" s="11"/>
      <c r="AJ258" s="11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4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4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</row>
    <row r="259" spans="1:181" ht="15" x14ac:dyDescent="0.25">
      <c r="A259" s="28"/>
      <c r="B259" s="28"/>
      <c r="C259" s="28"/>
      <c r="D259" s="28"/>
      <c r="E259" s="29"/>
      <c r="F259" s="29"/>
      <c r="G259" s="2"/>
      <c r="H259" s="2"/>
      <c r="I259" s="2"/>
      <c r="J259" s="2"/>
      <c r="K259" s="2"/>
      <c r="L259" s="3"/>
      <c r="M259" s="3"/>
      <c r="N259" s="3"/>
      <c r="O259" s="3"/>
      <c r="P259" s="3"/>
      <c r="Q259" s="3"/>
      <c r="R259" s="3"/>
      <c r="S259" s="3"/>
      <c r="T259" s="3"/>
      <c r="U259" s="4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4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0"/>
      <c r="AT259" s="30"/>
      <c r="AU259" s="4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4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</row>
    <row r="260" spans="1:181" ht="15" x14ac:dyDescent="0.25">
      <c r="A260" s="28"/>
      <c r="B260" s="28"/>
      <c r="C260" s="28"/>
      <c r="D260" s="28"/>
      <c r="E260" s="29"/>
      <c r="F260" s="29"/>
      <c r="G260" s="2"/>
      <c r="H260" s="2"/>
      <c r="I260" s="2"/>
      <c r="J260" s="2"/>
      <c r="K260" s="2"/>
      <c r="L260" s="3"/>
      <c r="M260" s="3"/>
      <c r="N260" s="3"/>
      <c r="O260" s="3"/>
      <c r="P260" s="3"/>
      <c r="Q260" s="3"/>
      <c r="R260" s="3"/>
      <c r="S260" s="3"/>
      <c r="T260" s="3"/>
      <c r="U260" s="4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4"/>
      <c r="AI260" s="3"/>
      <c r="AJ260" s="3"/>
      <c r="AK260" s="3"/>
      <c r="AL260" s="3"/>
      <c r="AM260" s="3"/>
      <c r="AN260" s="3"/>
      <c r="AO260" s="3"/>
      <c r="AP260" s="3"/>
      <c r="AQ260" s="30"/>
      <c r="AR260" s="3"/>
      <c r="AS260" s="3"/>
      <c r="AT260" s="3"/>
      <c r="AU260" s="4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4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</row>
    <row r="261" spans="1:181" ht="15" x14ac:dyDescent="0.25">
      <c r="A261" s="28"/>
      <c r="B261" s="28"/>
      <c r="C261" s="28"/>
      <c r="D261" s="28"/>
      <c r="E261" s="29"/>
      <c r="F261" s="29"/>
      <c r="G261" s="2"/>
      <c r="H261" s="2"/>
      <c r="I261" s="2"/>
      <c r="J261" s="2"/>
      <c r="K261" s="2"/>
      <c r="L261" s="3"/>
      <c r="M261" s="3"/>
      <c r="N261" s="3"/>
      <c r="O261" s="3"/>
      <c r="P261" s="3"/>
      <c r="Q261" s="3"/>
      <c r="R261" s="3"/>
      <c r="S261" s="3"/>
      <c r="T261" s="3"/>
      <c r="U261" s="4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4"/>
      <c r="AI261" s="3"/>
      <c r="AJ261" s="3"/>
      <c r="AK261" s="3"/>
      <c r="AL261" s="3"/>
      <c r="AM261" s="3"/>
      <c r="AN261" s="3"/>
      <c r="AO261" s="3"/>
      <c r="AP261" s="3"/>
      <c r="AQ261" s="3"/>
      <c r="AR261" s="30"/>
      <c r="AS261" s="30"/>
      <c r="AT261" s="3"/>
      <c r="AU261" s="4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4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</row>
    <row r="262" spans="1:181" ht="15" x14ac:dyDescent="0.25">
      <c r="A262" s="28"/>
      <c r="B262" s="28"/>
      <c r="C262" s="28"/>
      <c r="D262" s="28"/>
      <c r="E262" s="29"/>
      <c r="F262" s="29"/>
      <c r="G262" s="2"/>
      <c r="H262" s="2"/>
      <c r="I262" s="2"/>
      <c r="J262" s="2"/>
      <c r="K262" s="2"/>
      <c r="L262" s="30"/>
      <c r="M262" s="30"/>
      <c r="N262" s="30"/>
      <c r="O262" s="30"/>
      <c r="P262" s="30"/>
      <c r="Q262" s="30"/>
      <c r="R262" s="30"/>
      <c r="S262" s="30"/>
      <c r="T262" s="30"/>
      <c r="U262" s="31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1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1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1"/>
      <c r="BI262" s="30"/>
      <c r="BJ262" s="30"/>
      <c r="BK262" s="30"/>
      <c r="BL262" s="30"/>
      <c r="BM262" s="30"/>
      <c r="BN262" s="30"/>
      <c r="BO262" s="30"/>
      <c r="BP262" s="30"/>
      <c r="BQ262" s="30"/>
      <c r="BR262" s="30"/>
      <c r="BS262" s="30"/>
      <c r="BT262" s="30"/>
      <c r="BU262" s="30"/>
      <c r="BV262" s="30"/>
      <c r="BW262" s="30"/>
      <c r="BX262" s="30"/>
      <c r="BY262" s="30"/>
      <c r="BZ262" s="30"/>
      <c r="CA262" s="30"/>
      <c r="CB262" s="30"/>
      <c r="CC262" s="30"/>
      <c r="CD262" s="30"/>
      <c r="CE262" s="30"/>
      <c r="CF262" s="30"/>
      <c r="CG262" s="30"/>
      <c r="CH262" s="30"/>
      <c r="CI262" s="30"/>
      <c r="CJ262" s="30"/>
      <c r="CK262" s="30"/>
      <c r="CL262" s="30"/>
      <c r="CM262" s="30"/>
      <c r="CN262" s="30"/>
      <c r="CO262" s="30"/>
      <c r="CP262" s="30"/>
      <c r="CQ262" s="30"/>
      <c r="CR262" s="30"/>
      <c r="CS262" s="30"/>
      <c r="CT262" s="30"/>
      <c r="CU262" s="30"/>
      <c r="CV262" s="30"/>
      <c r="CW262" s="30"/>
      <c r="CX262" s="30"/>
      <c r="CY262" s="30"/>
      <c r="CZ262" s="30"/>
      <c r="DA262" s="30"/>
      <c r="DB262" s="30"/>
      <c r="DC262" s="30"/>
      <c r="DD262" s="30"/>
      <c r="DE262" s="30"/>
      <c r="DF262" s="30"/>
      <c r="DG262" s="30"/>
      <c r="DH262" s="30"/>
      <c r="DI262" s="30"/>
      <c r="DJ262" s="30"/>
      <c r="DK262" s="30"/>
      <c r="DL262" s="30"/>
      <c r="DM262" s="30"/>
      <c r="DN262" s="30"/>
      <c r="DO262" s="30"/>
      <c r="DP262" s="30"/>
      <c r="DQ262" s="30"/>
      <c r="DR262" s="30"/>
      <c r="DS262" s="30"/>
      <c r="DT262" s="30"/>
      <c r="DU262" s="30"/>
      <c r="DV262" s="30"/>
      <c r="DW262" s="30"/>
      <c r="DX262" s="30"/>
      <c r="DY262" s="30"/>
      <c r="DZ262" s="30"/>
      <c r="EA262" s="30"/>
      <c r="EB262" s="30"/>
      <c r="EC262" s="30"/>
      <c r="ED262" s="30"/>
      <c r="EE262" s="30"/>
      <c r="EF262" s="30"/>
      <c r="EG262" s="30"/>
      <c r="EH262" s="30"/>
      <c r="EI262" s="30"/>
      <c r="EJ262" s="30"/>
      <c r="EK262" s="30"/>
      <c r="EL262" s="30"/>
      <c r="EM262" s="30"/>
      <c r="EN262" s="30"/>
      <c r="EO262" s="30"/>
      <c r="EP262" s="30"/>
      <c r="EQ262" s="30"/>
      <c r="ER262" s="30"/>
      <c r="ES262" s="30"/>
      <c r="ET262" s="30"/>
      <c r="EU262" s="30"/>
      <c r="EV262" s="30"/>
      <c r="EW262" s="30"/>
      <c r="EX262" s="30"/>
      <c r="EY262" s="30"/>
      <c r="EZ262" s="30"/>
      <c r="FA262" s="30"/>
      <c r="FB262" s="30"/>
      <c r="FC262" s="30"/>
      <c r="FD262" s="30"/>
      <c r="FE262" s="30"/>
      <c r="FF262" s="30"/>
      <c r="FG262" s="30"/>
      <c r="FH262" s="30"/>
      <c r="FI262" s="30"/>
      <c r="FJ262" s="30"/>
      <c r="FK262" s="30"/>
      <c r="FL262" s="30"/>
      <c r="FM262" s="30"/>
      <c r="FN262" s="30"/>
      <c r="FO262" s="30"/>
      <c r="FP262" s="30"/>
      <c r="FQ262" s="30"/>
      <c r="FR262" s="30"/>
      <c r="FS262" s="30"/>
      <c r="FT262" s="30"/>
      <c r="FU262" s="30"/>
      <c r="FV262" s="30"/>
      <c r="FW262" s="30"/>
      <c r="FX262" s="30"/>
      <c r="FY262" s="30"/>
    </row>
    <row r="263" spans="1:181" ht="15" x14ac:dyDescent="0.25">
      <c r="A263" s="28"/>
      <c r="B263" s="28"/>
      <c r="C263" s="28"/>
      <c r="D263" s="28"/>
      <c r="E263" s="29"/>
      <c r="F263" s="29"/>
      <c r="G263" s="2"/>
      <c r="H263" s="2"/>
      <c r="I263" s="2"/>
      <c r="J263" s="2"/>
      <c r="K263" s="2"/>
      <c r="L263" s="30"/>
      <c r="M263" s="30"/>
      <c r="N263" s="30"/>
      <c r="O263" s="30"/>
      <c r="P263" s="30"/>
      <c r="Q263" s="30"/>
      <c r="R263" s="30"/>
      <c r="S263" s="30"/>
      <c r="T263" s="30"/>
      <c r="U263" s="31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1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1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1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0"/>
      <c r="CL263" s="30"/>
      <c r="CM263" s="30"/>
      <c r="CN263" s="30"/>
      <c r="CO263" s="30"/>
      <c r="CP263" s="30"/>
      <c r="CQ263" s="30"/>
      <c r="CR263" s="30"/>
      <c r="CS263" s="30"/>
      <c r="CT263" s="30"/>
      <c r="CU263" s="30"/>
      <c r="CV263" s="30"/>
      <c r="CW263" s="30"/>
      <c r="CX263" s="30"/>
      <c r="CY263" s="30"/>
      <c r="CZ263" s="30"/>
      <c r="DA263" s="30"/>
      <c r="DB263" s="30"/>
      <c r="DC263" s="30"/>
      <c r="DD263" s="30"/>
      <c r="DE263" s="30"/>
      <c r="DF263" s="30"/>
      <c r="DG263" s="30"/>
      <c r="DH263" s="30"/>
      <c r="DI263" s="30"/>
      <c r="DJ263" s="30"/>
      <c r="DK263" s="30"/>
      <c r="DL263" s="30"/>
      <c r="DM263" s="30"/>
      <c r="DN263" s="30"/>
      <c r="DO263" s="30"/>
      <c r="DP263" s="30"/>
      <c r="DQ263" s="30"/>
      <c r="DR263" s="30"/>
      <c r="DS263" s="30"/>
      <c r="DT263" s="30"/>
      <c r="DU263" s="30"/>
      <c r="DV263" s="30"/>
      <c r="DW263" s="30"/>
      <c r="DX263" s="30"/>
      <c r="DY263" s="30"/>
      <c r="DZ263" s="30"/>
      <c r="EA263" s="30"/>
      <c r="EB263" s="30"/>
      <c r="EC263" s="30"/>
      <c r="ED263" s="30"/>
      <c r="EE263" s="30"/>
      <c r="EF263" s="30"/>
      <c r="EG263" s="30"/>
      <c r="EH263" s="30"/>
      <c r="EI263" s="30"/>
      <c r="EJ263" s="30"/>
      <c r="EK263" s="30"/>
      <c r="EL263" s="30"/>
      <c r="EM263" s="30"/>
      <c r="EN263" s="30"/>
      <c r="EO263" s="30"/>
      <c r="EP263" s="30"/>
      <c r="EQ263" s="30"/>
      <c r="ER263" s="30"/>
      <c r="ES263" s="30"/>
      <c r="ET263" s="30"/>
      <c r="EU263" s="30"/>
      <c r="EV263" s="30"/>
      <c r="EW263" s="30"/>
      <c r="EX263" s="30"/>
      <c r="EY263" s="30"/>
      <c r="EZ263" s="30"/>
      <c r="FA263" s="30"/>
      <c r="FB263" s="30"/>
      <c r="FC263" s="30"/>
      <c r="FD263" s="30"/>
      <c r="FE263" s="30"/>
      <c r="FF263" s="30"/>
      <c r="FG263" s="30"/>
      <c r="FH263" s="30"/>
      <c r="FI263" s="30"/>
      <c r="FJ263" s="30"/>
      <c r="FK263" s="30"/>
      <c r="FL263" s="30"/>
      <c r="FM263" s="30"/>
      <c r="FN263" s="30"/>
      <c r="FO263" s="30"/>
      <c r="FP263" s="30"/>
      <c r="FQ263" s="30"/>
      <c r="FR263" s="30"/>
      <c r="FS263" s="30"/>
      <c r="FT263" s="30"/>
      <c r="FU263" s="30"/>
      <c r="FV263" s="30"/>
      <c r="FW263" s="30"/>
      <c r="FX263" s="30"/>
      <c r="FY263" s="30"/>
    </row>
    <row r="264" spans="1:181" ht="15" x14ac:dyDescent="0.25">
      <c r="A264" s="28"/>
      <c r="B264" s="28"/>
      <c r="C264" s="28"/>
      <c r="D264" s="28"/>
      <c r="E264" s="29"/>
      <c r="F264" s="29"/>
      <c r="G264" s="2"/>
      <c r="H264" s="2"/>
      <c r="I264" s="2"/>
      <c r="J264" s="2"/>
      <c r="K264" s="2"/>
      <c r="L264" s="30"/>
      <c r="M264" s="30"/>
      <c r="N264" s="30"/>
      <c r="O264" s="30"/>
      <c r="P264" s="30"/>
      <c r="Q264" s="30"/>
      <c r="R264" s="30"/>
      <c r="S264" s="30"/>
      <c r="T264" s="30"/>
      <c r="U264" s="31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1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1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1"/>
      <c r="BI264" s="30"/>
      <c r="BJ264" s="30"/>
      <c r="BK264" s="30"/>
      <c r="BL264" s="30"/>
      <c r="BM264" s="30"/>
      <c r="BN264" s="30"/>
      <c r="BO264" s="30"/>
      <c r="BP264" s="30"/>
      <c r="BQ264" s="30"/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0"/>
      <c r="CL264" s="30"/>
      <c r="CM264" s="30"/>
      <c r="CN264" s="30"/>
      <c r="CO264" s="30"/>
      <c r="CP264" s="30"/>
      <c r="CQ264" s="30"/>
      <c r="CR264" s="30"/>
      <c r="CS264" s="30"/>
      <c r="CT264" s="30"/>
      <c r="CU264" s="30"/>
      <c r="CV264" s="30"/>
      <c r="CW264" s="30"/>
      <c r="CX264" s="30"/>
      <c r="CY264" s="30"/>
      <c r="CZ264" s="30"/>
      <c r="DA264" s="30"/>
      <c r="DB264" s="30"/>
      <c r="DC264" s="30"/>
      <c r="DD264" s="30"/>
      <c r="DE264" s="30"/>
      <c r="DF264" s="30"/>
      <c r="DG264" s="30"/>
      <c r="DH264" s="30"/>
      <c r="DI264" s="30"/>
      <c r="DJ264" s="30"/>
      <c r="DK264" s="30"/>
      <c r="DL264" s="30"/>
      <c r="DM264" s="30"/>
      <c r="DN264" s="30"/>
      <c r="DO264" s="30"/>
      <c r="DP264" s="30"/>
      <c r="DQ264" s="30"/>
      <c r="DR264" s="30"/>
      <c r="DS264" s="30"/>
      <c r="DT264" s="30"/>
      <c r="DU264" s="30"/>
      <c r="DV264" s="30"/>
      <c r="DW264" s="30"/>
      <c r="DX264" s="30"/>
      <c r="DY264" s="30"/>
      <c r="DZ264" s="30"/>
      <c r="EA264" s="30"/>
      <c r="EB264" s="30"/>
      <c r="EC264" s="30"/>
      <c r="ED264" s="30"/>
      <c r="EE264" s="30"/>
      <c r="EF264" s="30"/>
      <c r="EG264" s="30"/>
      <c r="EH264" s="30"/>
      <c r="EI264" s="30"/>
      <c r="EJ264" s="30"/>
      <c r="EK264" s="30"/>
      <c r="EL264" s="30"/>
      <c r="EM264" s="30"/>
      <c r="EN264" s="30"/>
      <c r="EO264" s="30"/>
      <c r="EP264" s="30"/>
      <c r="EQ264" s="30"/>
      <c r="ER264" s="30"/>
      <c r="ES264" s="30"/>
      <c r="ET264" s="30"/>
      <c r="EU264" s="30"/>
      <c r="EV264" s="30"/>
      <c r="EW264" s="30"/>
      <c r="EX264" s="30"/>
      <c r="EY264" s="30"/>
      <c r="EZ264" s="30"/>
      <c r="FA264" s="30"/>
      <c r="FB264" s="30"/>
      <c r="FC264" s="30"/>
      <c r="FD264" s="30"/>
      <c r="FE264" s="30"/>
      <c r="FF264" s="30"/>
      <c r="FG264" s="30"/>
      <c r="FH264" s="30"/>
      <c r="FI264" s="30"/>
      <c r="FJ264" s="30"/>
      <c r="FK264" s="30"/>
      <c r="FL264" s="30"/>
      <c r="FM264" s="30"/>
      <c r="FN264" s="30"/>
      <c r="FO264" s="30"/>
      <c r="FP264" s="30"/>
      <c r="FQ264" s="30"/>
      <c r="FR264" s="30"/>
      <c r="FS264" s="30"/>
      <c r="FT264" s="30"/>
      <c r="FU264" s="30"/>
      <c r="FV264" s="30"/>
      <c r="FW264" s="30"/>
      <c r="FX264" s="30"/>
      <c r="FY264" s="30"/>
    </row>
    <row r="265" spans="1:181" ht="15" x14ac:dyDescent="0.25">
      <c r="A265" s="28"/>
      <c r="B265" s="28"/>
      <c r="C265" s="28"/>
      <c r="D265" s="28"/>
      <c r="E265" s="29"/>
      <c r="F265" s="29"/>
      <c r="G265" s="2"/>
      <c r="H265" s="2"/>
      <c r="I265" s="2"/>
      <c r="J265" s="2"/>
      <c r="K265" s="2"/>
      <c r="L265" s="30"/>
      <c r="M265" s="30"/>
      <c r="N265" s="30"/>
      <c r="O265" s="30"/>
      <c r="P265" s="30"/>
      <c r="Q265" s="30"/>
      <c r="R265" s="30"/>
      <c r="S265" s="30"/>
      <c r="T265" s="30"/>
      <c r="U265" s="31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1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1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1"/>
      <c r="BI265" s="30"/>
      <c r="BJ265" s="30"/>
      <c r="BK265" s="30"/>
      <c r="BL265" s="30"/>
      <c r="BM265" s="30"/>
      <c r="BN265" s="30"/>
      <c r="BO265" s="30"/>
      <c r="BP265" s="30"/>
      <c r="BQ265" s="30"/>
      <c r="BR265" s="30"/>
      <c r="BS265" s="30"/>
      <c r="BT265" s="30"/>
      <c r="BU265" s="30"/>
      <c r="BV265" s="30"/>
      <c r="BW265" s="30"/>
      <c r="BX265" s="30"/>
      <c r="BY265" s="30"/>
      <c r="BZ265" s="30"/>
      <c r="CA265" s="30"/>
      <c r="CB265" s="30"/>
      <c r="CC265" s="30"/>
      <c r="CD265" s="30"/>
      <c r="CE265" s="30"/>
      <c r="CF265" s="30"/>
      <c r="CG265" s="30"/>
      <c r="CH265" s="30"/>
      <c r="CI265" s="30"/>
      <c r="CJ265" s="30"/>
      <c r="CK265" s="30"/>
      <c r="CL265" s="30"/>
      <c r="CM265" s="30"/>
      <c r="CN265" s="30"/>
      <c r="CO265" s="30"/>
      <c r="CP265" s="30"/>
      <c r="CQ265" s="30"/>
      <c r="CR265" s="30"/>
      <c r="CS265" s="30"/>
      <c r="CT265" s="30"/>
      <c r="CU265" s="30"/>
      <c r="CV265" s="30"/>
      <c r="CW265" s="30"/>
      <c r="CX265" s="30"/>
      <c r="CY265" s="30"/>
      <c r="CZ265" s="30"/>
      <c r="DA265" s="30"/>
      <c r="DB265" s="30"/>
      <c r="DC265" s="30"/>
      <c r="DD265" s="30"/>
      <c r="DE265" s="30"/>
      <c r="DF265" s="30"/>
      <c r="DG265" s="30"/>
      <c r="DH265" s="30"/>
      <c r="DI265" s="30"/>
      <c r="DJ265" s="30"/>
      <c r="DK265" s="30"/>
      <c r="DL265" s="30"/>
      <c r="DM265" s="30"/>
      <c r="DN265" s="30"/>
      <c r="DO265" s="30"/>
      <c r="DP265" s="30"/>
      <c r="DQ265" s="30"/>
      <c r="DR265" s="30"/>
      <c r="DS265" s="30"/>
      <c r="DT265" s="30"/>
      <c r="DU265" s="30"/>
      <c r="DV265" s="30"/>
      <c r="DW265" s="30"/>
      <c r="DX265" s="30"/>
      <c r="DY265" s="30"/>
      <c r="DZ265" s="30"/>
      <c r="EA265" s="30"/>
      <c r="EB265" s="30"/>
      <c r="EC265" s="30"/>
      <c r="ED265" s="30"/>
      <c r="EE265" s="30"/>
      <c r="EF265" s="30"/>
      <c r="EG265" s="30"/>
      <c r="EH265" s="30"/>
      <c r="EI265" s="30"/>
      <c r="EJ265" s="30"/>
      <c r="EK265" s="30"/>
      <c r="EL265" s="30"/>
      <c r="EM265" s="30"/>
      <c r="EN265" s="30"/>
      <c r="EO265" s="30"/>
      <c r="EP265" s="30"/>
      <c r="EQ265" s="30"/>
      <c r="ER265" s="30"/>
      <c r="ES265" s="30"/>
      <c r="ET265" s="30"/>
      <c r="EU265" s="30"/>
      <c r="EV265" s="30"/>
      <c r="EW265" s="30"/>
      <c r="EX265" s="30"/>
      <c r="EY265" s="30"/>
      <c r="EZ265" s="30"/>
      <c r="FA265" s="30"/>
      <c r="FB265" s="30"/>
      <c r="FC265" s="30"/>
      <c r="FD265" s="30"/>
      <c r="FE265" s="30"/>
      <c r="FF265" s="30"/>
      <c r="FG265" s="30"/>
      <c r="FH265" s="30"/>
      <c r="FI265" s="30"/>
      <c r="FJ265" s="30"/>
      <c r="FK265" s="30"/>
      <c r="FL265" s="30"/>
      <c r="FM265" s="30"/>
      <c r="FN265" s="30"/>
      <c r="FO265" s="30"/>
      <c r="FP265" s="30"/>
      <c r="FQ265" s="30"/>
      <c r="FR265" s="30"/>
      <c r="FS265" s="30"/>
      <c r="FT265" s="30"/>
      <c r="FU265" s="30"/>
      <c r="FV265" s="30"/>
      <c r="FW265" s="30"/>
      <c r="FX265" s="30"/>
      <c r="FY265" s="30"/>
    </row>
    <row r="266" spans="1:181" ht="15" x14ac:dyDescent="0.25">
      <c r="A266" s="28"/>
      <c r="B266" s="28"/>
      <c r="C266" s="28"/>
      <c r="D266" s="28"/>
      <c r="E266" s="29"/>
      <c r="F266" s="29"/>
      <c r="G266" s="2"/>
      <c r="H266" s="2"/>
      <c r="I266" s="2"/>
      <c r="J266" s="2"/>
      <c r="K266" s="2"/>
      <c r="L266" s="30"/>
      <c r="M266" s="30"/>
      <c r="N266" s="30"/>
      <c r="O266" s="30"/>
      <c r="P266" s="30"/>
      <c r="Q266" s="30"/>
      <c r="R266" s="30"/>
      <c r="S266" s="30"/>
      <c r="T266" s="30"/>
      <c r="U266" s="31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1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1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1"/>
      <c r="BI266" s="30"/>
      <c r="BJ266" s="30"/>
      <c r="BK266" s="30"/>
      <c r="BL266" s="30"/>
      <c r="BM266" s="30"/>
      <c r="BN266" s="30"/>
      <c r="BO266" s="30"/>
      <c r="BP266" s="30"/>
      <c r="BQ266" s="30"/>
      <c r="BR266" s="30"/>
      <c r="BS266" s="30"/>
      <c r="BT266" s="30"/>
      <c r="BU266" s="30"/>
      <c r="BV266" s="30"/>
      <c r="BW266" s="30"/>
      <c r="BX266" s="30"/>
      <c r="BY266" s="30"/>
      <c r="BZ266" s="30"/>
      <c r="CA266" s="30"/>
      <c r="CB266" s="30"/>
      <c r="CC266" s="30"/>
      <c r="CD266" s="30"/>
      <c r="CE266" s="30"/>
      <c r="CF266" s="30"/>
      <c r="CG266" s="30"/>
      <c r="CH266" s="30"/>
      <c r="CI266" s="30"/>
      <c r="CJ266" s="30"/>
      <c r="CK266" s="30"/>
      <c r="CL266" s="30"/>
      <c r="CM266" s="30"/>
      <c r="CN266" s="30"/>
      <c r="CO266" s="30"/>
      <c r="CP266" s="30"/>
      <c r="CQ266" s="30"/>
      <c r="CR266" s="30"/>
      <c r="CS266" s="30"/>
      <c r="CT266" s="30"/>
      <c r="CU266" s="30"/>
      <c r="CV266" s="30"/>
      <c r="CW266" s="30"/>
      <c r="CX266" s="30"/>
      <c r="CY266" s="30"/>
      <c r="CZ266" s="30"/>
      <c r="DA266" s="30"/>
      <c r="DB266" s="30"/>
      <c r="DC266" s="30"/>
      <c r="DD266" s="30"/>
      <c r="DE266" s="30"/>
      <c r="DF266" s="30"/>
      <c r="DG266" s="30"/>
      <c r="DH266" s="30"/>
      <c r="DI266" s="30"/>
      <c r="DJ266" s="30"/>
      <c r="DK266" s="30"/>
      <c r="DL266" s="30"/>
      <c r="DM266" s="30"/>
      <c r="DN266" s="30"/>
      <c r="DO266" s="30"/>
      <c r="DP266" s="30"/>
      <c r="DQ266" s="30"/>
      <c r="DR266" s="30"/>
      <c r="DS266" s="30"/>
      <c r="DT266" s="30"/>
      <c r="DU266" s="30"/>
      <c r="DV266" s="30"/>
      <c r="DW266" s="30"/>
      <c r="DX266" s="30"/>
      <c r="DY266" s="30"/>
      <c r="DZ266" s="30"/>
      <c r="EA266" s="30"/>
      <c r="EB266" s="30"/>
      <c r="EC266" s="30"/>
      <c r="ED266" s="30"/>
      <c r="EE266" s="30"/>
      <c r="EF266" s="30"/>
      <c r="EG266" s="30"/>
      <c r="EH266" s="30"/>
      <c r="EI266" s="30"/>
      <c r="EJ266" s="30"/>
      <c r="EK266" s="30"/>
      <c r="EL266" s="30"/>
      <c r="EM266" s="30"/>
      <c r="EN266" s="30"/>
      <c r="EO266" s="30"/>
      <c r="EP266" s="30"/>
      <c r="EQ266" s="30"/>
      <c r="ER266" s="30"/>
      <c r="ES266" s="30"/>
      <c r="ET266" s="30"/>
      <c r="EU266" s="30"/>
      <c r="EV266" s="30"/>
      <c r="EW266" s="30"/>
      <c r="EX266" s="30"/>
      <c r="EY266" s="30"/>
      <c r="EZ266" s="30"/>
      <c r="FA266" s="30"/>
      <c r="FB266" s="30"/>
      <c r="FC266" s="30"/>
      <c r="FD266" s="30"/>
      <c r="FE266" s="30"/>
      <c r="FF266" s="30"/>
      <c r="FG266" s="30"/>
      <c r="FH266" s="30"/>
      <c r="FI266" s="30"/>
      <c r="FJ266" s="30"/>
      <c r="FK266" s="30"/>
      <c r="FL266" s="30"/>
      <c r="FM266" s="30"/>
      <c r="FN266" s="30"/>
      <c r="FO266" s="30"/>
      <c r="FP266" s="30"/>
      <c r="FQ266" s="30"/>
      <c r="FR266" s="30"/>
      <c r="FS266" s="30"/>
      <c r="FT266" s="30"/>
      <c r="FU266" s="30"/>
      <c r="FV266" s="30"/>
      <c r="FW266" s="30"/>
      <c r="FX266" s="30"/>
      <c r="FY266" s="30"/>
    </row>
    <row r="267" spans="1:181" ht="15" x14ac:dyDescent="0.25">
      <c r="A267" s="28"/>
      <c r="B267" s="28"/>
      <c r="C267" s="28"/>
      <c r="D267" s="28"/>
      <c r="E267" s="29"/>
      <c r="F267" s="29"/>
      <c r="G267" s="2"/>
      <c r="H267" s="2"/>
      <c r="I267" s="2"/>
      <c r="J267" s="2"/>
      <c r="K267" s="2"/>
      <c r="L267" s="30"/>
      <c r="M267" s="30"/>
      <c r="N267" s="30"/>
      <c r="O267" s="30"/>
      <c r="P267" s="30"/>
      <c r="Q267" s="30"/>
      <c r="R267" s="30"/>
      <c r="S267" s="30"/>
      <c r="T267" s="30"/>
      <c r="U267" s="31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1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1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1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0"/>
      <c r="CL267" s="30"/>
      <c r="CM267" s="30"/>
      <c r="CN267" s="30"/>
      <c r="CO267" s="30"/>
      <c r="CP267" s="30"/>
      <c r="CQ267" s="30"/>
      <c r="CR267" s="30"/>
      <c r="CS267" s="30"/>
      <c r="CT267" s="30"/>
      <c r="CU267" s="30"/>
      <c r="CV267" s="30"/>
      <c r="CW267" s="30"/>
      <c r="CX267" s="30"/>
      <c r="CY267" s="30"/>
      <c r="CZ267" s="30"/>
      <c r="DA267" s="30"/>
      <c r="DB267" s="30"/>
      <c r="DC267" s="30"/>
      <c r="DD267" s="30"/>
      <c r="DE267" s="30"/>
      <c r="DF267" s="30"/>
      <c r="DG267" s="30"/>
      <c r="DH267" s="30"/>
      <c r="DI267" s="30"/>
      <c r="DJ267" s="30"/>
      <c r="DK267" s="30"/>
      <c r="DL267" s="30"/>
      <c r="DM267" s="30"/>
      <c r="DN267" s="30"/>
      <c r="DO267" s="30"/>
      <c r="DP267" s="30"/>
      <c r="DQ267" s="30"/>
      <c r="DR267" s="30"/>
      <c r="DS267" s="30"/>
      <c r="DT267" s="30"/>
      <c r="DU267" s="30"/>
      <c r="DV267" s="30"/>
      <c r="DW267" s="30"/>
      <c r="DX267" s="30"/>
      <c r="DY267" s="30"/>
      <c r="DZ267" s="30"/>
      <c r="EA267" s="30"/>
      <c r="EB267" s="30"/>
      <c r="EC267" s="30"/>
      <c r="ED267" s="30"/>
      <c r="EE267" s="30"/>
      <c r="EF267" s="30"/>
      <c r="EG267" s="30"/>
      <c r="EH267" s="30"/>
      <c r="EI267" s="30"/>
      <c r="EJ267" s="30"/>
      <c r="EK267" s="30"/>
      <c r="EL267" s="30"/>
      <c r="EM267" s="30"/>
      <c r="EN267" s="30"/>
      <c r="EO267" s="30"/>
      <c r="EP267" s="30"/>
      <c r="EQ267" s="30"/>
      <c r="ER267" s="30"/>
      <c r="ES267" s="30"/>
      <c r="ET267" s="30"/>
      <c r="EU267" s="30"/>
      <c r="EV267" s="30"/>
      <c r="EW267" s="30"/>
      <c r="EX267" s="30"/>
      <c r="EY267" s="30"/>
      <c r="EZ267" s="30"/>
      <c r="FA267" s="30"/>
      <c r="FB267" s="30"/>
      <c r="FC267" s="30"/>
      <c r="FD267" s="30"/>
      <c r="FE267" s="30"/>
      <c r="FF267" s="30"/>
      <c r="FG267" s="30"/>
      <c r="FH267" s="30"/>
      <c r="FI267" s="30"/>
      <c r="FJ267" s="30"/>
      <c r="FK267" s="30"/>
      <c r="FL267" s="30"/>
      <c r="FM267" s="30"/>
      <c r="FN267" s="30"/>
      <c r="FO267" s="30"/>
      <c r="FP267" s="30"/>
      <c r="FQ267" s="30"/>
      <c r="FR267" s="30"/>
      <c r="FS267" s="30"/>
      <c r="FT267" s="30"/>
      <c r="FU267" s="30"/>
      <c r="FV267" s="30"/>
      <c r="FW267" s="30"/>
      <c r="FX267" s="30"/>
      <c r="FY267" s="30"/>
    </row>
    <row r="268" spans="1:181" ht="15" x14ac:dyDescent="0.25">
      <c r="A268" s="28"/>
      <c r="B268" s="28"/>
      <c r="C268" s="28"/>
      <c r="D268" s="28"/>
      <c r="E268" s="29"/>
      <c r="F268" s="29"/>
      <c r="G268" s="2"/>
      <c r="H268" s="2"/>
      <c r="I268" s="2"/>
      <c r="J268" s="2"/>
      <c r="K268" s="2"/>
      <c r="L268" s="30"/>
      <c r="M268" s="30"/>
      <c r="N268" s="30"/>
      <c r="O268" s="30"/>
      <c r="P268" s="30"/>
      <c r="Q268" s="30"/>
      <c r="R268" s="30"/>
      <c r="S268" s="30"/>
      <c r="T268" s="30"/>
      <c r="U268" s="31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1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1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1"/>
      <c r="BI268" s="30"/>
      <c r="BJ268" s="30"/>
      <c r="BK268" s="30"/>
      <c r="BL268" s="30"/>
      <c r="BM268" s="30"/>
      <c r="BN268" s="30"/>
      <c r="BO268" s="30"/>
      <c r="BP268" s="30"/>
      <c r="BQ268" s="30"/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0"/>
      <c r="CL268" s="30"/>
      <c r="CM268" s="30"/>
      <c r="CN268" s="30"/>
      <c r="CO268" s="30"/>
      <c r="CP268" s="30"/>
      <c r="CQ268" s="30"/>
      <c r="CR268" s="30"/>
      <c r="CS268" s="30"/>
      <c r="CT268" s="30"/>
      <c r="CU268" s="30"/>
      <c r="CV268" s="30"/>
      <c r="CW268" s="30"/>
      <c r="CX268" s="30"/>
      <c r="CY268" s="30"/>
      <c r="CZ268" s="30"/>
      <c r="DA268" s="30"/>
      <c r="DB268" s="30"/>
      <c r="DC268" s="30"/>
      <c r="DD268" s="30"/>
      <c r="DE268" s="30"/>
      <c r="DF268" s="30"/>
      <c r="DG268" s="30"/>
      <c r="DH268" s="30"/>
      <c r="DI268" s="30"/>
      <c r="DJ268" s="30"/>
      <c r="DK268" s="30"/>
      <c r="DL268" s="30"/>
      <c r="DM268" s="30"/>
      <c r="DN268" s="30"/>
      <c r="DO268" s="30"/>
      <c r="DP268" s="30"/>
      <c r="DQ268" s="30"/>
      <c r="DR268" s="30"/>
      <c r="DS268" s="30"/>
      <c r="DT268" s="30"/>
      <c r="DU268" s="30"/>
      <c r="DV268" s="30"/>
      <c r="DW268" s="30"/>
      <c r="DX268" s="30"/>
      <c r="DY268" s="30"/>
      <c r="DZ268" s="30"/>
      <c r="EA268" s="30"/>
      <c r="EB268" s="30"/>
      <c r="EC268" s="30"/>
      <c r="ED268" s="30"/>
      <c r="EE268" s="30"/>
      <c r="EF268" s="30"/>
      <c r="EG268" s="30"/>
      <c r="EH268" s="30"/>
      <c r="EI268" s="30"/>
      <c r="EJ268" s="30"/>
      <c r="EK268" s="30"/>
      <c r="EL268" s="30"/>
      <c r="EM268" s="30"/>
      <c r="EN268" s="30"/>
      <c r="EO268" s="30"/>
      <c r="EP268" s="30"/>
      <c r="EQ268" s="30"/>
      <c r="ER268" s="30"/>
      <c r="ES268" s="30"/>
      <c r="ET268" s="30"/>
      <c r="EU268" s="30"/>
      <c r="EV268" s="30"/>
      <c r="EW268" s="30"/>
      <c r="EX268" s="30"/>
      <c r="EY268" s="30"/>
      <c r="EZ268" s="30"/>
      <c r="FA268" s="30"/>
      <c r="FB268" s="30"/>
      <c r="FC268" s="30"/>
      <c r="FD268" s="30"/>
      <c r="FE268" s="30"/>
      <c r="FF268" s="30"/>
      <c r="FG268" s="30"/>
      <c r="FH268" s="30"/>
      <c r="FI268" s="30"/>
      <c r="FJ268" s="30"/>
      <c r="FK268" s="30"/>
      <c r="FL268" s="30"/>
      <c r="FM268" s="30"/>
      <c r="FN268" s="30"/>
      <c r="FO268" s="30"/>
      <c r="FP268" s="30"/>
      <c r="FQ268" s="30"/>
      <c r="FR268" s="30"/>
      <c r="FS268" s="30"/>
      <c r="FT268" s="30"/>
      <c r="FU268" s="30"/>
      <c r="FV268" s="30"/>
      <c r="FW268" s="30"/>
      <c r="FX268" s="30"/>
      <c r="FY268" s="30"/>
    </row>
    <row r="269" spans="1:181" ht="15" x14ac:dyDescent="0.25">
      <c r="A269" s="28"/>
      <c r="B269" s="28"/>
      <c r="C269" s="28"/>
      <c r="D269" s="28"/>
      <c r="E269" s="29"/>
      <c r="F269" s="29"/>
      <c r="G269" s="2"/>
      <c r="H269" s="2"/>
      <c r="I269" s="2"/>
      <c r="J269" s="2"/>
      <c r="K269" s="2"/>
      <c r="L269" s="30"/>
      <c r="M269" s="30"/>
      <c r="N269" s="30"/>
      <c r="O269" s="30"/>
      <c r="P269" s="30"/>
      <c r="Q269" s="30"/>
      <c r="R269" s="30"/>
      <c r="S269" s="30"/>
      <c r="T269" s="30"/>
      <c r="U269" s="31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1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1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1"/>
      <c r="BI269" s="30"/>
      <c r="BJ269" s="30"/>
      <c r="BK269" s="30"/>
      <c r="BL269" s="30"/>
      <c r="BM269" s="30"/>
      <c r="BN269" s="30"/>
      <c r="BO269" s="30"/>
      <c r="BP269" s="30"/>
      <c r="BQ269" s="30"/>
      <c r="BR269" s="30"/>
      <c r="BS269" s="30"/>
      <c r="BT269" s="30"/>
      <c r="BU269" s="30"/>
      <c r="BV269" s="30"/>
      <c r="BW269" s="30"/>
      <c r="BX269" s="30"/>
      <c r="BY269" s="30"/>
      <c r="BZ269" s="30"/>
      <c r="CA269" s="30"/>
      <c r="CB269" s="30"/>
      <c r="CC269" s="30"/>
      <c r="CD269" s="30"/>
      <c r="CE269" s="30"/>
      <c r="CF269" s="30"/>
      <c r="CG269" s="30"/>
      <c r="CH269" s="30"/>
      <c r="CI269" s="30"/>
      <c r="CJ269" s="30"/>
      <c r="CK269" s="30"/>
      <c r="CL269" s="30"/>
      <c r="CM269" s="30"/>
      <c r="CN269" s="30"/>
      <c r="CO269" s="30"/>
      <c r="CP269" s="30"/>
      <c r="CQ269" s="30"/>
      <c r="CR269" s="30"/>
      <c r="CS269" s="30"/>
      <c r="CT269" s="30"/>
      <c r="CU269" s="30"/>
      <c r="CV269" s="30"/>
      <c r="CW269" s="30"/>
      <c r="CX269" s="30"/>
      <c r="CY269" s="30"/>
      <c r="CZ269" s="30"/>
      <c r="DA269" s="30"/>
      <c r="DB269" s="30"/>
      <c r="DC269" s="30"/>
      <c r="DD269" s="30"/>
      <c r="DE269" s="30"/>
      <c r="DF269" s="30"/>
      <c r="DG269" s="30"/>
      <c r="DH269" s="30"/>
      <c r="DI269" s="30"/>
      <c r="DJ269" s="30"/>
      <c r="DK269" s="30"/>
      <c r="DL269" s="30"/>
      <c r="DM269" s="30"/>
      <c r="DN269" s="30"/>
      <c r="DO269" s="30"/>
      <c r="DP269" s="30"/>
      <c r="DQ269" s="30"/>
      <c r="DR269" s="30"/>
      <c r="DS269" s="30"/>
      <c r="DT269" s="30"/>
      <c r="DU269" s="30"/>
      <c r="DV269" s="30"/>
      <c r="DW269" s="30"/>
      <c r="DX269" s="30"/>
      <c r="DY269" s="30"/>
      <c r="DZ269" s="30"/>
      <c r="EA269" s="30"/>
      <c r="EB269" s="30"/>
      <c r="EC269" s="30"/>
      <c r="ED269" s="30"/>
      <c r="EE269" s="30"/>
      <c r="EF269" s="30"/>
      <c r="EG269" s="30"/>
      <c r="EH269" s="30"/>
      <c r="EI269" s="30"/>
      <c r="EJ269" s="30"/>
      <c r="EK269" s="30"/>
      <c r="EL269" s="30"/>
      <c r="EM269" s="30"/>
      <c r="EN269" s="30"/>
      <c r="EO269" s="30"/>
      <c r="EP269" s="30"/>
      <c r="EQ269" s="30"/>
      <c r="ER269" s="30"/>
      <c r="ES269" s="30"/>
      <c r="ET269" s="30"/>
      <c r="EU269" s="30"/>
      <c r="EV269" s="30"/>
      <c r="EW269" s="30"/>
      <c r="EX269" s="30"/>
      <c r="EY269" s="30"/>
      <c r="EZ269" s="30"/>
      <c r="FA269" s="30"/>
      <c r="FB269" s="30"/>
      <c r="FC269" s="30"/>
      <c r="FD269" s="30"/>
      <c r="FE269" s="30"/>
      <c r="FF269" s="30"/>
      <c r="FG269" s="30"/>
      <c r="FH269" s="30"/>
      <c r="FI269" s="30"/>
      <c r="FJ269" s="30"/>
      <c r="FK269" s="30"/>
      <c r="FL269" s="30"/>
      <c r="FM269" s="30"/>
      <c r="FN269" s="30"/>
      <c r="FO269" s="30"/>
      <c r="FP269" s="30"/>
      <c r="FQ269" s="30"/>
      <c r="FR269" s="30"/>
      <c r="FS269" s="30"/>
      <c r="FT269" s="30"/>
      <c r="FU269" s="30"/>
      <c r="FV269" s="30"/>
      <c r="FW269" s="30"/>
      <c r="FX269" s="30"/>
      <c r="FY269" s="30"/>
    </row>
    <row r="270" spans="1:181" ht="15" x14ac:dyDescent="0.25">
      <c r="A270" s="28"/>
      <c r="B270" s="28"/>
      <c r="C270" s="28"/>
      <c r="D270" s="28"/>
      <c r="E270" s="29"/>
      <c r="F270" s="29"/>
      <c r="G270" s="2"/>
      <c r="H270" s="2"/>
      <c r="I270" s="2"/>
      <c r="J270" s="2"/>
      <c r="K270" s="2"/>
      <c r="L270" s="30"/>
      <c r="M270" s="30"/>
      <c r="N270" s="30"/>
      <c r="O270" s="30"/>
      <c r="P270" s="30"/>
      <c r="Q270" s="30"/>
      <c r="R270" s="30"/>
      <c r="S270" s="30"/>
      <c r="T270" s="30"/>
      <c r="U270" s="31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1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1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1"/>
      <c r="BI270" s="30"/>
      <c r="BJ270" s="30"/>
      <c r="BK270" s="30"/>
      <c r="BL270" s="30"/>
      <c r="BM270" s="30"/>
      <c r="BN270" s="30"/>
      <c r="BO270" s="30"/>
      <c r="BP270" s="30"/>
      <c r="BQ270" s="30"/>
      <c r="BR270" s="30"/>
      <c r="BS270" s="30"/>
      <c r="BT270" s="30"/>
      <c r="BU270" s="30"/>
      <c r="BV270" s="30"/>
      <c r="BW270" s="30"/>
      <c r="BX270" s="30"/>
      <c r="BY270" s="30"/>
      <c r="BZ270" s="30"/>
      <c r="CA270" s="30"/>
      <c r="CB270" s="30"/>
      <c r="CC270" s="30"/>
      <c r="CD270" s="30"/>
      <c r="CE270" s="30"/>
      <c r="CF270" s="30"/>
      <c r="CG270" s="30"/>
      <c r="CH270" s="30"/>
      <c r="CI270" s="30"/>
      <c r="CJ270" s="30"/>
      <c r="CK270" s="30"/>
      <c r="CL270" s="30"/>
      <c r="CM270" s="30"/>
      <c r="CN270" s="30"/>
      <c r="CO270" s="30"/>
      <c r="CP270" s="30"/>
      <c r="CQ270" s="30"/>
      <c r="CR270" s="30"/>
      <c r="CS270" s="30"/>
      <c r="CT270" s="30"/>
      <c r="CU270" s="30"/>
      <c r="CV270" s="30"/>
      <c r="CW270" s="30"/>
      <c r="CX270" s="30"/>
      <c r="CY270" s="30"/>
      <c r="CZ270" s="30"/>
      <c r="DA270" s="30"/>
      <c r="DB270" s="30"/>
      <c r="DC270" s="30"/>
      <c r="DD270" s="30"/>
      <c r="DE270" s="30"/>
      <c r="DF270" s="30"/>
      <c r="DG270" s="30"/>
      <c r="DH270" s="30"/>
      <c r="DI270" s="30"/>
      <c r="DJ270" s="30"/>
      <c r="DK270" s="30"/>
      <c r="DL270" s="30"/>
      <c r="DM270" s="30"/>
      <c r="DN270" s="30"/>
      <c r="DO270" s="30"/>
      <c r="DP270" s="30"/>
      <c r="DQ270" s="30"/>
      <c r="DR270" s="30"/>
      <c r="DS270" s="30"/>
      <c r="DT270" s="30"/>
      <c r="DU270" s="30"/>
      <c r="DV270" s="30"/>
      <c r="DW270" s="30"/>
      <c r="DX270" s="30"/>
      <c r="DY270" s="30"/>
      <c r="DZ270" s="30"/>
      <c r="EA270" s="30"/>
      <c r="EB270" s="30"/>
      <c r="EC270" s="30"/>
      <c r="ED270" s="30"/>
      <c r="EE270" s="30"/>
      <c r="EF270" s="30"/>
      <c r="EG270" s="30"/>
      <c r="EH270" s="30"/>
      <c r="EI270" s="30"/>
      <c r="EJ270" s="30"/>
      <c r="EK270" s="30"/>
      <c r="EL270" s="30"/>
      <c r="EM270" s="30"/>
      <c r="EN270" s="30"/>
      <c r="EO270" s="30"/>
      <c r="EP270" s="30"/>
      <c r="EQ270" s="30"/>
      <c r="ER270" s="30"/>
      <c r="ES270" s="30"/>
      <c r="ET270" s="30"/>
      <c r="EU270" s="30"/>
      <c r="EV270" s="30"/>
      <c r="EW270" s="30"/>
      <c r="EX270" s="30"/>
      <c r="EY270" s="30"/>
      <c r="EZ270" s="30"/>
      <c r="FA270" s="30"/>
      <c r="FB270" s="30"/>
      <c r="FC270" s="30"/>
      <c r="FD270" s="30"/>
      <c r="FE270" s="30"/>
      <c r="FF270" s="30"/>
      <c r="FG270" s="30"/>
      <c r="FH270" s="30"/>
      <c r="FI270" s="30"/>
      <c r="FJ270" s="30"/>
      <c r="FK270" s="30"/>
      <c r="FL270" s="30"/>
      <c r="FM270" s="30"/>
      <c r="FN270" s="30"/>
      <c r="FO270" s="30"/>
      <c r="FP270" s="30"/>
      <c r="FQ270" s="30"/>
      <c r="FR270" s="30"/>
      <c r="FS270" s="30"/>
      <c r="FT270" s="30"/>
      <c r="FU270" s="30"/>
      <c r="FV270" s="30"/>
      <c r="FW270" s="30"/>
      <c r="FX270" s="30"/>
      <c r="FY270" s="30"/>
    </row>
    <row r="271" spans="1:181" ht="15" x14ac:dyDescent="0.25">
      <c r="A271" s="28"/>
      <c r="B271" s="28"/>
      <c r="C271" s="28"/>
      <c r="D271" s="28"/>
      <c r="E271" s="29"/>
      <c r="F271" s="29"/>
      <c r="G271" s="2"/>
      <c r="H271" s="2"/>
      <c r="I271" s="2"/>
      <c r="J271" s="2"/>
      <c r="K271" s="2"/>
      <c r="L271" s="30"/>
      <c r="M271" s="30"/>
      <c r="N271" s="30"/>
      <c r="O271" s="30"/>
      <c r="P271" s="30"/>
      <c r="Q271" s="30"/>
      <c r="R271" s="30"/>
      <c r="S271" s="30"/>
      <c r="T271" s="30"/>
      <c r="U271" s="31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1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1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1"/>
      <c r="BI271" s="30"/>
      <c r="BJ271" s="30"/>
      <c r="BK271" s="30"/>
      <c r="BL271" s="30"/>
      <c r="BM271" s="30"/>
      <c r="BN271" s="30"/>
      <c r="BO271" s="30"/>
      <c r="BP271" s="30"/>
      <c r="BQ271" s="30"/>
      <c r="BR271" s="30"/>
      <c r="BS271" s="30"/>
      <c r="BT271" s="30"/>
      <c r="BU271" s="30"/>
      <c r="BV271" s="30"/>
      <c r="BW271" s="30"/>
      <c r="BX271" s="30"/>
      <c r="BY271" s="30"/>
      <c r="BZ271" s="30"/>
      <c r="CA271" s="30"/>
      <c r="CB271" s="30"/>
      <c r="CC271" s="30"/>
      <c r="CD271" s="30"/>
      <c r="CE271" s="30"/>
      <c r="CF271" s="30"/>
      <c r="CG271" s="30"/>
      <c r="CH271" s="30"/>
      <c r="CI271" s="30"/>
      <c r="CJ271" s="30"/>
      <c r="CK271" s="30"/>
      <c r="CL271" s="30"/>
      <c r="CM271" s="30"/>
      <c r="CN271" s="30"/>
      <c r="CO271" s="30"/>
      <c r="CP271" s="30"/>
      <c r="CQ271" s="30"/>
      <c r="CR271" s="30"/>
      <c r="CS271" s="30"/>
      <c r="CT271" s="30"/>
      <c r="CU271" s="30"/>
      <c r="CV271" s="30"/>
      <c r="CW271" s="30"/>
      <c r="CX271" s="30"/>
      <c r="CY271" s="30"/>
      <c r="CZ271" s="30"/>
      <c r="DA271" s="30"/>
      <c r="DB271" s="30"/>
      <c r="DC271" s="30"/>
      <c r="DD271" s="30"/>
      <c r="DE271" s="30"/>
      <c r="DF271" s="30"/>
      <c r="DG271" s="30"/>
      <c r="DH271" s="30"/>
      <c r="DI271" s="30"/>
      <c r="DJ271" s="30"/>
      <c r="DK271" s="30"/>
      <c r="DL271" s="30"/>
      <c r="DM271" s="30"/>
      <c r="DN271" s="30"/>
      <c r="DO271" s="30"/>
      <c r="DP271" s="30"/>
      <c r="DQ271" s="30"/>
      <c r="DR271" s="30"/>
      <c r="DS271" s="30"/>
      <c r="DT271" s="30"/>
      <c r="DU271" s="30"/>
      <c r="DV271" s="30"/>
      <c r="DW271" s="30"/>
      <c r="DX271" s="30"/>
      <c r="DY271" s="30"/>
      <c r="DZ271" s="30"/>
      <c r="EA271" s="30"/>
      <c r="EB271" s="30"/>
      <c r="EC271" s="30"/>
      <c r="ED271" s="30"/>
      <c r="EE271" s="30"/>
      <c r="EF271" s="30"/>
      <c r="EG271" s="30"/>
      <c r="EH271" s="30"/>
      <c r="EI271" s="30"/>
      <c r="EJ271" s="30"/>
      <c r="EK271" s="30"/>
      <c r="EL271" s="30"/>
      <c r="EM271" s="30"/>
      <c r="EN271" s="30"/>
      <c r="EO271" s="30"/>
      <c r="EP271" s="30"/>
      <c r="EQ271" s="30"/>
      <c r="ER271" s="30"/>
      <c r="ES271" s="30"/>
      <c r="ET271" s="30"/>
      <c r="EU271" s="30"/>
      <c r="EV271" s="30"/>
      <c r="EW271" s="30"/>
      <c r="EX271" s="30"/>
      <c r="EY271" s="30"/>
      <c r="EZ271" s="30"/>
      <c r="FA271" s="30"/>
      <c r="FB271" s="30"/>
      <c r="FC271" s="30"/>
      <c r="FD271" s="30"/>
      <c r="FE271" s="30"/>
      <c r="FF271" s="30"/>
      <c r="FG271" s="30"/>
      <c r="FH271" s="30"/>
      <c r="FI271" s="30"/>
      <c r="FJ271" s="30"/>
      <c r="FK271" s="30"/>
      <c r="FL271" s="30"/>
      <c r="FM271" s="30"/>
      <c r="FN271" s="30"/>
      <c r="FO271" s="30"/>
      <c r="FP271" s="30"/>
      <c r="FQ271" s="30"/>
      <c r="FR271" s="30"/>
      <c r="FS271" s="30"/>
      <c r="FT271" s="30"/>
      <c r="FU271" s="30"/>
      <c r="FV271" s="30"/>
      <c r="FW271" s="30"/>
      <c r="FX271" s="30"/>
      <c r="FY271" s="30"/>
    </row>
    <row r="272" spans="1:181" ht="15" x14ac:dyDescent="0.25">
      <c r="A272" s="28"/>
      <c r="B272" s="28"/>
      <c r="C272" s="28"/>
      <c r="D272" s="28"/>
      <c r="E272" s="29"/>
      <c r="F272" s="29"/>
      <c r="G272" s="2"/>
      <c r="H272" s="2"/>
      <c r="I272" s="2"/>
      <c r="J272" s="2"/>
      <c r="K272" s="2"/>
      <c r="L272" s="30"/>
      <c r="M272" s="30"/>
      <c r="N272" s="30"/>
      <c r="O272" s="30"/>
      <c r="P272" s="30"/>
      <c r="Q272" s="30"/>
      <c r="R272" s="30"/>
      <c r="S272" s="30"/>
      <c r="T272" s="30"/>
      <c r="U272" s="31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1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1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1"/>
      <c r="BI272" s="30"/>
      <c r="BJ272" s="30"/>
      <c r="BK272" s="30"/>
      <c r="BL272" s="30"/>
      <c r="BM272" s="30"/>
      <c r="BN272" s="30"/>
      <c r="BO272" s="30"/>
      <c r="BP272" s="30"/>
      <c r="BQ272" s="30"/>
      <c r="BR272" s="30"/>
      <c r="BS272" s="30"/>
      <c r="BT272" s="30"/>
      <c r="BU272" s="30"/>
      <c r="BV272" s="30"/>
      <c r="BW272" s="30"/>
      <c r="BX272" s="30"/>
      <c r="BY272" s="30"/>
      <c r="BZ272" s="30"/>
      <c r="CA272" s="30"/>
      <c r="CB272" s="30"/>
      <c r="CC272" s="30"/>
      <c r="CD272" s="30"/>
      <c r="CE272" s="30"/>
      <c r="CF272" s="30"/>
      <c r="CG272" s="30"/>
      <c r="CH272" s="30"/>
      <c r="CI272" s="30"/>
      <c r="CJ272" s="30"/>
      <c r="CK272" s="30"/>
      <c r="CL272" s="30"/>
      <c r="CM272" s="30"/>
      <c r="CN272" s="30"/>
      <c r="CO272" s="30"/>
      <c r="CP272" s="30"/>
      <c r="CQ272" s="30"/>
      <c r="CR272" s="30"/>
      <c r="CS272" s="30"/>
      <c r="CT272" s="30"/>
      <c r="CU272" s="30"/>
      <c r="CV272" s="30"/>
      <c r="CW272" s="30"/>
      <c r="CX272" s="30"/>
      <c r="CY272" s="30"/>
      <c r="CZ272" s="30"/>
      <c r="DA272" s="30"/>
      <c r="DB272" s="30"/>
      <c r="DC272" s="30"/>
      <c r="DD272" s="30"/>
      <c r="DE272" s="30"/>
      <c r="DF272" s="30"/>
      <c r="DG272" s="30"/>
      <c r="DH272" s="30"/>
      <c r="DI272" s="30"/>
      <c r="DJ272" s="30"/>
      <c r="DK272" s="30"/>
      <c r="DL272" s="30"/>
      <c r="DM272" s="30"/>
      <c r="DN272" s="30"/>
      <c r="DO272" s="30"/>
      <c r="DP272" s="30"/>
      <c r="DQ272" s="30"/>
      <c r="DR272" s="30"/>
      <c r="DS272" s="30"/>
      <c r="DT272" s="30"/>
      <c r="DU272" s="30"/>
      <c r="DV272" s="30"/>
      <c r="DW272" s="30"/>
      <c r="DX272" s="30"/>
      <c r="DY272" s="30"/>
      <c r="DZ272" s="30"/>
      <c r="EA272" s="30"/>
      <c r="EB272" s="30"/>
      <c r="EC272" s="30"/>
      <c r="ED272" s="30"/>
      <c r="EE272" s="30"/>
      <c r="EF272" s="30"/>
      <c r="EG272" s="30"/>
      <c r="EH272" s="30"/>
      <c r="EI272" s="30"/>
      <c r="EJ272" s="30"/>
      <c r="EK272" s="30"/>
      <c r="EL272" s="30"/>
      <c r="EM272" s="30"/>
      <c r="EN272" s="30"/>
      <c r="EO272" s="30"/>
      <c r="EP272" s="30"/>
      <c r="EQ272" s="30"/>
      <c r="ER272" s="30"/>
      <c r="ES272" s="30"/>
      <c r="ET272" s="30"/>
      <c r="EU272" s="30"/>
      <c r="EV272" s="30"/>
      <c r="EW272" s="30"/>
      <c r="EX272" s="30"/>
      <c r="EY272" s="30"/>
      <c r="EZ272" s="30"/>
      <c r="FA272" s="30"/>
      <c r="FB272" s="30"/>
      <c r="FC272" s="30"/>
      <c r="FD272" s="30"/>
      <c r="FE272" s="30"/>
      <c r="FF272" s="30"/>
      <c r="FG272" s="30"/>
      <c r="FH272" s="30"/>
      <c r="FI272" s="30"/>
      <c r="FJ272" s="30"/>
      <c r="FK272" s="30"/>
      <c r="FL272" s="30"/>
      <c r="FM272" s="30"/>
      <c r="FN272" s="30"/>
      <c r="FO272" s="30"/>
      <c r="FP272" s="30"/>
      <c r="FQ272" s="30"/>
      <c r="FR272" s="30"/>
      <c r="FS272" s="30"/>
      <c r="FT272" s="30"/>
      <c r="FU272" s="30"/>
      <c r="FV272" s="30"/>
      <c r="FW272" s="30"/>
      <c r="FX272" s="30"/>
      <c r="FY272" s="30"/>
    </row>
    <row r="273" spans="1:181" ht="15" x14ac:dyDescent="0.25">
      <c r="A273" s="28"/>
      <c r="B273" s="28"/>
      <c r="C273" s="28"/>
      <c r="D273" s="28"/>
      <c r="E273" s="29"/>
      <c r="F273" s="29"/>
      <c r="G273" s="2"/>
      <c r="H273" s="2"/>
      <c r="I273" s="2"/>
      <c r="J273" s="2"/>
      <c r="K273" s="2"/>
      <c r="L273" s="30"/>
      <c r="M273" s="30"/>
      <c r="N273" s="30"/>
      <c r="O273" s="30"/>
      <c r="P273" s="30"/>
      <c r="Q273" s="30"/>
      <c r="R273" s="30"/>
      <c r="S273" s="30"/>
      <c r="T273" s="30"/>
      <c r="U273" s="31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1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1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1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  <c r="BW273" s="30"/>
      <c r="BX273" s="30"/>
      <c r="BY273" s="30"/>
      <c r="BZ273" s="30"/>
      <c r="CA273" s="30"/>
      <c r="CB273" s="30"/>
      <c r="CC273" s="30"/>
      <c r="CD273" s="30"/>
      <c r="CE273" s="30"/>
      <c r="CF273" s="30"/>
      <c r="CG273" s="30"/>
      <c r="CH273" s="30"/>
      <c r="CI273" s="30"/>
      <c r="CJ273" s="30"/>
      <c r="CK273" s="30"/>
      <c r="CL273" s="30"/>
      <c r="CM273" s="30"/>
      <c r="CN273" s="30"/>
      <c r="CO273" s="30"/>
      <c r="CP273" s="30"/>
      <c r="CQ273" s="30"/>
      <c r="CR273" s="30"/>
      <c r="CS273" s="30"/>
      <c r="CT273" s="30"/>
      <c r="CU273" s="30"/>
      <c r="CV273" s="30"/>
      <c r="CW273" s="30"/>
      <c r="CX273" s="30"/>
      <c r="CY273" s="30"/>
      <c r="CZ273" s="30"/>
      <c r="DA273" s="30"/>
      <c r="DB273" s="30"/>
      <c r="DC273" s="30"/>
      <c r="DD273" s="30"/>
      <c r="DE273" s="30"/>
      <c r="DF273" s="30"/>
      <c r="DG273" s="30"/>
      <c r="DH273" s="30"/>
      <c r="DI273" s="30"/>
      <c r="DJ273" s="30"/>
      <c r="DK273" s="30"/>
      <c r="DL273" s="30"/>
      <c r="DM273" s="30"/>
      <c r="DN273" s="30"/>
      <c r="DO273" s="30"/>
      <c r="DP273" s="30"/>
      <c r="DQ273" s="30"/>
      <c r="DR273" s="30"/>
      <c r="DS273" s="30"/>
      <c r="DT273" s="30"/>
      <c r="DU273" s="30"/>
      <c r="DV273" s="30"/>
      <c r="DW273" s="30"/>
      <c r="DX273" s="30"/>
      <c r="DY273" s="30"/>
      <c r="DZ273" s="30"/>
      <c r="EA273" s="30"/>
      <c r="EB273" s="30"/>
      <c r="EC273" s="30"/>
      <c r="ED273" s="30"/>
      <c r="EE273" s="30"/>
      <c r="EF273" s="30"/>
      <c r="EG273" s="30"/>
      <c r="EH273" s="30"/>
      <c r="EI273" s="30"/>
      <c r="EJ273" s="30"/>
      <c r="EK273" s="30"/>
      <c r="EL273" s="30"/>
      <c r="EM273" s="30"/>
      <c r="EN273" s="30"/>
      <c r="EO273" s="30"/>
      <c r="EP273" s="30"/>
      <c r="EQ273" s="30"/>
      <c r="ER273" s="30"/>
      <c r="ES273" s="30"/>
      <c r="ET273" s="30"/>
      <c r="EU273" s="30"/>
      <c r="EV273" s="30"/>
      <c r="EW273" s="30"/>
      <c r="EX273" s="30"/>
      <c r="EY273" s="30"/>
      <c r="EZ273" s="30"/>
      <c r="FA273" s="30"/>
      <c r="FB273" s="30"/>
      <c r="FC273" s="30"/>
      <c r="FD273" s="30"/>
      <c r="FE273" s="30"/>
      <c r="FF273" s="30"/>
      <c r="FG273" s="30"/>
      <c r="FH273" s="30"/>
      <c r="FI273" s="30"/>
      <c r="FJ273" s="30"/>
      <c r="FK273" s="30"/>
      <c r="FL273" s="30"/>
      <c r="FM273" s="30"/>
      <c r="FN273" s="30"/>
      <c r="FO273" s="30"/>
      <c r="FP273" s="30"/>
      <c r="FQ273" s="30"/>
      <c r="FR273" s="30"/>
      <c r="FS273" s="30"/>
      <c r="FT273" s="30"/>
      <c r="FU273" s="30"/>
      <c r="FV273" s="30"/>
      <c r="FW273" s="30"/>
      <c r="FX273" s="30"/>
      <c r="FY273" s="30"/>
    </row>
    <row r="274" spans="1:181" ht="15" x14ac:dyDescent="0.25">
      <c r="A274" s="28"/>
      <c r="B274" s="28"/>
      <c r="C274" s="28"/>
      <c r="D274" s="28"/>
      <c r="E274" s="29"/>
      <c r="F274" s="29"/>
      <c r="G274" s="2"/>
      <c r="H274" s="2"/>
      <c r="I274" s="2"/>
      <c r="J274" s="2"/>
      <c r="K274" s="2"/>
      <c r="L274" s="30"/>
      <c r="M274" s="30"/>
      <c r="N274" s="30"/>
      <c r="O274" s="30"/>
      <c r="P274" s="30"/>
      <c r="Q274" s="30"/>
      <c r="R274" s="30"/>
      <c r="S274" s="30"/>
      <c r="T274" s="30"/>
      <c r="U274" s="31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1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1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1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  <c r="BW274" s="30"/>
      <c r="BX274" s="30"/>
      <c r="BY274" s="30"/>
      <c r="BZ274" s="30"/>
      <c r="CA274" s="30"/>
      <c r="CB274" s="30"/>
      <c r="CC274" s="30"/>
      <c r="CD274" s="30"/>
      <c r="CE274" s="30"/>
      <c r="CF274" s="30"/>
      <c r="CG274" s="30"/>
      <c r="CH274" s="30"/>
      <c r="CI274" s="30"/>
      <c r="CJ274" s="30"/>
      <c r="CK274" s="30"/>
      <c r="CL274" s="30"/>
      <c r="CM274" s="30"/>
      <c r="CN274" s="30"/>
      <c r="CO274" s="30"/>
      <c r="CP274" s="30"/>
      <c r="CQ274" s="30"/>
      <c r="CR274" s="30"/>
      <c r="CS274" s="30"/>
      <c r="CT274" s="30"/>
      <c r="CU274" s="30"/>
      <c r="CV274" s="30"/>
      <c r="CW274" s="30"/>
      <c r="CX274" s="30"/>
      <c r="CY274" s="30"/>
      <c r="CZ274" s="30"/>
      <c r="DA274" s="30"/>
      <c r="DB274" s="30"/>
      <c r="DC274" s="30"/>
      <c r="DD274" s="30"/>
      <c r="DE274" s="30"/>
      <c r="DF274" s="30"/>
      <c r="DG274" s="30"/>
      <c r="DH274" s="30"/>
      <c r="DI274" s="30"/>
      <c r="DJ274" s="30"/>
      <c r="DK274" s="30"/>
      <c r="DL274" s="30"/>
      <c r="DM274" s="30"/>
      <c r="DN274" s="30"/>
      <c r="DO274" s="30"/>
      <c r="DP274" s="30"/>
      <c r="DQ274" s="30"/>
      <c r="DR274" s="30"/>
      <c r="DS274" s="30"/>
      <c r="DT274" s="30"/>
      <c r="DU274" s="30"/>
      <c r="DV274" s="30"/>
      <c r="DW274" s="30"/>
      <c r="DX274" s="30"/>
      <c r="DY274" s="30"/>
      <c r="DZ274" s="30"/>
      <c r="EA274" s="30"/>
      <c r="EB274" s="30"/>
      <c r="EC274" s="30"/>
      <c r="ED274" s="30"/>
      <c r="EE274" s="30"/>
      <c r="EF274" s="30"/>
      <c r="EG274" s="30"/>
      <c r="EH274" s="30"/>
      <c r="EI274" s="30"/>
      <c r="EJ274" s="30"/>
      <c r="EK274" s="30"/>
      <c r="EL274" s="30"/>
      <c r="EM274" s="30"/>
      <c r="EN274" s="30"/>
      <c r="EO274" s="30"/>
      <c r="EP274" s="30"/>
      <c r="EQ274" s="30"/>
      <c r="ER274" s="30"/>
      <c r="ES274" s="30"/>
      <c r="ET274" s="30"/>
      <c r="EU274" s="30"/>
      <c r="EV274" s="30"/>
      <c r="EW274" s="30"/>
      <c r="EX274" s="30"/>
      <c r="EY274" s="30"/>
      <c r="EZ274" s="30"/>
      <c r="FA274" s="30"/>
      <c r="FB274" s="30"/>
      <c r="FC274" s="30"/>
      <c r="FD274" s="30"/>
      <c r="FE274" s="30"/>
      <c r="FF274" s="30"/>
      <c r="FG274" s="30"/>
      <c r="FH274" s="30"/>
      <c r="FI274" s="30"/>
      <c r="FJ274" s="30"/>
      <c r="FK274" s="30"/>
      <c r="FL274" s="30"/>
      <c r="FM274" s="30"/>
      <c r="FN274" s="30"/>
      <c r="FO274" s="30"/>
      <c r="FP274" s="30"/>
      <c r="FQ274" s="30"/>
      <c r="FR274" s="30"/>
      <c r="FS274" s="30"/>
      <c r="FT274" s="30"/>
      <c r="FU274" s="30"/>
      <c r="FV274" s="30"/>
      <c r="FW274" s="30"/>
      <c r="FX274" s="30"/>
      <c r="FY274" s="30"/>
    </row>
    <row r="275" spans="1:181" ht="15" x14ac:dyDescent="0.25">
      <c r="A275" s="28"/>
      <c r="B275" s="28"/>
      <c r="C275" s="28"/>
      <c r="D275" s="28"/>
      <c r="E275" s="29"/>
      <c r="F275" s="29"/>
      <c r="G275" s="2"/>
      <c r="H275" s="2"/>
      <c r="I275" s="2"/>
      <c r="J275" s="2"/>
      <c r="K275" s="2"/>
      <c r="L275" s="30"/>
      <c r="M275" s="30"/>
      <c r="N275" s="30"/>
      <c r="O275" s="30"/>
      <c r="P275" s="30"/>
      <c r="Q275" s="30"/>
      <c r="R275" s="30"/>
      <c r="S275" s="30"/>
      <c r="T275" s="30"/>
      <c r="U275" s="31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1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1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1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  <c r="ED275" s="30"/>
      <c r="EE275" s="30"/>
      <c r="EF275" s="30"/>
      <c r="EG275" s="30"/>
      <c r="EH275" s="30"/>
      <c r="EI275" s="30"/>
      <c r="EJ275" s="30"/>
      <c r="EK275" s="30"/>
      <c r="EL275" s="30"/>
      <c r="EM275" s="30"/>
      <c r="EN275" s="30"/>
      <c r="EO275" s="30"/>
      <c r="EP275" s="30"/>
      <c r="EQ275" s="30"/>
      <c r="ER275" s="30"/>
      <c r="ES275" s="30"/>
      <c r="ET275" s="30"/>
      <c r="EU275" s="30"/>
      <c r="EV275" s="30"/>
      <c r="EW275" s="30"/>
      <c r="EX275" s="30"/>
      <c r="EY275" s="30"/>
      <c r="EZ275" s="30"/>
      <c r="FA275" s="30"/>
      <c r="FB275" s="30"/>
      <c r="FC275" s="30"/>
      <c r="FD275" s="30"/>
      <c r="FE275" s="30"/>
      <c r="FF275" s="30"/>
      <c r="FG275" s="30"/>
      <c r="FH275" s="30"/>
      <c r="FI275" s="30"/>
      <c r="FJ275" s="30"/>
      <c r="FK275" s="30"/>
      <c r="FL275" s="30"/>
      <c r="FM275" s="30"/>
      <c r="FN275" s="30"/>
      <c r="FO275" s="30"/>
      <c r="FP275" s="30"/>
      <c r="FQ275" s="30"/>
      <c r="FR275" s="30"/>
      <c r="FS275" s="30"/>
      <c r="FT275" s="30"/>
      <c r="FU275" s="30"/>
      <c r="FV275" s="30"/>
      <c r="FW275" s="30"/>
      <c r="FX275" s="30"/>
      <c r="FY275" s="30"/>
    </row>
    <row r="276" spans="1:181" ht="15" x14ac:dyDescent="0.25">
      <c r="A276" s="28"/>
      <c r="B276" s="28"/>
      <c r="C276" s="28"/>
      <c r="D276" s="28"/>
      <c r="E276" s="29"/>
      <c r="F276" s="29"/>
      <c r="G276" s="2"/>
      <c r="H276" s="2"/>
      <c r="I276" s="2"/>
      <c r="J276" s="2"/>
      <c r="K276" s="2"/>
      <c r="L276" s="30"/>
      <c r="M276" s="30"/>
      <c r="N276" s="30"/>
      <c r="O276" s="30"/>
      <c r="P276" s="30"/>
      <c r="Q276" s="30"/>
      <c r="R276" s="30"/>
      <c r="S276" s="30"/>
      <c r="T276" s="30"/>
      <c r="U276" s="31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1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1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1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  <c r="ED276" s="30"/>
      <c r="EE276" s="30"/>
      <c r="EF276" s="30"/>
      <c r="EG276" s="30"/>
      <c r="EH276" s="30"/>
      <c r="EI276" s="30"/>
      <c r="EJ276" s="30"/>
      <c r="EK276" s="30"/>
      <c r="EL276" s="30"/>
      <c r="EM276" s="30"/>
      <c r="EN276" s="30"/>
      <c r="EO276" s="30"/>
      <c r="EP276" s="30"/>
      <c r="EQ276" s="30"/>
      <c r="ER276" s="30"/>
      <c r="ES276" s="30"/>
      <c r="ET276" s="30"/>
      <c r="EU276" s="30"/>
      <c r="EV276" s="30"/>
      <c r="EW276" s="30"/>
      <c r="EX276" s="30"/>
      <c r="EY276" s="30"/>
      <c r="EZ276" s="30"/>
      <c r="FA276" s="30"/>
      <c r="FB276" s="30"/>
      <c r="FC276" s="30"/>
      <c r="FD276" s="30"/>
      <c r="FE276" s="30"/>
      <c r="FF276" s="30"/>
      <c r="FG276" s="30"/>
      <c r="FH276" s="30"/>
      <c r="FI276" s="30"/>
      <c r="FJ276" s="30"/>
      <c r="FK276" s="30"/>
      <c r="FL276" s="30"/>
      <c r="FM276" s="30"/>
      <c r="FN276" s="30"/>
      <c r="FO276" s="30"/>
      <c r="FP276" s="30"/>
      <c r="FQ276" s="30"/>
      <c r="FR276" s="30"/>
      <c r="FS276" s="30"/>
      <c r="FT276" s="30"/>
      <c r="FU276" s="30"/>
      <c r="FV276" s="30"/>
      <c r="FW276" s="30"/>
      <c r="FX276" s="30"/>
      <c r="FY276" s="30"/>
    </row>
    <row r="277" spans="1:181" ht="15" x14ac:dyDescent="0.25">
      <c r="A277" s="28"/>
      <c r="B277" s="28"/>
      <c r="C277" s="28"/>
      <c r="D277" s="28"/>
      <c r="E277" s="29"/>
      <c r="F277" s="29"/>
      <c r="G277" s="2"/>
      <c r="H277" s="2"/>
      <c r="I277" s="2"/>
      <c r="J277" s="2"/>
      <c r="K277" s="2"/>
      <c r="L277" s="30"/>
      <c r="M277" s="30"/>
      <c r="N277" s="30"/>
      <c r="O277" s="30"/>
      <c r="P277" s="30"/>
      <c r="Q277" s="30"/>
      <c r="R277" s="30"/>
      <c r="S277" s="30"/>
      <c r="T277" s="30"/>
      <c r="U277" s="31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1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1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1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  <c r="BW277" s="30"/>
      <c r="BX277" s="30"/>
      <c r="BY277" s="30"/>
      <c r="BZ277" s="30"/>
      <c r="CA277" s="30"/>
      <c r="CB277" s="30"/>
      <c r="CC277" s="30"/>
      <c r="CD277" s="30"/>
      <c r="CE277" s="30"/>
      <c r="CF277" s="30"/>
      <c r="CG277" s="30"/>
      <c r="CH277" s="30"/>
      <c r="CI277" s="30"/>
      <c r="CJ277" s="30"/>
      <c r="CK277" s="30"/>
      <c r="CL277" s="30"/>
      <c r="CM277" s="30"/>
      <c r="CN277" s="30"/>
      <c r="CO277" s="30"/>
      <c r="CP277" s="30"/>
      <c r="CQ277" s="30"/>
      <c r="CR277" s="30"/>
      <c r="CS277" s="30"/>
      <c r="CT277" s="30"/>
      <c r="CU277" s="30"/>
      <c r="CV277" s="30"/>
      <c r="CW277" s="30"/>
      <c r="CX277" s="30"/>
      <c r="CY277" s="30"/>
      <c r="CZ277" s="30"/>
      <c r="DA277" s="30"/>
      <c r="DB277" s="30"/>
      <c r="DC277" s="30"/>
      <c r="DD277" s="30"/>
      <c r="DE277" s="30"/>
      <c r="DF277" s="30"/>
      <c r="DG277" s="30"/>
      <c r="DH277" s="30"/>
      <c r="DI277" s="30"/>
      <c r="DJ277" s="30"/>
      <c r="DK277" s="30"/>
      <c r="DL277" s="30"/>
      <c r="DM277" s="30"/>
      <c r="DN277" s="30"/>
      <c r="DO277" s="30"/>
      <c r="DP277" s="30"/>
      <c r="DQ277" s="30"/>
      <c r="DR277" s="30"/>
      <c r="DS277" s="30"/>
      <c r="DT277" s="30"/>
      <c r="DU277" s="30"/>
      <c r="DV277" s="30"/>
      <c r="DW277" s="30"/>
      <c r="DX277" s="30"/>
      <c r="DY277" s="30"/>
      <c r="DZ277" s="30"/>
      <c r="EA277" s="30"/>
      <c r="EB277" s="30"/>
      <c r="EC277" s="30"/>
      <c r="ED277" s="30"/>
      <c r="EE277" s="30"/>
      <c r="EF277" s="30"/>
      <c r="EG277" s="30"/>
      <c r="EH277" s="30"/>
      <c r="EI277" s="30"/>
      <c r="EJ277" s="30"/>
      <c r="EK277" s="30"/>
      <c r="EL277" s="30"/>
      <c r="EM277" s="30"/>
      <c r="EN277" s="30"/>
      <c r="EO277" s="30"/>
      <c r="EP277" s="30"/>
      <c r="EQ277" s="30"/>
      <c r="ER277" s="30"/>
      <c r="ES277" s="30"/>
      <c r="ET277" s="30"/>
      <c r="EU277" s="30"/>
      <c r="EV277" s="30"/>
      <c r="EW277" s="30"/>
      <c r="EX277" s="30"/>
      <c r="EY277" s="30"/>
      <c r="EZ277" s="30"/>
      <c r="FA277" s="30"/>
      <c r="FB277" s="30"/>
      <c r="FC277" s="30"/>
      <c r="FD277" s="30"/>
      <c r="FE277" s="30"/>
      <c r="FF277" s="30"/>
      <c r="FG277" s="30"/>
      <c r="FH277" s="30"/>
      <c r="FI277" s="30"/>
      <c r="FJ277" s="30"/>
      <c r="FK277" s="30"/>
      <c r="FL277" s="30"/>
      <c r="FM277" s="30"/>
      <c r="FN277" s="30"/>
      <c r="FO277" s="30"/>
      <c r="FP277" s="30"/>
      <c r="FQ277" s="30"/>
      <c r="FR277" s="30"/>
      <c r="FS277" s="30"/>
      <c r="FT277" s="30"/>
      <c r="FU277" s="30"/>
      <c r="FV277" s="30"/>
      <c r="FW277" s="30"/>
      <c r="FX277" s="30"/>
      <c r="FY277" s="30"/>
    </row>
    <row r="278" spans="1:181" ht="15" x14ac:dyDescent="0.25">
      <c r="A278" s="28"/>
      <c r="B278" s="28"/>
      <c r="C278" s="28"/>
      <c r="D278" s="28"/>
      <c r="E278" s="29"/>
      <c r="F278" s="29"/>
      <c r="G278" s="2"/>
      <c r="H278" s="2"/>
      <c r="I278" s="2"/>
      <c r="J278" s="2"/>
      <c r="K278" s="2"/>
      <c r="L278" s="30"/>
      <c r="M278" s="30"/>
      <c r="N278" s="30"/>
      <c r="O278" s="30"/>
      <c r="P278" s="30"/>
      <c r="Q278" s="30"/>
      <c r="R278" s="30"/>
      <c r="S278" s="30"/>
      <c r="T278" s="30"/>
      <c r="U278" s="31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1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1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1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0"/>
      <c r="CL278" s="30"/>
      <c r="CM278" s="30"/>
      <c r="CN278" s="30"/>
      <c r="CO278" s="30"/>
      <c r="CP278" s="30"/>
      <c r="CQ278" s="30"/>
      <c r="CR278" s="30"/>
      <c r="CS278" s="30"/>
      <c r="CT278" s="30"/>
      <c r="CU278" s="30"/>
      <c r="CV278" s="30"/>
      <c r="CW278" s="30"/>
      <c r="CX278" s="30"/>
      <c r="CY278" s="30"/>
      <c r="CZ278" s="30"/>
      <c r="DA278" s="30"/>
      <c r="DB278" s="30"/>
      <c r="DC278" s="30"/>
      <c r="DD278" s="30"/>
      <c r="DE278" s="30"/>
      <c r="DF278" s="30"/>
      <c r="DG278" s="30"/>
      <c r="DH278" s="30"/>
      <c r="DI278" s="30"/>
      <c r="DJ278" s="30"/>
      <c r="DK278" s="30"/>
      <c r="DL278" s="30"/>
      <c r="DM278" s="30"/>
      <c r="DN278" s="30"/>
      <c r="DO278" s="30"/>
      <c r="DP278" s="30"/>
      <c r="DQ278" s="30"/>
      <c r="DR278" s="30"/>
      <c r="DS278" s="30"/>
      <c r="DT278" s="30"/>
      <c r="DU278" s="30"/>
      <c r="DV278" s="30"/>
      <c r="DW278" s="30"/>
      <c r="DX278" s="30"/>
      <c r="DY278" s="30"/>
      <c r="DZ278" s="30"/>
      <c r="EA278" s="30"/>
      <c r="EB278" s="30"/>
      <c r="EC278" s="30"/>
      <c r="ED278" s="30"/>
      <c r="EE278" s="30"/>
      <c r="EF278" s="30"/>
      <c r="EG278" s="30"/>
      <c r="EH278" s="30"/>
      <c r="EI278" s="30"/>
      <c r="EJ278" s="30"/>
      <c r="EK278" s="30"/>
      <c r="EL278" s="30"/>
      <c r="EM278" s="30"/>
      <c r="EN278" s="30"/>
      <c r="EO278" s="30"/>
      <c r="EP278" s="30"/>
      <c r="EQ278" s="30"/>
      <c r="ER278" s="30"/>
      <c r="ES278" s="30"/>
      <c r="ET278" s="30"/>
      <c r="EU278" s="30"/>
      <c r="EV278" s="30"/>
      <c r="EW278" s="30"/>
      <c r="EX278" s="30"/>
      <c r="EY278" s="30"/>
      <c r="EZ278" s="30"/>
      <c r="FA278" s="30"/>
      <c r="FB278" s="30"/>
      <c r="FC278" s="30"/>
      <c r="FD278" s="30"/>
      <c r="FE278" s="30"/>
      <c r="FF278" s="30"/>
      <c r="FG278" s="30"/>
      <c r="FH278" s="30"/>
      <c r="FI278" s="30"/>
      <c r="FJ278" s="30"/>
      <c r="FK278" s="30"/>
      <c r="FL278" s="30"/>
      <c r="FM278" s="30"/>
      <c r="FN278" s="30"/>
      <c r="FO278" s="30"/>
      <c r="FP278" s="30"/>
      <c r="FQ278" s="30"/>
      <c r="FR278" s="30"/>
      <c r="FS278" s="30"/>
      <c r="FT278" s="30"/>
      <c r="FU278" s="30"/>
      <c r="FV278" s="30"/>
      <c r="FW278" s="30"/>
      <c r="FX278" s="30"/>
      <c r="FY278" s="30"/>
    </row>
    <row r="279" spans="1:181" ht="15" x14ac:dyDescent="0.25">
      <c r="A279" s="28"/>
      <c r="B279" s="28"/>
      <c r="C279" s="28"/>
      <c r="D279" s="28"/>
      <c r="E279" s="29"/>
      <c r="F279" s="29"/>
      <c r="G279" s="32"/>
      <c r="H279" s="33"/>
      <c r="I279" s="33"/>
      <c r="J279" s="33"/>
      <c r="K279" s="33"/>
      <c r="L279" s="28"/>
      <c r="M279" s="29"/>
      <c r="N279" s="28"/>
      <c r="O279" s="29"/>
      <c r="P279" s="28"/>
      <c r="Q279" s="29"/>
      <c r="R279" s="30"/>
      <c r="S279" s="30"/>
      <c r="T279" s="30"/>
      <c r="U279" s="31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1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1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1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  <c r="BW279" s="30"/>
      <c r="BX279" s="30"/>
      <c r="BY279" s="30"/>
      <c r="BZ279" s="30"/>
      <c r="CA279" s="30"/>
      <c r="CB279" s="30"/>
      <c r="CC279" s="30"/>
      <c r="CD279" s="30"/>
      <c r="CE279" s="30"/>
      <c r="CF279" s="30"/>
      <c r="CG279" s="30"/>
      <c r="CH279" s="30"/>
      <c r="CI279" s="30"/>
      <c r="CJ279" s="30"/>
      <c r="CK279" s="30"/>
      <c r="CL279" s="30"/>
      <c r="CM279" s="30"/>
      <c r="CN279" s="30"/>
      <c r="CO279" s="30"/>
      <c r="CP279" s="30"/>
      <c r="CQ279" s="30"/>
      <c r="CR279" s="30"/>
      <c r="CS279" s="30"/>
      <c r="CT279" s="30"/>
      <c r="CU279" s="30"/>
      <c r="CV279" s="30"/>
      <c r="CW279" s="30"/>
      <c r="CX279" s="30"/>
      <c r="CY279" s="30"/>
      <c r="CZ279" s="30"/>
      <c r="DA279" s="30"/>
      <c r="DB279" s="30"/>
      <c r="DC279" s="30"/>
      <c r="DD279" s="30"/>
      <c r="DE279" s="30"/>
      <c r="DF279" s="30"/>
      <c r="DG279" s="30"/>
      <c r="DH279" s="30"/>
      <c r="DI279" s="30"/>
      <c r="DJ279" s="30"/>
      <c r="DK279" s="30"/>
      <c r="DL279" s="30"/>
      <c r="DM279" s="30"/>
      <c r="DN279" s="30"/>
      <c r="DO279" s="30"/>
      <c r="DP279" s="30"/>
      <c r="DQ279" s="30"/>
      <c r="DR279" s="30"/>
      <c r="DS279" s="30"/>
      <c r="DT279" s="30"/>
      <c r="DU279" s="30"/>
      <c r="DV279" s="30"/>
      <c r="DW279" s="30"/>
      <c r="DX279" s="30"/>
      <c r="DY279" s="30"/>
      <c r="DZ279" s="30"/>
      <c r="EA279" s="30"/>
      <c r="EB279" s="30"/>
      <c r="EC279" s="30"/>
      <c r="ED279" s="30"/>
      <c r="EE279" s="30"/>
      <c r="EF279" s="30"/>
      <c r="EG279" s="30"/>
      <c r="EH279" s="30"/>
      <c r="EI279" s="30"/>
      <c r="EJ279" s="30"/>
      <c r="EK279" s="30"/>
      <c r="EL279" s="30"/>
      <c r="EM279" s="30"/>
      <c r="EN279" s="30"/>
      <c r="EO279" s="30"/>
      <c r="EP279" s="30"/>
      <c r="EQ279" s="30"/>
      <c r="ER279" s="30"/>
      <c r="ES279" s="30"/>
      <c r="ET279" s="30"/>
      <c r="EU279" s="30"/>
      <c r="EV279" s="30"/>
      <c r="EW279" s="30"/>
      <c r="EX279" s="30"/>
      <c r="EY279" s="30"/>
      <c r="EZ279" s="30"/>
      <c r="FA279" s="30"/>
      <c r="FB279" s="30"/>
      <c r="FC279" s="30"/>
      <c r="FD279" s="30"/>
      <c r="FE279" s="30"/>
      <c r="FF279" s="30"/>
      <c r="FG279" s="30"/>
      <c r="FH279" s="30"/>
      <c r="FI279" s="30"/>
      <c r="FJ279" s="30"/>
      <c r="FK279" s="30"/>
      <c r="FL279" s="30"/>
      <c r="FM279" s="30"/>
      <c r="FN279" s="30"/>
      <c r="FO279" s="30"/>
      <c r="FP279" s="30"/>
      <c r="FQ279" s="30"/>
      <c r="FR279" s="30"/>
      <c r="FS279" s="30"/>
      <c r="FT279" s="30"/>
      <c r="FU279" s="30"/>
      <c r="FV279" s="30"/>
      <c r="FW279" s="30"/>
      <c r="FX279" s="30"/>
      <c r="FY279" s="30"/>
    </row>
    <row r="280" spans="1:181" ht="15" x14ac:dyDescent="0.25">
      <c r="A280" s="28"/>
      <c r="B280" s="28"/>
      <c r="C280" s="28"/>
      <c r="D280" s="28"/>
      <c r="E280" s="29"/>
      <c r="F280" s="29"/>
      <c r="G280" s="32"/>
      <c r="H280" s="33"/>
      <c r="I280" s="33"/>
      <c r="J280" s="33"/>
      <c r="K280" s="33"/>
      <c r="L280" s="28"/>
      <c r="M280" s="29"/>
      <c r="N280" s="28"/>
      <c r="O280" s="29"/>
      <c r="P280" s="28"/>
      <c r="Q280" s="29"/>
      <c r="R280" s="30"/>
      <c r="S280" s="30"/>
      <c r="T280" s="30"/>
      <c r="U280" s="31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1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1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1"/>
      <c r="BI280" s="30"/>
      <c r="BJ280" s="30"/>
      <c r="BK280" s="30"/>
      <c r="BL280" s="30"/>
      <c r="BM280" s="30"/>
      <c r="BN280" s="30"/>
      <c r="BO280" s="30"/>
      <c r="BP280" s="30"/>
      <c r="BQ280" s="30"/>
      <c r="BR280" s="30"/>
      <c r="BS280" s="30"/>
      <c r="BT280" s="30"/>
      <c r="BU280" s="30"/>
      <c r="BV280" s="30"/>
      <c r="BW280" s="30"/>
      <c r="BX280" s="30"/>
      <c r="BY280" s="30"/>
      <c r="BZ280" s="30"/>
      <c r="CA280" s="30"/>
      <c r="CB280" s="30"/>
      <c r="CC280" s="30"/>
      <c r="CD280" s="30"/>
      <c r="CE280" s="30"/>
      <c r="CF280" s="30"/>
      <c r="CG280" s="30"/>
      <c r="CH280" s="30"/>
      <c r="CI280" s="30"/>
      <c r="CJ280" s="30"/>
      <c r="CK280" s="30"/>
      <c r="CL280" s="30"/>
      <c r="CM280" s="30"/>
      <c r="CN280" s="30"/>
      <c r="CO280" s="30"/>
      <c r="CP280" s="30"/>
      <c r="CQ280" s="30"/>
      <c r="CR280" s="30"/>
      <c r="CS280" s="30"/>
      <c r="CT280" s="30"/>
      <c r="CU280" s="30"/>
      <c r="CV280" s="30"/>
      <c r="CW280" s="30"/>
      <c r="CX280" s="30"/>
      <c r="CY280" s="30"/>
      <c r="CZ280" s="30"/>
      <c r="DA280" s="30"/>
      <c r="DB280" s="30"/>
      <c r="DC280" s="30"/>
      <c r="DD280" s="30"/>
      <c r="DE280" s="30"/>
      <c r="DF280" s="30"/>
      <c r="DG280" s="30"/>
      <c r="DH280" s="30"/>
      <c r="DI280" s="30"/>
      <c r="DJ280" s="30"/>
      <c r="DK280" s="30"/>
      <c r="DL280" s="30"/>
      <c r="DM280" s="30"/>
      <c r="DN280" s="30"/>
      <c r="DO280" s="30"/>
      <c r="DP280" s="30"/>
      <c r="DQ280" s="30"/>
      <c r="DR280" s="30"/>
      <c r="DS280" s="30"/>
      <c r="DT280" s="30"/>
      <c r="DU280" s="30"/>
      <c r="DV280" s="30"/>
      <c r="DW280" s="30"/>
      <c r="DX280" s="30"/>
      <c r="DY280" s="30"/>
      <c r="DZ280" s="30"/>
      <c r="EA280" s="30"/>
      <c r="EB280" s="30"/>
      <c r="EC280" s="30"/>
      <c r="ED280" s="30"/>
      <c r="EE280" s="30"/>
      <c r="EF280" s="30"/>
      <c r="EG280" s="30"/>
      <c r="EH280" s="30"/>
      <c r="EI280" s="30"/>
      <c r="EJ280" s="30"/>
      <c r="EK280" s="30"/>
      <c r="EL280" s="30"/>
      <c r="EM280" s="30"/>
      <c r="EN280" s="30"/>
      <c r="EO280" s="30"/>
      <c r="EP280" s="30"/>
      <c r="EQ280" s="30"/>
      <c r="ER280" s="30"/>
      <c r="ES280" s="30"/>
      <c r="ET280" s="30"/>
      <c r="EU280" s="30"/>
      <c r="EV280" s="30"/>
      <c r="EW280" s="30"/>
      <c r="EX280" s="30"/>
      <c r="EY280" s="30"/>
      <c r="EZ280" s="30"/>
      <c r="FA280" s="30"/>
      <c r="FB280" s="30"/>
      <c r="FC280" s="30"/>
      <c r="FD280" s="30"/>
      <c r="FE280" s="30"/>
      <c r="FF280" s="30"/>
      <c r="FG280" s="30"/>
      <c r="FH280" s="30"/>
      <c r="FI280" s="30"/>
      <c r="FJ280" s="30"/>
      <c r="FK280" s="30"/>
      <c r="FL280" s="30"/>
      <c r="FM280" s="30"/>
      <c r="FN280" s="30"/>
      <c r="FO280" s="30"/>
      <c r="FP280" s="30"/>
      <c r="FQ280" s="30"/>
      <c r="FR280" s="30"/>
      <c r="FS280" s="30"/>
      <c r="FT280" s="30"/>
      <c r="FU280" s="30"/>
      <c r="FV280" s="30"/>
      <c r="FW280" s="30"/>
      <c r="FX280" s="30"/>
      <c r="FY280" s="30"/>
    </row>
    <row r="281" spans="1:181" ht="15" x14ac:dyDescent="0.25">
      <c r="A281" s="28"/>
      <c r="B281" s="28"/>
      <c r="C281" s="28"/>
      <c r="D281" s="28"/>
      <c r="E281" s="29"/>
      <c r="F281" s="29"/>
      <c r="G281" s="32"/>
      <c r="H281" s="33"/>
      <c r="I281" s="33"/>
      <c r="J281" s="33"/>
      <c r="K281" s="33"/>
      <c r="L281" s="28"/>
      <c r="M281" s="29"/>
      <c r="N281" s="28"/>
      <c r="O281" s="29"/>
      <c r="P281" s="28"/>
      <c r="Q281" s="29"/>
      <c r="R281" s="30"/>
      <c r="S281" s="30"/>
      <c r="T281" s="30"/>
      <c r="U281" s="31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1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1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1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  <c r="BW281" s="30"/>
      <c r="BX281" s="30"/>
      <c r="BY281" s="30"/>
      <c r="BZ281" s="30"/>
      <c r="CA281" s="30"/>
      <c r="CB281" s="30"/>
      <c r="CC281" s="30"/>
      <c r="CD281" s="30"/>
      <c r="CE281" s="30"/>
      <c r="CF281" s="30"/>
      <c r="CG281" s="30"/>
      <c r="CH281" s="30"/>
      <c r="CI281" s="30"/>
      <c r="CJ281" s="30"/>
      <c r="CK281" s="30"/>
      <c r="CL281" s="30"/>
      <c r="CM281" s="30"/>
      <c r="CN281" s="30"/>
      <c r="CO281" s="30"/>
      <c r="CP281" s="30"/>
      <c r="CQ281" s="30"/>
      <c r="CR281" s="30"/>
      <c r="CS281" s="30"/>
      <c r="CT281" s="30"/>
      <c r="CU281" s="30"/>
      <c r="CV281" s="30"/>
      <c r="CW281" s="30"/>
      <c r="CX281" s="30"/>
      <c r="CY281" s="30"/>
      <c r="CZ281" s="30"/>
      <c r="DA281" s="30"/>
      <c r="DB281" s="30"/>
      <c r="DC281" s="30"/>
      <c r="DD281" s="30"/>
      <c r="DE281" s="30"/>
      <c r="DF281" s="30"/>
      <c r="DG281" s="30"/>
      <c r="DH281" s="30"/>
      <c r="DI281" s="30"/>
      <c r="DJ281" s="30"/>
      <c r="DK281" s="30"/>
      <c r="DL281" s="30"/>
      <c r="DM281" s="30"/>
      <c r="DN281" s="30"/>
      <c r="DO281" s="30"/>
      <c r="DP281" s="30"/>
      <c r="DQ281" s="30"/>
      <c r="DR281" s="30"/>
      <c r="DS281" s="30"/>
      <c r="DT281" s="30"/>
      <c r="DU281" s="30"/>
      <c r="DV281" s="30"/>
      <c r="DW281" s="30"/>
      <c r="DX281" s="30"/>
      <c r="DY281" s="30"/>
      <c r="DZ281" s="30"/>
      <c r="EA281" s="30"/>
      <c r="EB281" s="30"/>
      <c r="EC281" s="30"/>
      <c r="ED281" s="30"/>
      <c r="EE281" s="30"/>
      <c r="EF281" s="30"/>
      <c r="EG281" s="30"/>
      <c r="EH281" s="30"/>
      <c r="EI281" s="30"/>
      <c r="EJ281" s="30"/>
      <c r="EK281" s="30"/>
      <c r="EL281" s="30"/>
      <c r="EM281" s="30"/>
      <c r="EN281" s="30"/>
      <c r="EO281" s="30"/>
      <c r="EP281" s="30"/>
      <c r="EQ281" s="30"/>
      <c r="ER281" s="30"/>
      <c r="ES281" s="30"/>
      <c r="ET281" s="30"/>
      <c r="EU281" s="30"/>
      <c r="EV281" s="30"/>
      <c r="EW281" s="30"/>
      <c r="EX281" s="30"/>
      <c r="EY281" s="30"/>
      <c r="EZ281" s="30"/>
      <c r="FA281" s="30"/>
      <c r="FB281" s="30"/>
      <c r="FC281" s="30"/>
      <c r="FD281" s="30"/>
      <c r="FE281" s="30"/>
      <c r="FF281" s="30"/>
      <c r="FG281" s="30"/>
      <c r="FH281" s="30"/>
      <c r="FI281" s="30"/>
      <c r="FJ281" s="30"/>
      <c r="FK281" s="30"/>
      <c r="FL281" s="30"/>
      <c r="FM281" s="30"/>
      <c r="FN281" s="30"/>
      <c r="FO281" s="30"/>
      <c r="FP281" s="30"/>
      <c r="FQ281" s="30"/>
      <c r="FR281" s="30"/>
      <c r="FS281" s="30"/>
      <c r="FT281" s="30"/>
      <c r="FU281" s="30"/>
      <c r="FV281" s="30"/>
      <c r="FW281" s="30"/>
      <c r="FX281" s="30"/>
      <c r="FY281" s="30"/>
    </row>
    <row r="282" spans="1:181" ht="15" x14ac:dyDescent="0.25">
      <c r="A282" s="28"/>
      <c r="B282" s="28"/>
      <c r="C282" s="28"/>
      <c r="D282" s="28"/>
      <c r="E282" s="29"/>
      <c r="F282" s="29"/>
      <c r="G282" s="32"/>
      <c r="H282" s="33"/>
      <c r="I282" s="33"/>
      <c r="J282" s="33"/>
      <c r="K282" s="33"/>
      <c r="L282" s="28"/>
      <c r="M282" s="29"/>
      <c r="N282" s="28"/>
      <c r="O282" s="29"/>
      <c r="P282" s="28"/>
      <c r="Q282" s="29"/>
      <c r="R282" s="30"/>
      <c r="S282" s="30"/>
      <c r="T282" s="30"/>
      <c r="U282" s="31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1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1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1"/>
      <c r="BI282" s="30"/>
      <c r="BJ282" s="30"/>
      <c r="BK282" s="30"/>
      <c r="BL282" s="30"/>
      <c r="BM282" s="30"/>
      <c r="BN282" s="30"/>
      <c r="BO282" s="30"/>
      <c r="BP282" s="30"/>
      <c r="BQ282" s="30"/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0"/>
      <c r="CL282" s="30"/>
      <c r="CM282" s="30"/>
      <c r="CN282" s="30"/>
      <c r="CO282" s="30"/>
      <c r="CP282" s="30"/>
      <c r="CQ282" s="30"/>
      <c r="CR282" s="30"/>
      <c r="CS282" s="30"/>
      <c r="CT282" s="30"/>
      <c r="CU282" s="30"/>
      <c r="CV282" s="30"/>
      <c r="CW282" s="30"/>
      <c r="CX282" s="30"/>
      <c r="CY282" s="30"/>
      <c r="CZ282" s="30"/>
      <c r="DA282" s="30"/>
      <c r="DB282" s="30"/>
      <c r="DC282" s="30"/>
      <c r="DD282" s="30"/>
      <c r="DE282" s="30"/>
      <c r="DF282" s="30"/>
      <c r="DG282" s="30"/>
      <c r="DH282" s="30"/>
      <c r="DI282" s="30"/>
      <c r="DJ282" s="30"/>
      <c r="DK282" s="30"/>
      <c r="DL282" s="30"/>
      <c r="DM282" s="30"/>
      <c r="DN282" s="30"/>
      <c r="DO282" s="30"/>
      <c r="DP282" s="30"/>
      <c r="DQ282" s="30"/>
      <c r="DR282" s="30"/>
      <c r="DS282" s="30"/>
      <c r="DT282" s="30"/>
      <c r="DU282" s="30"/>
      <c r="DV282" s="30"/>
      <c r="DW282" s="30"/>
      <c r="DX282" s="30"/>
      <c r="DY282" s="30"/>
      <c r="DZ282" s="30"/>
      <c r="EA282" s="30"/>
      <c r="EB282" s="30"/>
      <c r="EC282" s="30"/>
      <c r="ED282" s="30"/>
      <c r="EE282" s="30"/>
      <c r="EF282" s="30"/>
      <c r="EG282" s="30"/>
      <c r="EH282" s="30"/>
      <c r="EI282" s="30"/>
      <c r="EJ282" s="30"/>
      <c r="EK282" s="30"/>
      <c r="EL282" s="30"/>
      <c r="EM282" s="30"/>
      <c r="EN282" s="30"/>
      <c r="EO282" s="30"/>
      <c r="EP282" s="30"/>
      <c r="EQ282" s="30"/>
      <c r="ER282" s="30"/>
      <c r="ES282" s="30"/>
      <c r="ET282" s="30"/>
      <c r="EU282" s="30"/>
      <c r="EV282" s="30"/>
      <c r="EW282" s="30"/>
      <c r="EX282" s="30"/>
      <c r="EY282" s="30"/>
      <c r="EZ282" s="30"/>
      <c r="FA282" s="30"/>
      <c r="FB282" s="30"/>
      <c r="FC282" s="30"/>
      <c r="FD282" s="30"/>
      <c r="FE282" s="30"/>
      <c r="FF282" s="30"/>
      <c r="FG282" s="30"/>
      <c r="FH282" s="30"/>
      <c r="FI282" s="30"/>
      <c r="FJ282" s="30"/>
      <c r="FK282" s="30"/>
      <c r="FL282" s="30"/>
      <c r="FM282" s="30"/>
      <c r="FN282" s="30"/>
      <c r="FO282" s="30"/>
      <c r="FP282" s="30"/>
      <c r="FQ282" s="30"/>
      <c r="FR282" s="30"/>
      <c r="FS282" s="30"/>
      <c r="FT282" s="30"/>
      <c r="FU282" s="30"/>
      <c r="FV282" s="30"/>
      <c r="FW282" s="30"/>
      <c r="FX282" s="30"/>
      <c r="FY282" s="30"/>
    </row>
    <row r="283" spans="1:181" ht="15" x14ac:dyDescent="0.25">
      <c r="A283" s="28"/>
      <c r="B283" s="28"/>
      <c r="C283" s="28"/>
      <c r="D283" s="28"/>
      <c r="E283" s="29"/>
      <c r="F283" s="29"/>
      <c r="G283" s="32"/>
      <c r="H283" s="33"/>
      <c r="I283" s="33"/>
      <c r="J283" s="33"/>
      <c r="K283" s="33"/>
      <c r="L283" s="28"/>
      <c r="M283" s="29"/>
      <c r="N283" s="28"/>
      <c r="O283" s="29"/>
      <c r="P283" s="28"/>
      <c r="Q283" s="29"/>
      <c r="R283" s="30"/>
      <c r="S283" s="30"/>
      <c r="T283" s="30"/>
      <c r="U283" s="31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1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1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1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  <c r="BW283" s="30"/>
      <c r="BX283" s="30"/>
      <c r="BY283" s="30"/>
      <c r="BZ283" s="30"/>
      <c r="CA283" s="30"/>
      <c r="CB283" s="30"/>
      <c r="CC283" s="30"/>
      <c r="CD283" s="30"/>
      <c r="CE283" s="30"/>
      <c r="CF283" s="30"/>
      <c r="CG283" s="30"/>
      <c r="CH283" s="30"/>
      <c r="CI283" s="30"/>
      <c r="CJ283" s="30"/>
      <c r="CK283" s="30"/>
      <c r="CL283" s="30"/>
      <c r="CM283" s="30"/>
      <c r="CN283" s="30"/>
      <c r="CO283" s="30"/>
      <c r="CP283" s="30"/>
      <c r="CQ283" s="30"/>
      <c r="CR283" s="30"/>
      <c r="CS283" s="30"/>
      <c r="CT283" s="30"/>
      <c r="CU283" s="30"/>
      <c r="CV283" s="30"/>
      <c r="CW283" s="30"/>
      <c r="CX283" s="30"/>
      <c r="CY283" s="30"/>
      <c r="CZ283" s="30"/>
      <c r="DA283" s="30"/>
      <c r="DB283" s="30"/>
      <c r="DC283" s="30"/>
      <c r="DD283" s="30"/>
      <c r="DE283" s="30"/>
      <c r="DF283" s="30"/>
      <c r="DG283" s="30"/>
      <c r="DH283" s="30"/>
      <c r="DI283" s="30"/>
      <c r="DJ283" s="30"/>
      <c r="DK283" s="30"/>
      <c r="DL283" s="30"/>
      <c r="DM283" s="30"/>
      <c r="DN283" s="30"/>
      <c r="DO283" s="30"/>
      <c r="DP283" s="30"/>
      <c r="DQ283" s="30"/>
      <c r="DR283" s="30"/>
      <c r="DS283" s="30"/>
      <c r="DT283" s="30"/>
      <c r="DU283" s="30"/>
      <c r="DV283" s="30"/>
      <c r="DW283" s="30"/>
      <c r="DX283" s="30"/>
      <c r="DY283" s="30"/>
      <c r="DZ283" s="30"/>
      <c r="EA283" s="30"/>
      <c r="EB283" s="30"/>
      <c r="EC283" s="30"/>
      <c r="ED283" s="30"/>
      <c r="EE283" s="30"/>
      <c r="EF283" s="30"/>
      <c r="EG283" s="30"/>
      <c r="EH283" s="30"/>
      <c r="EI283" s="30"/>
      <c r="EJ283" s="30"/>
      <c r="EK283" s="30"/>
      <c r="EL283" s="30"/>
      <c r="EM283" s="30"/>
      <c r="EN283" s="30"/>
      <c r="EO283" s="30"/>
      <c r="EP283" s="30"/>
      <c r="EQ283" s="30"/>
      <c r="ER283" s="30"/>
      <c r="ES283" s="30"/>
      <c r="ET283" s="30"/>
      <c r="EU283" s="30"/>
      <c r="EV283" s="30"/>
      <c r="EW283" s="30"/>
      <c r="EX283" s="30"/>
      <c r="EY283" s="30"/>
      <c r="EZ283" s="30"/>
      <c r="FA283" s="30"/>
      <c r="FB283" s="30"/>
      <c r="FC283" s="30"/>
      <c r="FD283" s="30"/>
      <c r="FE283" s="30"/>
      <c r="FF283" s="30"/>
      <c r="FG283" s="30"/>
      <c r="FH283" s="30"/>
      <c r="FI283" s="30"/>
      <c r="FJ283" s="30"/>
      <c r="FK283" s="30"/>
      <c r="FL283" s="30"/>
      <c r="FM283" s="30"/>
      <c r="FN283" s="30"/>
      <c r="FO283" s="30"/>
      <c r="FP283" s="30"/>
      <c r="FQ283" s="30"/>
      <c r="FR283" s="30"/>
      <c r="FS283" s="30"/>
      <c r="FT283" s="30"/>
      <c r="FU283" s="30"/>
      <c r="FV283" s="30"/>
      <c r="FW283" s="30"/>
      <c r="FX283" s="30"/>
      <c r="FY283" s="30"/>
    </row>
    <row r="284" spans="1:181" ht="15" x14ac:dyDescent="0.25">
      <c r="A284" s="28"/>
      <c r="B284" s="28"/>
      <c r="C284" s="28"/>
      <c r="D284" s="28"/>
      <c r="E284" s="29"/>
      <c r="F284" s="29"/>
      <c r="G284" s="32"/>
      <c r="H284" s="33"/>
      <c r="I284" s="33"/>
      <c r="J284" s="33"/>
      <c r="K284" s="33"/>
      <c r="L284" s="28"/>
      <c r="M284" s="29"/>
      <c r="N284" s="28"/>
      <c r="O284" s="29"/>
      <c r="P284" s="28"/>
      <c r="Q284" s="29"/>
      <c r="R284" s="30"/>
      <c r="S284" s="30"/>
      <c r="T284" s="30"/>
      <c r="U284" s="31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1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1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1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  <c r="BW284" s="30"/>
      <c r="BX284" s="30"/>
      <c r="BY284" s="30"/>
      <c r="BZ284" s="30"/>
      <c r="CA284" s="30"/>
      <c r="CB284" s="30"/>
      <c r="CC284" s="30"/>
      <c r="CD284" s="30"/>
      <c r="CE284" s="30"/>
      <c r="CF284" s="30"/>
      <c r="CG284" s="30"/>
      <c r="CH284" s="30"/>
      <c r="CI284" s="30"/>
      <c r="CJ284" s="30"/>
      <c r="CK284" s="30"/>
      <c r="CL284" s="30"/>
      <c r="CM284" s="30"/>
      <c r="CN284" s="30"/>
      <c r="CO284" s="30"/>
      <c r="CP284" s="30"/>
      <c r="CQ284" s="30"/>
      <c r="CR284" s="30"/>
      <c r="CS284" s="30"/>
      <c r="CT284" s="30"/>
      <c r="CU284" s="30"/>
      <c r="CV284" s="30"/>
      <c r="CW284" s="30"/>
      <c r="CX284" s="30"/>
      <c r="CY284" s="30"/>
      <c r="CZ284" s="30"/>
      <c r="DA284" s="30"/>
      <c r="DB284" s="30"/>
      <c r="DC284" s="30"/>
      <c r="DD284" s="30"/>
      <c r="DE284" s="30"/>
      <c r="DF284" s="30"/>
      <c r="DG284" s="30"/>
      <c r="DH284" s="30"/>
      <c r="DI284" s="30"/>
      <c r="DJ284" s="30"/>
      <c r="DK284" s="30"/>
      <c r="DL284" s="30"/>
      <c r="DM284" s="30"/>
      <c r="DN284" s="30"/>
      <c r="DO284" s="30"/>
      <c r="DP284" s="30"/>
      <c r="DQ284" s="30"/>
      <c r="DR284" s="30"/>
      <c r="DS284" s="30"/>
      <c r="DT284" s="30"/>
      <c r="DU284" s="30"/>
      <c r="DV284" s="30"/>
      <c r="DW284" s="30"/>
      <c r="DX284" s="30"/>
      <c r="DY284" s="30"/>
      <c r="DZ284" s="30"/>
      <c r="EA284" s="30"/>
      <c r="EB284" s="30"/>
      <c r="EC284" s="30"/>
      <c r="ED284" s="30"/>
      <c r="EE284" s="30"/>
      <c r="EF284" s="30"/>
      <c r="EG284" s="30"/>
      <c r="EH284" s="30"/>
      <c r="EI284" s="30"/>
      <c r="EJ284" s="30"/>
      <c r="EK284" s="30"/>
      <c r="EL284" s="30"/>
      <c r="EM284" s="30"/>
      <c r="EN284" s="30"/>
      <c r="EO284" s="30"/>
      <c r="EP284" s="30"/>
      <c r="EQ284" s="30"/>
      <c r="ER284" s="30"/>
      <c r="ES284" s="30"/>
      <c r="ET284" s="30"/>
      <c r="EU284" s="30"/>
      <c r="EV284" s="30"/>
      <c r="EW284" s="30"/>
      <c r="EX284" s="30"/>
      <c r="EY284" s="30"/>
      <c r="EZ284" s="30"/>
      <c r="FA284" s="30"/>
      <c r="FB284" s="30"/>
      <c r="FC284" s="30"/>
      <c r="FD284" s="30"/>
      <c r="FE284" s="30"/>
      <c r="FF284" s="30"/>
      <c r="FG284" s="30"/>
      <c r="FH284" s="30"/>
      <c r="FI284" s="30"/>
      <c r="FJ284" s="30"/>
      <c r="FK284" s="30"/>
      <c r="FL284" s="30"/>
      <c r="FM284" s="30"/>
      <c r="FN284" s="30"/>
      <c r="FO284" s="30"/>
      <c r="FP284" s="30"/>
      <c r="FQ284" s="30"/>
      <c r="FR284" s="30"/>
      <c r="FS284" s="30"/>
      <c r="FT284" s="30"/>
      <c r="FU284" s="30"/>
      <c r="FV284" s="30"/>
      <c r="FW284" s="30"/>
      <c r="FX284" s="30"/>
      <c r="FY284" s="30"/>
    </row>
    <row r="285" spans="1:181" ht="15" x14ac:dyDescent="0.25">
      <c r="A285" s="28"/>
      <c r="B285" s="28"/>
      <c r="C285" s="28"/>
      <c r="D285" s="28"/>
      <c r="E285" s="29"/>
      <c r="F285" s="29"/>
      <c r="G285" s="2"/>
      <c r="H285" s="2"/>
      <c r="I285" s="2"/>
      <c r="J285" s="2"/>
      <c r="K285" s="2"/>
      <c r="L285" s="30"/>
      <c r="M285" s="30"/>
      <c r="N285" s="30"/>
      <c r="O285" s="30"/>
      <c r="P285" s="30"/>
      <c r="Q285" s="30"/>
      <c r="R285" s="30"/>
      <c r="S285" s="30"/>
      <c r="T285" s="30"/>
      <c r="U285" s="31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1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1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1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0"/>
      <c r="CL285" s="30"/>
      <c r="CM285" s="30"/>
      <c r="CN285" s="30"/>
      <c r="CO285" s="30"/>
      <c r="CP285" s="30"/>
      <c r="CQ285" s="30"/>
      <c r="CR285" s="30"/>
      <c r="CS285" s="30"/>
      <c r="CT285" s="30"/>
      <c r="CU285" s="30"/>
      <c r="CV285" s="30"/>
      <c r="CW285" s="30"/>
      <c r="CX285" s="30"/>
      <c r="CY285" s="30"/>
      <c r="CZ285" s="30"/>
      <c r="DA285" s="30"/>
      <c r="DB285" s="30"/>
      <c r="DC285" s="30"/>
      <c r="DD285" s="30"/>
      <c r="DE285" s="30"/>
      <c r="DF285" s="30"/>
      <c r="DG285" s="30"/>
      <c r="DH285" s="30"/>
      <c r="DI285" s="30"/>
      <c r="DJ285" s="30"/>
      <c r="DK285" s="30"/>
      <c r="DL285" s="30"/>
      <c r="DM285" s="30"/>
      <c r="DN285" s="30"/>
      <c r="DO285" s="30"/>
      <c r="DP285" s="30"/>
      <c r="DQ285" s="30"/>
      <c r="DR285" s="30"/>
      <c r="DS285" s="30"/>
      <c r="DT285" s="30"/>
      <c r="DU285" s="30"/>
      <c r="DV285" s="30"/>
      <c r="DW285" s="30"/>
      <c r="DX285" s="30"/>
      <c r="DY285" s="30"/>
      <c r="DZ285" s="30"/>
      <c r="EA285" s="30"/>
      <c r="EB285" s="30"/>
      <c r="EC285" s="30"/>
      <c r="ED285" s="30"/>
      <c r="EE285" s="30"/>
      <c r="EF285" s="30"/>
      <c r="EG285" s="30"/>
      <c r="EH285" s="30"/>
      <c r="EI285" s="30"/>
      <c r="EJ285" s="30"/>
      <c r="EK285" s="30"/>
      <c r="EL285" s="30"/>
      <c r="EM285" s="30"/>
      <c r="EN285" s="30"/>
      <c r="EO285" s="30"/>
      <c r="EP285" s="30"/>
      <c r="EQ285" s="30"/>
      <c r="ER285" s="30"/>
      <c r="ES285" s="30"/>
      <c r="ET285" s="30"/>
      <c r="EU285" s="30"/>
      <c r="EV285" s="30"/>
      <c r="EW285" s="30"/>
      <c r="EX285" s="30"/>
      <c r="EY285" s="30"/>
      <c r="EZ285" s="30"/>
      <c r="FA285" s="30"/>
      <c r="FB285" s="30"/>
      <c r="FC285" s="30"/>
      <c r="FD285" s="30"/>
      <c r="FE285" s="30"/>
      <c r="FF285" s="30"/>
      <c r="FG285" s="30"/>
      <c r="FH285" s="30"/>
      <c r="FI285" s="30"/>
      <c r="FJ285" s="30"/>
      <c r="FK285" s="30"/>
      <c r="FL285" s="30"/>
      <c r="FM285" s="30"/>
      <c r="FN285" s="30"/>
      <c r="FO285" s="30"/>
      <c r="FP285" s="30"/>
      <c r="FQ285" s="30"/>
      <c r="FR285" s="30"/>
      <c r="FS285" s="30"/>
      <c r="FT285" s="30"/>
      <c r="FU285" s="30"/>
      <c r="FV285" s="30"/>
      <c r="FW285" s="30"/>
      <c r="FX285" s="30"/>
      <c r="FY285" s="30"/>
    </row>
    <row r="286" spans="1:181" ht="15" x14ac:dyDescent="0.25">
      <c r="A286" s="28"/>
      <c r="B286" s="28"/>
      <c r="C286" s="28"/>
      <c r="D286" s="28"/>
      <c r="E286" s="29"/>
      <c r="F286" s="29"/>
      <c r="G286" s="2"/>
      <c r="H286" s="2"/>
      <c r="I286" s="2"/>
      <c r="J286" s="2"/>
      <c r="K286" s="2"/>
      <c r="L286" s="30"/>
      <c r="M286" s="30"/>
      <c r="N286" s="30"/>
      <c r="O286" s="30"/>
      <c r="P286" s="30"/>
      <c r="Q286" s="30"/>
      <c r="R286" s="30"/>
      <c r="S286" s="30"/>
      <c r="T286" s="30"/>
      <c r="U286" s="31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1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1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1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0"/>
      <c r="CL286" s="30"/>
      <c r="CM286" s="30"/>
      <c r="CN286" s="30"/>
      <c r="CO286" s="30"/>
      <c r="CP286" s="30"/>
      <c r="CQ286" s="30"/>
      <c r="CR286" s="30"/>
      <c r="CS286" s="30"/>
      <c r="CT286" s="30"/>
      <c r="CU286" s="30"/>
      <c r="CV286" s="30"/>
      <c r="CW286" s="30"/>
      <c r="CX286" s="30"/>
      <c r="CY286" s="30"/>
      <c r="CZ286" s="30"/>
      <c r="DA286" s="30"/>
      <c r="DB286" s="30"/>
      <c r="DC286" s="30"/>
      <c r="DD286" s="30"/>
      <c r="DE286" s="30"/>
      <c r="DF286" s="30"/>
      <c r="DG286" s="30"/>
      <c r="DH286" s="30"/>
      <c r="DI286" s="30"/>
      <c r="DJ286" s="30"/>
      <c r="DK286" s="30"/>
      <c r="DL286" s="30"/>
      <c r="DM286" s="30"/>
      <c r="DN286" s="30"/>
      <c r="DO286" s="30"/>
      <c r="DP286" s="30"/>
      <c r="DQ286" s="30"/>
      <c r="DR286" s="30"/>
      <c r="DS286" s="30"/>
      <c r="DT286" s="30"/>
      <c r="DU286" s="30"/>
      <c r="DV286" s="30"/>
      <c r="DW286" s="30"/>
      <c r="DX286" s="30"/>
      <c r="DY286" s="30"/>
      <c r="DZ286" s="30"/>
      <c r="EA286" s="30"/>
      <c r="EB286" s="30"/>
      <c r="EC286" s="30"/>
      <c r="ED286" s="30"/>
      <c r="EE286" s="30"/>
      <c r="EF286" s="30"/>
      <c r="EG286" s="30"/>
      <c r="EH286" s="30"/>
      <c r="EI286" s="30"/>
      <c r="EJ286" s="30"/>
      <c r="EK286" s="30"/>
      <c r="EL286" s="30"/>
      <c r="EM286" s="30"/>
      <c r="EN286" s="30"/>
      <c r="EO286" s="30"/>
      <c r="EP286" s="30"/>
      <c r="EQ286" s="30"/>
      <c r="ER286" s="30"/>
      <c r="ES286" s="30"/>
      <c r="ET286" s="30"/>
      <c r="EU286" s="30"/>
      <c r="EV286" s="30"/>
      <c r="EW286" s="30"/>
      <c r="EX286" s="30"/>
      <c r="EY286" s="30"/>
      <c r="EZ286" s="30"/>
      <c r="FA286" s="30"/>
      <c r="FB286" s="30"/>
      <c r="FC286" s="30"/>
      <c r="FD286" s="30"/>
      <c r="FE286" s="30"/>
      <c r="FF286" s="30"/>
      <c r="FG286" s="30"/>
      <c r="FH286" s="30"/>
      <c r="FI286" s="30"/>
      <c r="FJ286" s="30"/>
      <c r="FK286" s="30"/>
      <c r="FL286" s="30"/>
      <c r="FM286" s="30"/>
      <c r="FN286" s="30"/>
      <c r="FO286" s="30"/>
      <c r="FP286" s="30"/>
      <c r="FQ286" s="30"/>
      <c r="FR286" s="30"/>
      <c r="FS286" s="30"/>
      <c r="FT286" s="30"/>
      <c r="FU286" s="30"/>
      <c r="FV286" s="30"/>
      <c r="FW286" s="30"/>
      <c r="FX286" s="30"/>
      <c r="FY286" s="30"/>
    </row>
    <row r="287" spans="1:181" ht="15" x14ac:dyDescent="0.25">
      <c r="A287" s="28"/>
      <c r="B287" s="28"/>
      <c r="C287" s="28"/>
      <c r="D287" s="28"/>
      <c r="E287" s="29"/>
      <c r="F287" s="29"/>
      <c r="G287" s="2"/>
      <c r="H287" s="2"/>
      <c r="I287" s="2"/>
      <c r="J287" s="2"/>
      <c r="K287" s="2"/>
      <c r="L287" s="30"/>
      <c r="M287" s="30"/>
      <c r="N287" s="30"/>
      <c r="O287" s="30"/>
      <c r="P287" s="30"/>
      <c r="Q287" s="30"/>
      <c r="R287" s="30"/>
      <c r="S287" s="30"/>
      <c r="T287" s="30"/>
      <c r="U287" s="31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1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1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1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  <c r="BW287" s="30"/>
      <c r="BX287" s="30"/>
      <c r="BY287" s="30"/>
      <c r="BZ287" s="30"/>
      <c r="CA287" s="30"/>
      <c r="CB287" s="30"/>
      <c r="CC287" s="30"/>
      <c r="CD287" s="30"/>
      <c r="CE287" s="30"/>
      <c r="CF287" s="30"/>
      <c r="CG287" s="30"/>
      <c r="CH287" s="30"/>
      <c r="CI287" s="30"/>
      <c r="CJ287" s="30"/>
      <c r="CK287" s="30"/>
      <c r="CL287" s="30"/>
      <c r="CM287" s="30"/>
      <c r="CN287" s="30"/>
      <c r="CO287" s="30"/>
      <c r="CP287" s="30"/>
      <c r="CQ287" s="30"/>
      <c r="CR287" s="30"/>
      <c r="CS287" s="30"/>
      <c r="CT287" s="30"/>
      <c r="CU287" s="30"/>
      <c r="CV287" s="30"/>
      <c r="CW287" s="30"/>
      <c r="CX287" s="30"/>
      <c r="CY287" s="30"/>
      <c r="CZ287" s="30"/>
      <c r="DA287" s="30"/>
      <c r="DB287" s="30"/>
      <c r="DC287" s="30"/>
      <c r="DD287" s="30"/>
      <c r="DE287" s="30"/>
      <c r="DF287" s="30"/>
      <c r="DG287" s="30"/>
      <c r="DH287" s="30"/>
      <c r="DI287" s="30"/>
      <c r="DJ287" s="30"/>
      <c r="DK287" s="30"/>
      <c r="DL287" s="30"/>
      <c r="DM287" s="30"/>
      <c r="DN287" s="30"/>
      <c r="DO287" s="30"/>
      <c r="DP287" s="30"/>
      <c r="DQ287" s="30"/>
      <c r="DR287" s="30"/>
      <c r="DS287" s="30"/>
      <c r="DT287" s="30"/>
      <c r="DU287" s="30"/>
      <c r="DV287" s="30"/>
      <c r="DW287" s="30"/>
      <c r="DX287" s="30"/>
      <c r="DY287" s="30"/>
      <c r="DZ287" s="30"/>
      <c r="EA287" s="30"/>
      <c r="EB287" s="30"/>
      <c r="EC287" s="30"/>
      <c r="ED287" s="30"/>
      <c r="EE287" s="30"/>
      <c r="EF287" s="30"/>
      <c r="EG287" s="30"/>
      <c r="EH287" s="30"/>
      <c r="EI287" s="30"/>
      <c r="EJ287" s="30"/>
      <c r="EK287" s="30"/>
      <c r="EL287" s="30"/>
      <c r="EM287" s="30"/>
      <c r="EN287" s="30"/>
      <c r="EO287" s="30"/>
      <c r="EP287" s="30"/>
      <c r="EQ287" s="30"/>
      <c r="ER287" s="30"/>
      <c r="ES287" s="30"/>
      <c r="ET287" s="30"/>
      <c r="EU287" s="30"/>
      <c r="EV287" s="30"/>
      <c r="EW287" s="30"/>
      <c r="EX287" s="30"/>
      <c r="EY287" s="30"/>
      <c r="EZ287" s="30"/>
      <c r="FA287" s="30"/>
      <c r="FB287" s="30"/>
      <c r="FC287" s="30"/>
      <c r="FD287" s="30"/>
      <c r="FE287" s="30"/>
      <c r="FF287" s="30"/>
      <c r="FG287" s="30"/>
      <c r="FH287" s="30"/>
      <c r="FI287" s="30"/>
      <c r="FJ287" s="30"/>
      <c r="FK287" s="30"/>
      <c r="FL287" s="30"/>
      <c r="FM287" s="30"/>
      <c r="FN287" s="30"/>
      <c r="FO287" s="30"/>
      <c r="FP287" s="30"/>
      <c r="FQ287" s="30"/>
      <c r="FR287" s="30"/>
      <c r="FS287" s="30"/>
      <c r="FT287" s="30"/>
      <c r="FU287" s="30"/>
      <c r="FV287" s="30"/>
      <c r="FW287" s="30"/>
      <c r="FX287" s="30"/>
      <c r="FY287" s="30"/>
    </row>
    <row r="288" spans="1:181" ht="15" x14ac:dyDescent="0.25">
      <c r="A288" s="28"/>
      <c r="B288" s="28"/>
      <c r="C288" s="28"/>
      <c r="D288" s="28"/>
      <c r="E288" s="29"/>
      <c r="F288" s="29"/>
      <c r="G288" s="2"/>
      <c r="H288" s="2"/>
      <c r="I288" s="2"/>
      <c r="J288" s="2"/>
      <c r="K288" s="2"/>
      <c r="L288" s="30"/>
      <c r="M288" s="30"/>
      <c r="N288" s="30"/>
      <c r="O288" s="30"/>
      <c r="P288" s="30"/>
      <c r="Q288" s="30"/>
      <c r="R288" s="30"/>
      <c r="S288" s="30"/>
      <c r="T288" s="30"/>
      <c r="U288" s="31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1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1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1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  <c r="BW288" s="30"/>
      <c r="BX288" s="30"/>
      <c r="BY288" s="30"/>
      <c r="BZ288" s="30"/>
      <c r="CA288" s="30"/>
      <c r="CB288" s="30"/>
      <c r="CC288" s="30"/>
      <c r="CD288" s="30"/>
      <c r="CE288" s="30"/>
      <c r="CF288" s="30"/>
      <c r="CG288" s="30"/>
      <c r="CH288" s="30"/>
      <c r="CI288" s="30"/>
      <c r="CJ288" s="30"/>
      <c r="CK288" s="30"/>
      <c r="CL288" s="30"/>
      <c r="CM288" s="30"/>
      <c r="CN288" s="30"/>
      <c r="CO288" s="30"/>
      <c r="CP288" s="30"/>
      <c r="CQ288" s="30"/>
      <c r="CR288" s="30"/>
      <c r="CS288" s="30"/>
      <c r="CT288" s="30"/>
      <c r="CU288" s="30"/>
      <c r="CV288" s="30"/>
      <c r="CW288" s="30"/>
      <c r="CX288" s="30"/>
      <c r="CY288" s="30"/>
      <c r="CZ288" s="30"/>
      <c r="DA288" s="30"/>
      <c r="DB288" s="30"/>
      <c r="DC288" s="30"/>
      <c r="DD288" s="30"/>
      <c r="DE288" s="30"/>
      <c r="DF288" s="30"/>
      <c r="DG288" s="30"/>
      <c r="DH288" s="30"/>
      <c r="DI288" s="30"/>
      <c r="DJ288" s="30"/>
      <c r="DK288" s="30"/>
      <c r="DL288" s="30"/>
      <c r="DM288" s="30"/>
      <c r="DN288" s="30"/>
      <c r="DO288" s="30"/>
      <c r="DP288" s="30"/>
      <c r="DQ288" s="30"/>
      <c r="DR288" s="30"/>
      <c r="DS288" s="30"/>
      <c r="DT288" s="30"/>
      <c r="DU288" s="30"/>
      <c r="DV288" s="30"/>
      <c r="DW288" s="30"/>
      <c r="DX288" s="30"/>
      <c r="DY288" s="30"/>
      <c r="DZ288" s="30"/>
      <c r="EA288" s="30"/>
      <c r="EB288" s="30"/>
      <c r="EC288" s="30"/>
      <c r="ED288" s="30"/>
      <c r="EE288" s="30"/>
      <c r="EF288" s="30"/>
      <c r="EG288" s="30"/>
      <c r="EH288" s="30"/>
      <c r="EI288" s="30"/>
      <c r="EJ288" s="30"/>
      <c r="EK288" s="30"/>
      <c r="EL288" s="30"/>
      <c r="EM288" s="30"/>
      <c r="EN288" s="30"/>
      <c r="EO288" s="30"/>
      <c r="EP288" s="30"/>
      <c r="EQ288" s="30"/>
      <c r="ER288" s="30"/>
      <c r="ES288" s="30"/>
      <c r="ET288" s="30"/>
      <c r="EU288" s="30"/>
      <c r="EV288" s="30"/>
      <c r="EW288" s="30"/>
      <c r="EX288" s="30"/>
      <c r="EY288" s="30"/>
      <c r="EZ288" s="30"/>
      <c r="FA288" s="30"/>
      <c r="FB288" s="30"/>
      <c r="FC288" s="30"/>
      <c r="FD288" s="30"/>
      <c r="FE288" s="30"/>
      <c r="FF288" s="30"/>
      <c r="FG288" s="30"/>
      <c r="FH288" s="30"/>
      <c r="FI288" s="30"/>
      <c r="FJ288" s="30"/>
      <c r="FK288" s="30"/>
      <c r="FL288" s="30"/>
      <c r="FM288" s="30"/>
      <c r="FN288" s="30"/>
      <c r="FO288" s="30"/>
      <c r="FP288" s="30"/>
      <c r="FQ288" s="30"/>
      <c r="FR288" s="30"/>
      <c r="FS288" s="30"/>
      <c r="FT288" s="30"/>
      <c r="FU288" s="30"/>
      <c r="FV288" s="30"/>
      <c r="FW288" s="30"/>
      <c r="FX288" s="30"/>
      <c r="FY288" s="30"/>
    </row>
    <row r="289" spans="1:181" ht="15" x14ac:dyDescent="0.25">
      <c r="A289" s="28"/>
      <c r="B289" s="28"/>
      <c r="C289" s="28"/>
      <c r="D289" s="28"/>
      <c r="E289" s="29"/>
      <c r="F289" s="29"/>
      <c r="G289" s="2"/>
      <c r="H289" s="2"/>
      <c r="I289" s="2"/>
      <c r="J289" s="2"/>
      <c r="K289" s="2"/>
      <c r="L289" s="30"/>
      <c r="M289" s="30"/>
      <c r="N289" s="30"/>
      <c r="O289" s="30"/>
      <c r="P289" s="30"/>
      <c r="Q289" s="30"/>
      <c r="R289" s="30"/>
      <c r="S289" s="30"/>
      <c r="T289" s="30"/>
      <c r="U289" s="31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1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1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1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0"/>
      <c r="CL289" s="30"/>
      <c r="CM289" s="30"/>
      <c r="CN289" s="30"/>
      <c r="CO289" s="30"/>
      <c r="CP289" s="30"/>
      <c r="CQ289" s="30"/>
      <c r="CR289" s="30"/>
      <c r="CS289" s="30"/>
      <c r="CT289" s="30"/>
      <c r="CU289" s="30"/>
      <c r="CV289" s="30"/>
      <c r="CW289" s="30"/>
      <c r="CX289" s="30"/>
      <c r="CY289" s="30"/>
      <c r="CZ289" s="30"/>
      <c r="DA289" s="30"/>
      <c r="DB289" s="30"/>
      <c r="DC289" s="30"/>
      <c r="DD289" s="30"/>
      <c r="DE289" s="30"/>
      <c r="DF289" s="30"/>
      <c r="DG289" s="30"/>
      <c r="DH289" s="30"/>
      <c r="DI289" s="30"/>
      <c r="DJ289" s="30"/>
      <c r="DK289" s="30"/>
      <c r="DL289" s="30"/>
      <c r="DM289" s="30"/>
      <c r="DN289" s="30"/>
      <c r="DO289" s="30"/>
      <c r="DP289" s="30"/>
      <c r="DQ289" s="30"/>
      <c r="DR289" s="30"/>
      <c r="DS289" s="30"/>
      <c r="DT289" s="30"/>
      <c r="DU289" s="30"/>
      <c r="DV289" s="30"/>
      <c r="DW289" s="30"/>
      <c r="DX289" s="30"/>
      <c r="DY289" s="30"/>
      <c r="DZ289" s="30"/>
      <c r="EA289" s="30"/>
      <c r="EB289" s="30"/>
      <c r="EC289" s="30"/>
      <c r="ED289" s="30"/>
      <c r="EE289" s="30"/>
      <c r="EF289" s="30"/>
      <c r="EG289" s="30"/>
      <c r="EH289" s="30"/>
      <c r="EI289" s="30"/>
      <c r="EJ289" s="30"/>
      <c r="EK289" s="30"/>
      <c r="EL289" s="30"/>
      <c r="EM289" s="30"/>
      <c r="EN289" s="30"/>
      <c r="EO289" s="30"/>
      <c r="EP289" s="30"/>
      <c r="EQ289" s="30"/>
      <c r="ER289" s="30"/>
      <c r="ES289" s="30"/>
      <c r="ET289" s="30"/>
      <c r="EU289" s="30"/>
      <c r="EV289" s="30"/>
      <c r="EW289" s="30"/>
      <c r="EX289" s="30"/>
      <c r="EY289" s="30"/>
      <c r="EZ289" s="30"/>
      <c r="FA289" s="30"/>
      <c r="FB289" s="30"/>
      <c r="FC289" s="30"/>
      <c r="FD289" s="30"/>
      <c r="FE289" s="30"/>
      <c r="FF289" s="30"/>
      <c r="FG289" s="30"/>
      <c r="FH289" s="30"/>
      <c r="FI289" s="30"/>
      <c r="FJ289" s="30"/>
      <c r="FK289" s="30"/>
      <c r="FL289" s="30"/>
      <c r="FM289" s="30"/>
      <c r="FN289" s="30"/>
      <c r="FO289" s="30"/>
      <c r="FP289" s="30"/>
      <c r="FQ289" s="30"/>
      <c r="FR289" s="30"/>
      <c r="FS289" s="30"/>
      <c r="FT289" s="30"/>
      <c r="FU289" s="30"/>
      <c r="FV289" s="30"/>
      <c r="FW289" s="30"/>
      <c r="FX289" s="30"/>
      <c r="FY289" s="30"/>
    </row>
    <row r="290" spans="1:181" ht="15" x14ac:dyDescent="0.25">
      <c r="A290" s="28"/>
      <c r="B290" s="28"/>
      <c r="C290" s="28"/>
      <c r="D290" s="28"/>
      <c r="E290" s="29"/>
      <c r="F290" s="29"/>
      <c r="G290" s="2"/>
      <c r="H290" s="2"/>
      <c r="I290" s="2"/>
      <c r="J290" s="2"/>
      <c r="K290" s="2"/>
      <c r="L290" s="30"/>
      <c r="M290" s="30"/>
      <c r="N290" s="30"/>
      <c r="O290" s="30"/>
      <c r="P290" s="30"/>
      <c r="Q290" s="30"/>
      <c r="R290" s="30"/>
      <c r="S290" s="30"/>
      <c r="T290" s="30"/>
      <c r="U290" s="31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1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1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1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0"/>
      <c r="CL290" s="30"/>
      <c r="CM290" s="30"/>
      <c r="CN290" s="30"/>
      <c r="CO290" s="30"/>
      <c r="CP290" s="30"/>
      <c r="CQ290" s="30"/>
      <c r="CR290" s="30"/>
      <c r="CS290" s="30"/>
      <c r="CT290" s="30"/>
      <c r="CU290" s="30"/>
      <c r="CV290" s="30"/>
      <c r="CW290" s="30"/>
      <c r="CX290" s="30"/>
      <c r="CY290" s="30"/>
      <c r="CZ290" s="30"/>
      <c r="DA290" s="30"/>
      <c r="DB290" s="30"/>
      <c r="DC290" s="30"/>
      <c r="DD290" s="30"/>
      <c r="DE290" s="30"/>
      <c r="DF290" s="30"/>
      <c r="DG290" s="30"/>
      <c r="DH290" s="30"/>
      <c r="DI290" s="30"/>
      <c r="DJ290" s="30"/>
      <c r="DK290" s="30"/>
      <c r="DL290" s="30"/>
      <c r="DM290" s="30"/>
      <c r="DN290" s="30"/>
      <c r="DO290" s="30"/>
      <c r="DP290" s="30"/>
      <c r="DQ290" s="30"/>
      <c r="DR290" s="30"/>
      <c r="DS290" s="30"/>
      <c r="DT290" s="30"/>
      <c r="DU290" s="30"/>
      <c r="DV290" s="30"/>
      <c r="DW290" s="30"/>
      <c r="DX290" s="30"/>
      <c r="DY290" s="30"/>
      <c r="DZ290" s="30"/>
      <c r="EA290" s="30"/>
      <c r="EB290" s="30"/>
      <c r="EC290" s="30"/>
      <c r="ED290" s="30"/>
      <c r="EE290" s="30"/>
      <c r="EF290" s="30"/>
      <c r="EG290" s="30"/>
      <c r="EH290" s="30"/>
      <c r="EI290" s="30"/>
      <c r="EJ290" s="30"/>
      <c r="EK290" s="30"/>
      <c r="EL290" s="30"/>
      <c r="EM290" s="30"/>
      <c r="EN290" s="30"/>
      <c r="EO290" s="30"/>
      <c r="EP290" s="30"/>
      <c r="EQ290" s="30"/>
      <c r="ER290" s="30"/>
      <c r="ES290" s="30"/>
      <c r="ET290" s="30"/>
      <c r="EU290" s="30"/>
      <c r="EV290" s="30"/>
      <c r="EW290" s="30"/>
      <c r="EX290" s="30"/>
      <c r="EY290" s="30"/>
      <c r="EZ290" s="30"/>
      <c r="FA290" s="30"/>
      <c r="FB290" s="30"/>
      <c r="FC290" s="30"/>
      <c r="FD290" s="30"/>
      <c r="FE290" s="30"/>
      <c r="FF290" s="30"/>
      <c r="FG290" s="30"/>
      <c r="FH290" s="30"/>
      <c r="FI290" s="30"/>
      <c r="FJ290" s="30"/>
      <c r="FK290" s="30"/>
      <c r="FL290" s="30"/>
      <c r="FM290" s="30"/>
      <c r="FN290" s="30"/>
      <c r="FO290" s="30"/>
      <c r="FP290" s="30"/>
      <c r="FQ290" s="30"/>
      <c r="FR290" s="30"/>
      <c r="FS290" s="30"/>
      <c r="FT290" s="30"/>
      <c r="FU290" s="30"/>
      <c r="FV290" s="30"/>
      <c r="FW290" s="30"/>
      <c r="FX290" s="30"/>
      <c r="FY290" s="30"/>
    </row>
    <row r="291" spans="1:181" ht="15" x14ac:dyDescent="0.25">
      <c r="A291" s="28"/>
      <c r="B291" s="28"/>
      <c r="C291" s="28"/>
      <c r="D291" s="28"/>
      <c r="E291" s="34"/>
      <c r="F291" s="34"/>
      <c r="G291" s="2"/>
      <c r="H291" s="2"/>
      <c r="I291" s="2"/>
      <c r="J291" s="2"/>
      <c r="K291" s="2"/>
      <c r="L291" s="30"/>
      <c r="M291" s="30"/>
      <c r="N291" s="30"/>
      <c r="O291" s="30"/>
      <c r="P291" s="30"/>
      <c r="Q291" s="30"/>
      <c r="R291" s="30"/>
      <c r="S291" s="30"/>
      <c r="T291" s="30"/>
      <c r="U291" s="31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11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1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1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  <c r="BW291" s="30"/>
      <c r="BX291" s="30"/>
      <c r="BY291" s="30"/>
      <c r="BZ291" s="30"/>
      <c r="CA291" s="30"/>
      <c r="CB291" s="30"/>
      <c r="CC291" s="30"/>
      <c r="CD291" s="30"/>
      <c r="CE291" s="30"/>
      <c r="CF291" s="30"/>
      <c r="CG291" s="30"/>
      <c r="CH291" s="30"/>
      <c r="CI291" s="30"/>
      <c r="CJ291" s="30"/>
      <c r="CK291" s="30"/>
      <c r="CL291" s="30"/>
      <c r="CM291" s="30"/>
      <c r="CN291" s="30"/>
      <c r="CO291" s="30"/>
      <c r="CP291" s="30"/>
      <c r="CQ291" s="30"/>
      <c r="CR291" s="30"/>
      <c r="CS291" s="30"/>
      <c r="CT291" s="30"/>
      <c r="CU291" s="30"/>
      <c r="CV291" s="30"/>
      <c r="CW291" s="30"/>
      <c r="CX291" s="30"/>
      <c r="CY291" s="30"/>
      <c r="CZ291" s="30"/>
      <c r="DA291" s="30"/>
      <c r="DB291" s="30"/>
      <c r="DC291" s="30"/>
      <c r="DD291" s="30"/>
      <c r="DE291" s="30"/>
      <c r="DF291" s="30"/>
      <c r="DG291" s="30"/>
      <c r="DH291" s="30"/>
      <c r="DI291" s="30"/>
      <c r="DJ291" s="30"/>
      <c r="DK291" s="30"/>
      <c r="DL291" s="30"/>
      <c r="DM291" s="30"/>
      <c r="DN291" s="30"/>
      <c r="DO291" s="30"/>
      <c r="DP291" s="30"/>
      <c r="DQ291" s="30"/>
      <c r="DR291" s="30"/>
      <c r="DS291" s="30"/>
      <c r="DT291" s="30"/>
      <c r="DU291" s="30"/>
      <c r="DV291" s="30"/>
      <c r="DW291" s="30"/>
      <c r="DX291" s="30"/>
      <c r="DY291" s="30"/>
      <c r="DZ291" s="30"/>
      <c r="EA291" s="30"/>
      <c r="EB291" s="30"/>
      <c r="EC291" s="30"/>
      <c r="ED291" s="30"/>
      <c r="EE291" s="30"/>
      <c r="EF291" s="30"/>
      <c r="EG291" s="30"/>
      <c r="EH291" s="30"/>
      <c r="EI291" s="30"/>
      <c r="EJ291" s="30"/>
      <c r="EK291" s="30"/>
      <c r="EL291" s="30"/>
      <c r="EM291" s="30"/>
      <c r="EN291" s="30"/>
      <c r="EO291" s="30"/>
      <c r="EP291" s="30"/>
      <c r="EQ291" s="30"/>
      <c r="ER291" s="30"/>
      <c r="ES291" s="30"/>
      <c r="ET291" s="30"/>
      <c r="EU291" s="30"/>
      <c r="EV291" s="30"/>
      <c r="EW291" s="30"/>
      <c r="EX291" s="30"/>
      <c r="EY291" s="30"/>
      <c r="EZ291" s="30"/>
      <c r="FA291" s="30"/>
      <c r="FB291" s="30"/>
      <c r="FC291" s="30"/>
      <c r="FD291" s="30"/>
      <c r="FE291" s="30"/>
      <c r="FF291" s="30"/>
      <c r="FG291" s="30"/>
      <c r="FH291" s="30"/>
      <c r="FI291" s="30"/>
      <c r="FJ291" s="30"/>
      <c r="FK291" s="30"/>
      <c r="FL291" s="30"/>
      <c r="FM291" s="30"/>
      <c r="FN291" s="30"/>
      <c r="FO291" s="30"/>
      <c r="FP291" s="30"/>
      <c r="FQ291" s="30"/>
      <c r="FR291" s="30"/>
      <c r="FS291" s="30"/>
      <c r="FT291" s="30"/>
      <c r="FU291" s="30"/>
      <c r="FV291" s="30"/>
      <c r="FW291" s="30"/>
      <c r="FX291" s="30"/>
      <c r="FY291" s="30"/>
    </row>
    <row r="292" spans="1:181" ht="15" x14ac:dyDescent="0.25">
      <c r="A292" s="28"/>
      <c r="B292" s="28"/>
      <c r="C292" s="28"/>
      <c r="D292" s="28"/>
      <c r="E292" s="34"/>
      <c r="F292" s="34"/>
      <c r="G292" s="2"/>
      <c r="H292" s="2"/>
      <c r="I292" s="2"/>
      <c r="J292" s="2"/>
      <c r="K292" s="2"/>
      <c r="L292" s="30"/>
      <c r="M292" s="30"/>
      <c r="N292" s="30"/>
      <c r="O292" s="30"/>
      <c r="P292" s="30"/>
      <c r="Q292" s="30"/>
      <c r="R292" s="30"/>
      <c r="S292" s="30"/>
      <c r="T292" s="30"/>
      <c r="U292" s="31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11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1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1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  <c r="BW292" s="30"/>
      <c r="BX292" s="30"/>
      <c r="BY292" s="30"/>
      <c r="BZ292" s="30"/>
      <c r="CA292" s="30"/>
      <c r="CB292" s="30"/>
      <c r="CC292" s="30"/>
      <c r="CD292" s="30"/>
      <c r="CE292" s="30"/>
      <c r="CF292" s="30"/>
      <c r="CG292" s="30"/>
      <c r="CH292" s="30"/>
      <c r="CI292" s="30"/>
      <c r="CJ292" s="30"/>
      <c r="CK292" s="30"/>
      <c r="CL292" s="30"/>
      <c r="CM292" s="30"/>
      <c r="CN292" s="30"/>
      <c r="CO292" s="30"/>
      <c r="CP292" s="30"/>
      <c r="CQ292" s="30"/>
      <c r="CR292" s="30"/>
      <c r="CS292" s="30"/>
      <c r="CT292" s="30"/>
      <c r="CU292" s="30"/>
      <c r="CV292" s="30"/>
      <c r="CW292" s="30"/>
      <c r="CX292" s="30"/>
      <c r="CY292" s="30"/>
      <c r="CZ292" s="30"/>
      <c r="DA292" s="30"/>
      <c r="DB292" s="30"/>
      <c r="DC292" s="30"/>
      <c r="DD292" s="30"/>
      <c r="DE292" s="30"/>
      <c r="DF292" s="30"/>
      <c r="DG292" s="30"/>
      <c r="DH292" s="30"/>
      <c r="DI292" s="30"/>
      <c r="DJ292" s="30"/>
      <c r="DK292" s="30"/>
      <c r="DL292" s="30"/>
      <c r="DM292" s="30"/>
      <c r="DN292" s="30"/>
      <c r="DO292" s="30"/>
      <c r="DP292" s="30"/>
      <c r="DQ292" s="30"/>
      <c r="DR292" s="30"/>
      <c r="DS292" s="30"/>
      <c r="DT292" s="30"/>
      <c r="DU292" s="30"/>
      <c r="DV292" s="30"/>
      <c r="DW292" s="30"/>
      <c r="DX292" s="30"/>
      <c r="DY292" s="30"/>
      <c r="DZ292" s="30"/>
      <c r="EA292" s="30"/>
      <c r="EB292" s="30"/>
      <c r="EC292" s="30"/>
      <c r="ED292" s="30"/>
      <c r="EE292" s="30"/>
      <c r="EF292" s="30"/>
      <c r="EG292" s="30"/>
      <c r="EH292" s="30"/>
      <c r="EI292" s="30"/>
      <c r="EJ292" s="30"/>
      <c r="EK292" s="30"/>
      <c r="EL292" s="30"/>
      <c r="EM292" s="30"/>
      <c r="EN292" s="30"/>
      <c r="EO292" s="30"/>
      <c r="EP292" s="30"/>
      <c r="EQ292" s="30"/>
      <c r="ER292" s="30"/>
      <c r="ES292" s="30"/>
      <c r="ET292" s="30"/>
      <c r="EU292" s="30"/>
      <c r="EV292" s="30"/>
      <c r="EW292" s="30"/>
      <c r="EX292" s="30"/>
      <c r="EY292" s="30"/>
      <c r="EZ292" s="30"/>
      <c r="FA292" s="30"/>
      <c r="FB292" s="30"/>
      <c r="FC292" s="30"/>
      <c r="FD292" s="30"/>
      <c r="FE292" s="30"/>
      <c r="FF292" s="30"/>
      <c r="FG292" s="30"/>
      <c r="FH292" s="30"/>
      <c r="FI292" s="30"/>
      <c r="FJ292" s="30"/>
      <c r="FK292" s="30"/>
      <c r="FL292" s="30"/>
      <c r="FM292" s="30"/>
      <c r="FN292" s="30"/>
      <c r="FO292" s="30"/>
      <c r="FP292" s="30"/>
      <c r="FQ292" s="30"/>
      <c r="FR292" s="30"/>
      <c r="FS292" s="30"/>
      <c r="FT292" s="30"/>
      <c r="FU292" s="30"/>
      <c r="FV292" s="30"/>
      <c r="FW292" s="30"/>
      <c r="FX292" s="30"/>
      <c r="FY292" s="30"/>
    </row>
    <row r="293" spans="1:181" ht="15" x14ac:dyDescent="0.25">
      <c r="A293" s="28"/>
      <c r="B293" s="28"/>
      <c r="C293" s="28"/>
      <c r="D293" s="28"/>
      <c r="E293" s="29"/>
      <c r="F293" s="29"/>
      <c r="G293" s="2"/>
      <c r="H293" s="2"/>
      <c r="I293" s="2"/>
      <c r="J293" s="2"/>
      <c r="K293" s="2"/>
      <c r="L293" s="30"/>
      <c r="M293" s="30"/>
      <c r="N293" s="30"/>
      <c r="O293" s="30"/>
      <c r="P293" s="30"/>
      <c r="Q293" s="30"/>
      <c r="R293" s="30"/>
      <c r="S293" s="30"/>
      <c r="T293" s="30"/>
      <c r="U293" s="31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1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1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1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0"/>
      <c r="CL293" s="30"/>
      <c r="CM293" s="30"/>
      <c r="CN293" s="30"/>
      <c r="CO293" s="30"/>
      <c r="CP293" s="30"/>
      <c r="CQ293" s="30"/>
      <c r="CR293" s="30"/>
      <c r="CS293" s="30"/>
      <c r="CT293" s="30"/>
      <c r="CU293" s="30"/>
      <c r="CV293" s="30"/>
      <c r="CW293" s="30"/>
      <c r="CX293" s="30"/>
      <c r="CY293" s="30"/>
      <c r="CZ293" s="30"/>
      <c r="DA293" s="30"/>
      <c r="DB293" s="30"/>
      <c r="DC293" s="30"/>
      <c r="DD293" s="30"/>
      <c r="DE293" s="30"/>
      <c r="DF293" s="30"/>
      <c r="DG293" s="30"/>
      <c r="DH293" s="30"/>
      <c r="DI293" s="30"/>
      <c r="DJ293" s="30"/>
      <c r="DK293" s="30"/>
      <c r="DL293" s="30"/>
      <c r="DM293" s="30"/>
      <c r="DN293" s="30"/>
      <c r="DO293" s="30"/>
      <c r="DP293" s="30"/>
      <c r="DQ293" s="30"/>
      <c r="DR293" s="30"/>
      <c r="DS293" s="30"/>
      <c r="DT293" s="30"/>
      <c r="DU293" s="30"/>
      <c r="DV293" s="30"/>
      <c r="DW293" s="30"/>
      <c r="DX293" s="30"/>
      <c r="DY293" s="30"/>
      <c r="DZ293" s="30"/>
      <c r="EA293" s="30"/>
      <c r="EB293" s="30"/>
      <c r="EC293" s="30"/>
      <c r="ED293" s="30"/>
      <c r="EE293" s="30"/>
      <c r="EF293" s="30"/>
      <c r="EG293" s="30"/>
      <c r="EH293" s="30"/>
      <c r="EI293" s="30"/>
      <c r="EJ293" s="30"/>
      <c r="EK293" s="30"/>
      <c r="EL293" s="30"/>
      <c r="EM293" s="30"/>
      <c r="EN293" s="30"/>
      <c r="EO293" s="30"/>
      <c r="EP293" s="30"/>
      <c r="EQ293" s="30"/>
      <c r="ER293" s="30"/>
      <c r="ES293" s="30"/>
      <c r="ET293" s="30"/>
      <c r="EU293" s="30"/>
      <c r="EV293" s="30"/>
      <c r="EW293" s="30"/>
      <c r="EX293" s="30"/>
      <c r="EY293" s="30"/>
      <c r="EZ293" s="30"/>
      <c r="FA293" s="30"/>
      <c r="FB293" s="30"/>
      <c r="FC293" s="30"/>
      <c r="FD293" s="30"/>
      <c r="FE293" s="30"/>
      <c r="FF293" s="30"/>
      <c r="FG293" s="30"/>
      <c r="FH293" s="30"/>
      <c r="FI293" s="30"/>
      <c r="FJ293" s="30"/>
      <c r="FK293" s="30"/>
      <c r="FL293" s="30"/>
      <c r="FM293" s="30"/>
      <c r="FN293" s="30"/>
      <c r="FO293" s="30"/>
      <c r="FP293" s="30"/>
      <c r="FQ293" s="30"/>
      <c r="FR293" s="30"/>
      <c r="FS293" s="30"/>
      <c r="FT293" s="30"/>
      <c r="FU293" s="30"/>
      <c r="FV293" s="30"/>
      <c r="FW293" s="30"/>
      <c r="FX293" s="30"/>
      <c r="FY293" s="30"/>
    </row>
    <row r="294" spans="1:181" ht="15" x14ac:dyDescent="0.25">
      <c r="A294" s="28"/>
      <c r="B294" s="28"/>
      <c r="C294" s="28"/>
      <c r="D294" s="28"/>
      <c r="E294" s="29"/>
      <c r="F294" s="29"/>
      <c r="G294" s="2"/>
      <c r="H294" s="2"/>
      <c r="I294" s="2"/>
      <c r="J294" s="2"/>
      <c r="K294" s="2"/>
      <c r="L294" s="30"/>
      <c r="M294" s="30"/>
      <c r="N294" s="30"/>
      <c r="O294" s="30"/>
      <c r="P294" s="30"/>
      <c r="Q294" s="30"/>
      <c r="R294" s="30"/>
      <c r="S294" s="30"/>
      <c r="T294" s="30"/>
      <c r="U294" s="31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1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1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1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0"/>
      <c r="CL294" s="30"/>
      <c r="CM294" s="30"/>
      <c r="CN294" s="30"/>
      <c r="CO294" s="30"/>
      <c r="CP294" s="30"/>
      <c r="CQ294" s="30"/>
      <c r="CR294" s="30"/>
      <c r="CS294" s="30"/>
      <c r="CT294" s="30"/>
      <c r="CU294" s="30"/>
      <c r="CV294" s="30"/>
      <c r="CW294" s="30"/>
      <c r="CX294" s="30"/>
      <c r="CY294" s="30"/>
      <c r="CZ294" s="30"/>
      <c r="DA294" s="30"/>
      <c r="DB294" s="30"/>
      <c r="DC294" s="30"/>
      <c r="DD294" s="30"/>
      <c r="DE294" s="30"/>
      <c r="DF294" s="30"/>
      <c r="DG294" s="30"/>
      <c r="DH294" s="30"/>
      <c r="DI294" s="30"/>
      <c r="DJ294" s="30"/>
      <c r="DK294" s="30"/>
      <c r="DL294" s="30"/>
      <c r="DM294" s="30"/>
      <c r="DN294" s="30"/>
      <c r="DO294" s="30"/>
      <c r="DP294" s="30"/>
      <c r="DQ294" s="30"/>
      <c r="DR294" s="30"/>
      <c r="DS294" s="30"/>
      <c r="DT294" s="30"/>
      <c r="DU294" s="30"/>
      <c r="DV294" s="30"/>
      <c r="DW294" s="30"/>
      <c r="DX294" s="30"/>
      <c r="DY294" s="30"/>
      <c r="DZ294" s="30"/>
      <c r="EA294" s="30"/>
      <c r="EB294" s="30"/>
      <c r="EC294" s="30"/>
      <c r="ED294" s="30"/>
      <c r="EE294" s="30"/>
      <c r="EF294" s="30"/>
      <c r="EG294" s="30"/>
      <c r="EH294" s="30"/>
      <c r="EI294" s="30"/>
      <c r="EJ294" s="30"/>
      <c r="EK294" s="30"/>
      <c r="EL294" s="30"/>
      <c r="EM294" s="30"/>
      <c r="EN294" s="30"/>
      <c r="EO294" s="30"/>
      <c r="EP294" s="30"/>
      <c r="EQ294" s="30"/>
      <c r="ER294" s="30"/>
      <c r="ES294" s="30"/>
      <c r="ET294" s="30"/>
      <c r="EU294" s="30"/>
      <c r="EV294" s="30"/>
      <c r="EW294" s="30"/>
      <c r="EX294" s="30"/>
      <c r="EY294" s="30"/>
      <c r="EZ294" s="30"/>
      <c r="FA294" s="30"/>
      <c r="FB294" s="30"/>
      <c r="FC294" s="30"/>
      <c r="FD294" s="30"/>
      <c r="FE294" s="30"/>
      <c r="FF294" s="30"/>
      <c r="FG294" s="30"/>
      <c r="FH294" s="30"/>
      <c r="FI294" s="30"/>
      <c r="FJ294" s="30"/>
      <c r="FK294" s="30"/>
      <c r="FL294" s="30"/>
      <c r="FM294" s="30"/>
      <c r="FN294" s="30"/>
      <c r="FO294" s="30"/>
      <c r="FP294" s="30"/>
      <c r="FQ294" s="30"/>
      <c r="FR294" s="30"/>
      <c r="FS294" s="30"/>
      <c r="FT294" s="30"/>
      <c r="FU294" s="30"/>
      <c r="FV294" s="30"/>
      <c r="FW294" s="30"/>
      <c r="FX294" s="30"/>
      <c r="FY294" s="30"/>
    </row>
    <row r="295" spans="1:181" ht="15" x14ac:dyDescent="0.25">
      <c r="A295" s="28"/>
      <c r="B295" s="28"/>
      <c r="C295" s="28"/>
      <c r="D295" s="28"/>
      <c r="E295" s="29"/>
      <c r="F295" s="29"/>
      <c r="G295" s="2"/>
      <c r="H295" s="2"/>
      <c r="I295" s="2"/>
      <c r="J295" s="2"/>
      <c r="K295" s="2"/>
      <c r="L295" s="30"/>
      <c r="M295" s="30"/>
      <c r="N295" s="30"/>
      <c r="O295" s="30"/>
      <c r="P295" s="30"/>
      <c r="Q295" s="30"/>
      <c r="R295" s="30"/>
      <c r="S295" s="30"/>
      <c r="T295" s="30"/>
      <c r="U295" s="31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1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1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1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  <c r="BW295" s="30"/>
      <c r="BX295" s="30"/>
      <c r="BY295" s="30"/>
      <c r="BZ295" s="30"/>
      <c r="CA295" s="30"/>
      <c r="CB295" s="30"/>
      <c r="CC295" s="30"/>
      <c r="CD295" s="30"/>
      <c r="CE295" s="30"/>
      <c r="CF295" s="30"/>
      <c r="CG295" s="30"/>
      <c r="CH295" s="30"/>
      <c r="CI295" s="30"/>
      <c r="CJ295" s="30"/>
      <c r="CK295" s="30"/>
      <c r="CL295" s="30"/>
      <c r="CM295" s="30"/>
      <c r="CN295" s="30"/>
      <c r="CO295" s="30"/>
      <c r="CP295" s="30"/>
      <c r="CQ295" s="30"/>
      <c r="CR295" s="30"/>
      <c r="CS295" s="30"/>
      <c r="CT295" s="30"/>
      <c r="CU295" s="30"/>
      <c r="CV295" s="30"/>
      <c r="CW295" s="30"/>
      <c r="CX295" s="30"/>
      <c r="CY295" s="30"/>
      <c r="CZ295" s="30"/>
      <c r="DA295" s="30"/>
      <c r="DB295" s="30"/>
      <c r="DC295" s="30"/>
      <c r="DD295" s="30"/>
      <c r="DE295" s="30"/>
      <c r="DF295" s="30"/>
      <c r="DG295" s="30"/>
      <c r="DH295" s="30"/>
      <c r="DI295" s="30"/>
      <c r="DJ295" s="30"/>
      <c r="DK295" s="30"/>
      <c r="DL295" s="30"/>
      <c r="DM295" s="30"/>
      <c r="DN295" s="30"/>
      <c r="DO295" s="30"/>
      <c r="DP295" s="30"/>
      <c r="DQ295" s="30"/>
      <c r="DR295" s="30"/>
      <c r="DS295" s="30"/>
      <c r="DT295" s="30"/>
      <c r="DU295" s="30"/>
      <c r="DV295" s="30"/>
      <c r="DW295" s="30"/>
      <c r="DX295" s="30"/>
      <c r="DY295" s="30"/>
      <c r="DZ295" s="30"/>
      <c r="EA295" s="30"/>
      <c r="EB295" s="30"/>
      <c r="EC295" s="30"/>
      <c r="ED295" s="30"/>
      <c r="EE295" s="30"/>
      <c r="EF295" s="30"/>
      <c r="EG295" s="30"/>
      <c r="EH295" s="30"/>
      <c r="EI295" s="30"/>
      <c r="EJ295" s="30"/>
      <c r="EK295" s="30"/>
      <c r="EL295" s="30"/>
      <c r="EM295" s="30"/>
      <c r="EN295" s="30"/>
      <c r="EO295" s="30"/>
      <c r="EP295" s="30"/>
      <c r="EQ295" s="30"/>
      <c r="ER295" s="30"/>
      <c r="ES295" s="30"/>
      <c r="ET295" s="30"/>
      <c r="EU295" s="30"/>
      <c r="EV295" s="30"/>
      <c r="EW295" s="30"/>
      <c r="EX295" s="30"/>
      <c r="EY295" s="30"/>
      <c r="EZ295" s="30"/>
      <c r="FA295" s="30"/>
      <c r="FB295" s="30"/>
      <c r="FC295" s="30"/>
      <c r="FD295" s="30"/>
      <c r="FE295" s="30"/>
      <c r="FF295" s="30"/>
      <c r="FG295" s="30"/>
      <c r="FH295" s="30"/>
      <c r="FI295" s="30"/>
      <c r="FJ295" s="30"/>
      <c r="FK295" s="30"/>
      <c r="FL295" s="30"/>
      <c r="FM295" s="30"/>
      <c r="FN295" s="30"/>
      <c r="FO295" s="30"/>
      <c r="FP295" s="30"/>
      <c r="FQ295" s="30"/>
      <c r="FR295" s="30"/>
      <c r="FS295" s="30"/>
      <c r="FT295" s="30"/>
      <c r="FU295" s="30"/>
      <c r="FV295" s="30"/>
      <c r="FW295" s="30"/>
      <c r="FX295" s="30"/>
      <c r="FY295" s="30"/>
    </row>
    <row r="296" spans="1:181" ht="15" x14ac:dyDescent="0.25">
      <c r="A296" s="28"/>
      <c r="B296" s="28"/>
      <c r="C296" s="28"/>
      <c r="D296" s="28"/>
      <c r="E296" s="29"/>
      <c r="F296" s="29"/>
      <c r="G296" s="2"/>
      <c r="H296" s="2"/>
      <c r="I296" s="2"/>
      <c r="J296" s="2"/>
      <c r="K296" s="2"/>
      <c r="L296" s="30"/>
      <c r="M296" s="30"/>
      <c r="N296" s="30"/>
      <c r="O296" s="30"/>
      <c r="P296" s="30"/>
      <c r="Q296" s="30"/>
      <c r="R296" s="30"/>
      <c r="S296" s="30"/>
      <c r="T296" s="30"/>
      <c r="U296" s="31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1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1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1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  <c r="BW296" s="30"/>
      <c r="BX296" s="30"/>
      <c r="BY296" s="30"/>
      <c r="BZ296" s="30"/>
      <c r="CA296" s="30"/>
      <c r="CB296" s="30"/>
      <c r="CC296" s="30"/>
      <c r="CD296" s="30"/>
      <c r="CE296" s="30"/>
      <c r="CF296" s="30"/>
      <c r="CG296" s="30"/>
      <c r="CH296" s="30"/>
      <c r="CI296" s="30"/>
      <c r="CJ296" s="30"/>
      <c r="CK296" s="30"/>
      <c r="CL296" s="30"/>
      <c r="CM296" s="30"/>
      <c r="CN296" s="30"/>
      <c r="CO296" s="30"/>
      <c r="CP296" s="30"/>
      <c r="CQ296" s="30"/>
      <c r="CR296" s="30"/>
      <c r="CS296" s="30"/>
      <c r="CT296" s="30"/>
      <c r="CU296" s="30"/>
      <c r="CV296" s="30"/>
      <c r="CW296" s="30"/>
      <c r="CX296" s="30"/>
      <c r="CY296" s="30"/>
      <c r="CZ296" s="30"/>
      <c r="DA296" s="30"/>
      <c r="DB296" s="30"/>
      <c r="DC296" s="30"/>
      <c r="DD296" s="30"/>
      <c r="DE296" s="30"/>
      <c r="DF296" s="30"/>
      <c r="DG296" s="30"/>
      <c r="DH296" s="30"/>
      <c r="DI296" s="30"/>
      <c r="DJ296" s="30"/>
      <c r="DK296" s="30"/>
      <c r="DL296" s="30"/>
      <c r="DM296" s="30"/>
      <c r="DN296" s="30"/>
      <c r="DO296" s="30"/>
      <c r="DP296" s="30"/>
      <c r="DQ296" s="30"/>
      <c r="DR296" s="30"/>
      <c r="DS296" s="30"/>
      <c r="DT296" s="30"/>
      <c r="DU296" s="30"/>
      <c r="DV296" s="30"/>
      <c r="DW296" s="30"/>
      <c r="DX296" s="30"/>
      <c r="DY296" s="30"/>
      <c r="DZ296" s="30"/>
      <c r="EA296" s="30"/>
      <c r="EB296" s="30"/>
      <c r="EC296" s="30"/>
      <c r="ED296" s="30"/>
      <c r="EE296" s="30"/>
      <c r="EF296" s="30"/>
      <c r="EG296" s="30"/>
      <c r="EH296" s="30"/>
      <c r="EI296" s="30"/>
      <c r="EJ296" s="30"/>
      <c r="EK296" s="30"/>
      <c r="EL296" s="30"/>
      <c r="EM296" s="30"/>
      <c r="EN296" s="30"/>
      <c r="EO296" s="30"/>
      <c r="EP296" s="30"/>
      <c r="EQ296" s="30"/>
      <c r="ER296" s="30"/>
      <c r="ES296" s="30"/>
      <c r="ET296" s="30"/>
      <c r="EU296" s="30"/>
      <c r="EV296" s="30"/>
      <c r="EW296" s="30"/>
      <c r="EX296" s="30"/>
      <c r="EY296" s="30"/>
      <c r="EZ296" s="30"/>
      <c r="FA296" s="30"/>
      <c r="FB296" s="30"/>
      <c r="FC296" s="30"/>
      <c r="FD296" s="30"/>
      <c r="FE296" s="30"/>
      <c r="FF296" s="30"/>
      <c r="FG296" s="30"/>
      <c r="FH296" s="30"/>
      <c r="FI296" s="30"/>
      <c r="FJ296" s="30"/>
      <c r="FK296" s="30"/>
      <c r="FL296" s="30"/>
      <c r="FM296" s="30"/>
      <c r="FN296" s="30"/>
      <c r="FO296" s="30"/>
      <c r="FP296" s="30"/>
      <c r="FQ296" s="30"/>
      <c r="FR296" s="30"/>
      <c r="FS296" s="30"/>
      <c r="FT296" s="30"/>
      <c r="FU296" s="30"/>
      <c r="FV296" s="30"/>
      <c r="FW296" s="30"/>
      <c r="FX296" s="30"/>
      <c r="FY296" s="30"/>
    </row>
    <row r="297" spans="1:181" ht="15" x14ac:dyDescent="0.25">
      <c r="A297" s="28"/>
      <c r="B297" s="28"/>
      <c r="C297" s="28"/>
      <c r="D297" s="28"/>
      <c r="E297" s="29"/>
      <c r="F297" s="29"/>
      <c r="G297" s="2"/>
      <c r="H297" s="2"/>
      <c r="I297" s="2"/>
      <c r="J297" s="2"/>
      <c r="K297" s="2"/>
      <c r="L297" s="30"/>
      <c r="M297" s="30"/>
      <c r="N297" s="30"/>
      <c r="O297" s="30"/>
      <c r="P297" s="30"/>
      <c r="Q297" s="30"/>
      <c r="R297" s="30"/>
      <c r="S297" s="30"/>
      <c r="T297" s="30"/>
      <c r="U297" s="31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1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1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1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0"/>
      <c r="CL297" s="30"/>
      <c r="CM297" s="30"/>
      <c r="CN297" s="30"/>
      <c r="CO297" s="30"/>
      <c r="CP297" s="30"/>
      <c r="CQ297" s="30"/>
      <c r="CR297" s="30"/>
      <c r="CS297" s="30"/>
      <c r="CT297" s="30"/>
      <c r="CU297" s="30"/>
      <c r="CV297" s="30"/>
      <c r="CW297" s="30"/>
      <c r="CX297" s="30"/>
      <c r="CY297" s="30"/>
      <c r="CZ297" s="30"/>
      <c r="DA297" s="30"/>
      <c r="DB297" s="30"/>
      <c r="DC297" s="30"/>
      <c r="DD297" s="30"/>
      <c r="DE297" s="30"/>
      <c r="DF297" s="30"/>
      <c r="DG297" s="30"/>
      <c r="DH297" s="30"/>
      <c r="DI297" s="30"/>
      <c r="DJ297" s="30"/>
      <c r="DK297" s="30"/>
      <c r="DL297" s="30"/>
      <c r="DM297" s="30"/>
      <c r="DN297" s="30"/>
      <c r="DO297" s="30"/>
      <c r="DP297" s="30"/>
      <c r="DQ297" s="30"/>
      <c r="DR297" s="30"/>
      <c r="DS297" s="30"/>
      <c r="DT297" s="30"/>
      <c r="DU297" s="30"/>
      <c r="DV297" s="30"/>
      <c r="DW297" s="30"/>
      <c r="DX297" s="30"/>
      <c r="DY297" s="30"/>
      <c r="DZ297" s="30"/>
      <c r="EA297" s="30"/>
      <c r="EB297" s="30"/>
      <c r="EC297" s="30"/>
      <c r="ED297" s="30"/>
      <c r="EE297" s="30"/>
      <c r="EF297" s="30"/>
      <c r="EG297" s="30"/>
      <c r="EH297" s="30"/>
      <c r="EI297" s="30"/>
      <c r="EJ297" s="30"/>
      <c r="EK297" s="30"/>
      <c r="EL297" s="30"/>
      <c r="EM297" s="30"/>
      <c r="EN297" s="30"/>
      <c r="EO297" s="30"/>
      <c r="EP297" s="30"/>
      <c r="EQ297" s="30"/>
      <c r="ER297" s="30"/>
      <c r="ES297" s="30"/>
      <c r="ET297" s="30"/>
      <c r="EU297" s="30"/>
      <c r="EV297" s="30"/>
      <c r="EW297" s="30"/>
      <c r="EX297" s="30"/>
      <c r="EY297" s="30"/>
      <c r="EZ297" s="30"/>
      <c r="FA297" s="30"/>
      <c r="FB297" s="30"/>
      <c r="FC297" s="30"/>
      <c r="FD297" s="30"/>
      <c r="FE297" s="30"/>
      <c r="FF297" s="30"/>
      <c r="FG297" s="30"/>
      <c r="FH297" s="30"/>
      <c r="FI297" s="30"/>
      <c r="FJ297" s="30"/>
      <c r="FK297" s="30"/>
      <c r="FL297" s="30"/>
      <c r="FM297" s="30"/>
      <c r="FN297" s="30"/>
      <c r="FO297" s="30"/>
      <c r="FP297" s="30"/>
      <c r="FQ297" s="30"/>
      <c r="FR297" s="30"/>
      <c r="FS297" s="30"/>
      <c r="FT297" s="30"/>
      <c r="FU297" s="30"/>
      <c r="FV297" s="30"/>
      <c r="FW297" s="30"/>
      <c r="FX297" s="30"/>
      <c r="FY297" s="30"/>
    </row>
    <row r="298" spans="1:181" ht="15" x14ac:dyDescent="0.25">
      <c r="A298" s="28"/>
      <c r="B298" s="28"/>
      <c r="C298" s="28"/>
      <c r="D298" s="28"/>
      <c r="E298" s="29"/>
      <c r="F298" s="29"/>
      <c r="G298" s="2"/>
      <c r="H298" s="2"/>
      <c r="I298" s="2"/>
      <c r="J298" s="2"/>
      <c r="K298" s="2"/>
      <c r="L298" s="30"/>
      <c r="M298" s="30"/>
      <c r="N298" s="30"/>
      <c r="O298" s="30"/>
      <c r="P298" s="30"/>
      <c r="Q298" s="30"/>
      <c r="R298" s="30"/>
      <c r="S298" s="30"/>
      <c r="T298" s="30"/>
      <c r="U298" s="31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1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1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1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0"/>
      <c r="CL298" s="30"/>
      <c r="CM298" s="30"/>
      <c r="CN298" s="30"/>
      <c r="CO298" s="30"/>
      <c r="CP298" s="30"/>
      <c r="CQ298" s="30"/>
      <c r="CR298" s="30"/>
      <c r="CS298" s="30"/>
      <c r="CT298" s="30"/>
      <c r="CU298" s="30"/>
      <c r="CV298" s="30"/>
      <c r="CW298" s="30"/>
      <c r="CX298" s="30"/>
      <c r="CY298" s="30"/>
      <c r="CZ298" s="30"/>
      <c r="DA298" s="30"/>
      <c r="DB298" s="30"/>
      <c r="DC298" s="30"/>
      <c r="DD298" s="30"/>
      <c r="DE298" s="30"/>
      <c r="DF298" s="30"/>
      <c r="DG298" s="30"/>
      <c r="DH298" s="30"/>
      <c r="DI298" s="30"/>
      <c r="DJ298" s="30"/>
      <c r="DK298" s="30"/>
      <c r="DL298" s="30"/>
      <c r="DM298" s="30"/>
      <c r="DN298" s="30"/>
      <c r="DO298" s="30"/>
      <c r="DP298" s="30"/>
      <c r="DQ298" s="30"/>
      <c r="DR298" s="30"/>
      <c r="DS298" s="30"/>
      <c r="DT298" s="30"/>
      <c r="DU298" s="30"/>
      <c r="DV298" s="30"/>
      <c r="DW298" s="30"/>
      <c r="DX298" s="30"/>
      <c r="DY298" s="30"/>
      <c r="DZ298" s="30"/>
      <c r="EA298" s="30"/>
      <c r="EB298" s="30"/>
      <c r="EC298" s="30"/>
      <c r="ED298" s="30"/>
      <c r="EE298" s="30"/>
      <c r="EF298" s="30"/>
      <c r="EG298" s="30"/>
      <c r="EH298" s="30"/>
      <c r="EI298" s="30"/>
      <c r="EJ298" s="30"/>
      <c r="EK298" s="30"/>
      <c r="EL298" s="30"/>
      <c r="EM298" s="30"/>
      <c r="EN298" s="30"/>
      <c r="EO298" s="30"/>
      <c r="EP298" s="30"/>
      <c r="EQ298" s="30"/>
      <c r="ER298" s="30"/>
      <c r="ES298" s="30"/>
      <c r="ET298" s="30"/>
      <c r="EU298" s="30"/>
      <c r="EV298" s="30"/>
      <c r="EW298" s="30"/>
      <c r="EX298" s="30"/>
      <c r="EY298" s="30"/>
      <c r="EZ298" s="30"/>
      <c r="FA298" s="30"/>
      <c r="FB298" s="30"/>
      <c r="FC298" s="30"/>
      <c r="FD298" s="30"/>
      <c r="FE298" s="30"/>
      <c r="FF298" s="30"/>
      <c r="FG298" s="30"/>
      <c r="FH298" s="30"/>
      <c r="FI298" s="30"/>
      <c r="FJ298" s="30"/>
      <c r="FK298" s="30"/>
      <c r="FL298" s="30"/>
      <c r="FM298" s="30"/>
      <c r="FN298" s="30"/>
      <c r="FO298" s="30"/>
      <c r="FP298" s="30"/>
      <c r="FQ298" s="30"/>
      <c r="FR298" s="30"/>
      <c r="FS298" s="30"/>
      <c r="FT298" s="30"/>
      <c r="FU298" s="30"/>
      <c r="FV298" s="30"/>
      <c r="FW298" s="30"/>
      <c r="FX298" s="30"/>
      <c r="FY298" s="30"/>
    </row>
    <row r="299" spans="1:181" ht="15" x14ac:dyDescent="0.25">
      <c r="A299" s="28"/>
      <c r="B299" s="28"/>
      <c r="C299" s="28"/>
      <c r="D299" s="28"/>
      <c r="E299" s="29"/>
      <c r="F299" s="29"/>
      <c r="G299" s="2"/>
      <c r="H299" s="2"/>
      <c r="I299" s="2"/>
      <c r="J299" s="2"/>
      <c r="K299" s="2"/>
      <c r="L299" s="30"/>
      <c r="M299" s="30"/>
      <c r="N299" s="30"/>
      <c r="O299" s="30"/>
      <c r="P299" s="30"/>
      <c r="Q299" s="30"/>
      <c r="R299" s="30"/>
      <c r="S299" s="30"/>
      <c r="T299" s="30"/>
      <c r="U299" s="31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1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1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1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  <c r="BW299" s="30"/>
      <c r="BX299" s="30"/>
      <c r="BY299" s="30"/>
      <c r="BZ299" s="30"/>
      <c r="CA299" s="30"/>
      <c r="CB299" s="30"/>
      <c r="CC299" s="30"/>
      <c r="CD299" s="30"/>
      <c r="CE299" s="30"/>
      <c r="CF299" s="30"/>
      <c r="CG299" s="30"/>
      <c r="CH299" s="30"/>
      <c r="CI299" s="30"/>
      <c r="CJ299" s="30"/>
      <c r="CK299" s="30"/>
      <c r="CL299" s="30"/>
      <c r="CM299" s="30"/>
      <c r="CN299" s="30"/>
      <c r="CO299" s="30"/>
      <c r="CP299" s="30"/>
      <c r="CQ299" s="30"/>
      <c r="CR299" s="30"/>
      <c r="CS299" s="30"/>
      <c r="CT299" s="30"/>
      <c r="CU299" s="30"/>
      <c r="CV299" s="30"/>
      <c r="CW299" s="30"/>
      <c r="CX299" s="30"/>
      <c r="CY299" s="30"/>
      <c r="CZ299" s="30"/>
      <c r="DA299" s="30"/>
      <c r="DB299" s="30"/>
      <c r="DC299" s="30"/>
      <c r="DD299" s="30"/>
      <c r="DE299" s="30"/>
      <c r="DF299" s="30"/>
      <c r="DG299" s="30"/>
      <c r="DH299" s="30"/>
      <c r="DI299" s="30"/>
      <c r="DJ299" s="30"/>
      <c r="DK299" s="30"/>
      <c r="DL299" s="30"/>
      <c r="DM299" s="30"/>
      <c r="DN299" s="30"/>
      <c r="DO299" s="30"/>
      <c r="DP299" s="30"/>
      <c r="DQ299" s="30"/>
      <c r="DR299" s="30"/>
      <c r="DS299" s="30"/>
      <c r="DT299" s="30"/>
      <c r="DU299" s="30"/>
      <c r="DV299" s="30"/>
      <c r="DW299" s="30"/>
      <c r="DX299" s="30"/>
      <c r="DY299" s="30"/>
      <c r="DZ299" s="30"/>
      <c r="EA299" s="30"/>
      <c r="EB299" s="30"/>
      <c r="EC299" s="30"/>
      <c r="ED299" s="30"/>
      <c r="EE299" s="30"/>
      <c r="EF299" s="30"/>
      <c r="EG299" s="30"/>
      <c r="EH299" s="30"/>
      <c r="EI299" s="30"/>
      <c r="EJ299" s="30"/>
      <c r="EK299" s="30"/>
      <c r="EL299" s="30"/>
      <c r="EM299" s="30"/>
      <c r="EN299" s="30"/>
      <c r="EO299" s="30"/>
      <c r="EP299" s="30"/>
      <c r="EQ299" s="30"/>
      <c r="ER299" s="30"/>
      <c r="ES299" s="30"/>
      <c r="ET299" s="30"/>
      <c r="EU299" s="30"/>
      <c r="EV299" s="30"/>
      <c r="EW299" s="30"/>
      <c r="EX299" s="30"/>
      <c r="EY299" s="30"/>
      <c r="EZ299" s="30"/>
      <c r="FA299" s="30"/>
      <c r="FB299" s="30"/>
      <c r="FC299" s="30"/>
      <c r="FD299" s="30"/>
      <c r="FE299" s="30"/>
      <c r="FF299" s="30"/>
      <c r="FG299" s="30"/>
      <c r="FH299" s="30"/>
      <c r="FI299" s="30"/>
      <c r="FJ299" s="30"/>
      <c r="FK299" s="30"/>
      <c r="FL299" s="30"/>
      <c r="FM299" s="30"/>
      <c r="FN299" s="30"/>
      <c r="FO299" s="30"/>
      <c r="FP299" s="30"/>
      <c r="FQ299" s="30"/>
      <c r="FR299" s="30"/>
      <c r="FS299" s="30"/>
      <c r="FT299" s="30"/>
      <c r="FU299" s="30"/>
      <c r="FV299" s="30"/>
      <c r="FW299" s="30"/>
      <c r="FX299" s="30"/>
      <c r="FY299" s="30"/>
    </row>
    <row r="300" spans="1:181" ht="15" x14ac:dyDescent="0.25">
      <c r="E300" s="35"/>
      <c r="F300" s="35"/>
      <c r="G300" s="2"/>
      <c r="H300" s="2"/>
      <c r="I300" s="2"/>
      <c r="J300" s="2"/>
      <c r="K300" s="2"/>
      <c r="L300" s="3"/>
      <c r="M300" s="3"/>
      <c r="N300" s="3"/>
      <c r="O300" s="3"/>
      <c r="P300" s="3"/>
      <c r="Q300" s="3"/>
      <c r="R300" s="3"/>
      <c r="S300" s="3"/>
      <c r="T300" s="3"/>
      <c r="U300" s="4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4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4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4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</row>
    <row r="301" spans="1:181" ht="15" x14ac:dyDescent="0.25">
      <c r="A301" s="41"/>
      <c r="B301" s="38"/>
      <c r="C301" s="38"/>
      <c r="D301" s="38"/>
      <c r="E301" s="38"/>
      <c r="F301" s="38"/>
      <c r="G301" s="2"/>
      <c r="H301" s="2"/>
      <c r="I301" s="2"/>
      <c r="J301" s="2"/>
      <c r="K301" s="2"/>
      <c r="L301" s="3"/>
      <c r="M301" s="3"/>
      <c r="N301" s="3"/>
      <c r="O301" s="3"/>
      <c r="P301" s="3"/>
      <c r="Q301" s="3"/>
      <c r="R301" s="3"/>
      <c r="S301" s="3"/>
      <c r="T301" s="3"/>
      <c r="U301" s="4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4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4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4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</row>
    <row r="302" spans="1:181" ht="15" x14ac:dyDescent="0.25">
      <c r="E302" s="35"/>
      <c r="F302" s="35"/>
      <c r="G302" s="2"/>
      <c r="H302" s="2"/>
      <c r="I302" s="2"/>
      <c r="J302" s="2"/>
      <c r="K302" s="2"/>
      <c r="L302" s="3"/>
      <c r="M302" s="3"/>
      <c r="N302" s="3"/>
      <c r="O302" s="3"/>
      <c r="P302" s="3"/>
      <c r="Q302" s="3"/>
      <c r="R302" s="3"/>
      <c r="S302" s="3"/>
      <c r="T302" s="3"/>
      <c r="U302" s="4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4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4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4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</row>
    <row r="303" spans="1:181" ht="15" x14ac:dyDescent="0.25">
      <c r="E303" s="35"/>
      <c r="F303" s="35"/>
      <c r="G303" s="2"/>
      <c r="H303" s="2"/>
      <c r="I303" s="2"/>
      <c r="J303" s="2"/>
      <c r="K303" s="2"/>
      <c r="L303" s="3"/>
      <c r="M303" s="3"/>
      <c r="N303" s="3"/>
      <c r="O303" s="3"/>
      <c r="P303" s="3"/>
      <c r="Q303" s="3"/>
      <c r="R303" s="3"/>
      <c r="S303" s="3"/>
      <c r="T303" s="3"/>
      <c r="U303" s="4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4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4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4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</row>
    <row r="304" spans="1:181" ht="15" x14ac:dyDescent="0.25">
      <c r="E304" s="35"/>
      <c r="F304" s="35"/>
      <c r="G304" s="2"/>
      <c r="H304" s="2"/>
      <c r="I304" s="2"/>
      <c r="J304" s="2"/>
      <c r="K304" s="2"/>
      <c r="L304" s="3"/>
      <c r="M304" s="3"/>
      <c r="N304" s="3"/>
      <c r="O304" s="3"/>
      <c r="P304" s="3"/>
      <c r="Q304" s="3"/>
      <c r="R304" s="3"/>
      <c r="S304" s="3"/>
      <c r="T304" s="3"/>
      <c r="U304" s="4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4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4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4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</row>
    <row r="305" spans="5:181" ht="15" x14ac:dyDescent="0.25">
      <c r="E305" s="35"/>
      <c r="F305" s="35"/>
      <c r="G305" s="2"/>
      <c r="H305" s="2"/>
      <c r="I305" s="2"/>
      <c r="J305" s="2"/>
      <c r="K305" s="2"/>
      <c r="L305" s="3"/>
      <c r="M305" s="3"/>
      <c r="N305" s="3"/>
      <c r="O305" s="3"/>
      <c r="P305" s="3"/>
      <c r="Q305" s="3"/>
      <c r="R305" s="3"/>
      <c r="S305" s="3"/>
      <c r="T305" s="3"/>
      <c r="U305" s="4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4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4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4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</row>
    <row r="306" spans="5:181" ht="15" x14ac:dyDescent="0.25">
      <c r="G306" s="2"/>
      <c r="H306" s="2"/>
      <c r="I306" s="2"/>
      <c r="J306" s="2"/>
      <c r="K306" s="2"/>
      <c r="L306" s="3"/>
      <c r="M306" s="3"/>
      <c r="N306" s="3"/>
      <c r="O306" s="3"/>
      <c r="P306" s="3"/>
      <c r="Q306" s="3"/>
      <c r="R306" s="3"/>
      <c r="S306" s="3"/>
      <c r="T306" s="3"/>
      <c r="U306" s="4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4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4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4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</row>
    <row r="307" spans="5:181" ht="15" x14ac:dyDescent="0.25">
      <c r="G307" s="2"/>
      <c r="H307" s="2"/>
      <c r="I307" s="2"/>
      <c r="J307" s="2"/>
      <c r="K307" s="2"/>
      <c r="L307" s="3"/>
      <c r="M307" s="3"/>
      <c r="N307" s="3"/>
      <c r="O307" s="3"/>
      <c r="P307" s="3"/>
      <c r="Q307" s="3"/>
      <c r="R307" s="3"/>
      <c r="S307" s="3"/>
      <c r="T307" s="3"/>
      <c r="U307" s="4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4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4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4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</row>
    <row r="308" spans="5:181" ht="15" x14ac:dyDescent="0.25">
      <c r="G308" s="2"/>
      <c r="H308" s="2"/>
      <c r="I308" s="2"/>
      <c r="J308" s="2"/>
      <c r="K308" s="2"/>
      <c r="L308" s="3"/>
      <c r="M308" s="3"/>
      <c r="N308" s="3"/>
      <c r="O308" s="3"/>
      <c r="P308" s="3"/>
      <c r="Q308" s="3"/>
      <c r="R308" s="3"/>
      <c r="S308" s="3"/>
      <c r="T308" s="3"/>
      <c r="U308" s="4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4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4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4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</row>
    <row r="309" spans="5:181" ht="15" x14ac:dyDescent="0.25">
      <c r="G309" s="2"/>
      <c r="H309" s="2"/>
      <c r="I309" s="2"/>
      <c r="J309" s="2"/>
      <c r="K309" s="2"/>
      <c r="L309" s="3"/>
      <c r="M309" s="3"/>
      <c r="N309" s="3"/>
      <c r="O309" s="3"/>
      <c r="P309" s="3"/>
      <c r="Q309" s="3"/>
      <c r="R309" s="3"/>
      <c r="S309" s="3"/>
      <c r="T309" s="3"/>
      <c r="U309" s="4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4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4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4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</row>
    <row r="310" spans="5:181" ht="15" x14ac:dyDescent="0.25">
      <c r="G310" s="2"/>
      <c r="H310" s="2"/>
      <c r="I310" s="2"/>
      <c r="J310" s="2"/>
      <c r="K310" s="2"/>
      <c r="L310" s="3"/>
      <c r="M310" s="3"/>
      <c r="N310" s="3"/>
      <c r="O310" s="3"/>
      <c r="P310" s="3"/>
      <c r="Q310" s="3"/>
      <c r="R310" s="3"/>
      <c r="S310" s="3"/>
      <c r="T310" s="3"/>
      <c r="U310" s="4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4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4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4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</row>
    <row r="311" spans="5:181" ht="15" x14ac:dyDescent="0.25">
      <c r="G311" s="2"/>
      <c r="H311" s="2"/>
      <c r="I311" s="2"/>
      <c r="J311" s="2"/>
      <c r="K311" s="2"/>
      <c r="L311" s="3"/>
      <c r="M311" s="3"/>
      <c r="N311" s="3"/>
      <c r="O311" s="3"/>
      <c r="P311" s="3"/>
      <c r="Q311" s="3"/>
      <c r="R311" s="3"/>
      <c r="S311" s="3"/>
      <c r="T311" s="3"/>
      <c r="U311" s="4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4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4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4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</row>
    <row r="312" spans="5:181" ht="15" x14ac:dyDescent="0.25">
      <c r="G312" s="2"/>
      <c r="H312" s="2"/>
      <c r="I312" s="2"/>
      <c r="J312" s="2"/>
      <c r="K312" s="2"/>
      <c r="L312" s="3"/>
      <c r="M312" s="3"/>
      <c r="N312" s="3"/>
      <c r="O312" s="3"/>
      <c r="P312" s="3"/>
      <c r="Q312" s="3"/>
      <c r="R312" s="3"/>
      <c r="S312" s="3"/>
      <c r="T312" s="3"/>
      <c r="U312" s="4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4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4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4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</row>
    <row r="313" spans="5:181" ht="15" x14ac:dyDescent="0.25">
      <c r="G313" s="2"/>
      <c r="H313" s="2"/>
      <c r="I313" s="2"/>
      <c r="J313" s="2"/>
      <c r="K313" s="2"/>
      <c r="L313" s="3"/>
      <c r="M313" s="3"/>
      <c r="N313" s="3"/>
      <c r="O313" s="3"/>
      <c r="P313" s="3"/>
      <c r="Q313" s="3"/>
      <c r="R313" s="3"/>
      <c r="S313" s="3"/>
      <c r="T313" s="3"/>
      <c r="U313" s="4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4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4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4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</row>
    <row r="314" spans="5:181" ht="15" x14ac:dyDescent="0.25">
      <c r="G314" s="2"/>
      <c r="H314" s="2"/>
      <c r="I314" s="2"/>
      <c r="J314" s="2"/>
      <c r="K314" s="2"/>
      <c r="L314" s="3"/>
      <c r="M314" s="3"/>
      <c r="N314" s="3"/>
      <c r="O314" s="3"/>
      <c r="P314" s="3"/>
      <c r="Q314" s="3"/>
      <c r="R314" s="3"/>
      <c r="S314" s="3"/>
      <c r="T314" s="3"/>
      <c r="U314" s="4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4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4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4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</row>
    <row r="315" spans="5:181" ht="15" x14ac:dyDescent="0.25">
      <c r="G315" s="2"/>
      <c r="H315" s="2"/>
      <c r="I315" s="2"/>
      <c r="J315" s="2"/>
      <c r="K315" s="2"/>
      <c r="L315" s="3"/>
      <c r="M315" s="3"/>
      <c r="N315" s="3"/>
      <c r="O315" s="3"/>
      <c r="P315" s="3"/>
      <c r="Q315" s="3"/>
      <c r="R315" s="3"/>
      <c r="S315" s="3"/>
      <c r="T315" s="3"/>
      <c r="U315" s="4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4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4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4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</row>
    <row r="316" spans="5:181" ht="15" x14ac:dyDescent="0.25">
      <c r="G316" s="2"/>
      <c r="H316" s="2"/>
      <c r="I316" s="2"/>
      <c r="J316" s="2"/>
      <c r="K316" s="2"/>
      <c r="L316" s="3"/>
      <c r="M316" s="3"/>
      <c r="N316" s="3"/>
      <c r="O316" s="3"/>
      <c r="P316" s="3"/>
      <c r="Q316" s="3"/>
      <c r="R316" s="3"/>
      <c r="S316" s="3"/>
      <c r="T316" s="3"/>
      <c r="U316" s="4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4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4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4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</row>
    <row r="317" spans="5:181" ht="15" x14ac:dyDescent="0.25">
      <c r="G317" s="2"/>
      <c r="H317" s="2"/>
      <c r="I317" s="2"/>
      <c r="J317" s="2"/>
      <c r="K317" s="2"/>
      <c r="L317" s="3"/>
      <c r="M317" s="3"/>
      <c r="N317" s="3"/>
      <c r="O317" s="3"/>
      <c r="P317" s="3"/>
      <c r="Q317" s="3"/>
      <c r="R317" s="3"/>
      <c r="S317" s="3"/>
      <c r="T317" s="3"/>
      <c r="U317" s="4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4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4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4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</row>
    <row r="318" spans="5:181" ht="15" x14ac:dyDescent="0.25">
      <c r="G318" s="2"/>
      <c r="H318" s="2"/>
      <c r="I318" s="2"/>
      <c r="J318" s="2"/>
      <c r="K318" s="2"/>
      <c r="L318" s="3"/>
      <c r="M318" s="3"/>
      <c r="N318" s="3"/>
      <c r="O318" s="3"/>
      <c r="P318" s="3"/>
      <c r="Q318" s="3"/>
      <c r="R318" s="3"/>
      <c r="S318" s="3"/>
      <c r="T318" s="3"/>
      <c r="U318" s="4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4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4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4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</row>
    <row r="319" spans="5:181" ht="15" x14ac:dyDescent="0.25">
      <c r="G319" s="2"/>
      <c r="H319" s="2"/>
      <c r="I319" s="2"/>
      <c r="J319" s="2"/>
      <c r="K319" s="2"/>
      <c r="L319" s="3"/>
      <c r="M319" s="3"/>
      <c r="N319" s="3"/>
      <c r="O319" s="3"/>
      <c r="P319" s="3"/>
      <c r="Q319" s="3"/>
      <c r="R319" s="3"/>
      <c r="S319" s="3"/>
      <c r="T319" s="3"/>
      <c r="U319" s="4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4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4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4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</row>
    <row r="320" spans="5:181" ht="15" x14ac:dyDescent="0.25">
      <c r="G320" s="2"/>
      <c r="H320" s="2"/>
      <c r="I320" s="2"/>
      <c r="J320" s="2"/>
      <c r="K320" s="2"/>
      <c r="L320" s="3"/>
      <c r="M320" s="3"/>
      <c r="N320" s="3"/>
      <c r="O320" s="3"/>
      <c r="P320" s="3"/>
      <c r="Q320" s="3"/>
      <c r="R320" s="3"/>
      <c r="S320" s="3"/>
      <c r="T320" s="3"/>
      <c r="U320" s="4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4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4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4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</row>
    <row r="321" spans="7:181" ht="15" x14ac:dyDescent="0.25">
      <c r="G321" s="2"/>
      <c r="H321" s="2"/>
      <c r="I321" s="2"/>
      <c r="J321" s="2"/>
      <c r="K321" s="2"/>
      <c r="L321" s="3"/>
      <c r="M321" s="3"/>
      <c r="N321" s="3"/>
      <c r="O321" s="3"/>
      <c r="P321" s="3"/>
      <c r="Q321" s="3"/>
      <c r="R321" s="3"/>
      <c r="S321" s="3"/>
      <c r="T321" s="3"/>
      <c r="U321" s="4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4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4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4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</row>
    <row r="322" spans="7:181" ht="15" x14ac:dyDescent="0.25">
      <c r="G322" s="2"/>
      <c r="H322" s="2"/>
      <c r="I322" s="2"/>
      <c r="J322" s="2"/>
      <c r="K322" s="2"/>
      <c r="L322" s="3"/>
      <c r="M322" s="3"/>
      <c r="N322" s="3"/>
      <c r="O322" s="3"/>
      <c r="P322" s="3"/>
      <c r="Q322" s="3"/>
      <c r="R322" s="3"/>
      <c r="S322" s="3"/>
      <c r="T322" s="3"/>
      <c r="U322" s="4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4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4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4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</row>
    <row r="323" spans="7:181" ht="15" x14ac:dyDescent="0.25">
      <c r="G323" s="2"/>
      <c r="H323" s="2"/>
      <c r="I323" s="2"/>
      <c r="J323" s="2"/>
      <c r="K323" s="2"/>
      <c r="L323" s="3"/>
      <c r="M323" s="3"/>
      <c r="N323" s="3"/>
      <c r="O323" s="3"/>
      <c r="P323" s="3"/>
      <c r="Q323" s="3"/>
      <c r="R323" s="3"/>
      <c r="S323" s="3"/>
      <c r="T323" s="3"/>
      <c r="U323" s="4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4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4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4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</row>
    <row r="324" spans="7:181" ht="15" x14ac:dyDescent="0.25">
      <c r="G324" s="2"/>
      <c r="H324" s="2"/>
      <c r="I324" s="2"/>
      <c r="J324" s="2"/>
      <c r="K324" s="2"/>
      <c r="L324" s="3"/>
      <c r="M324" s="3"/>
      <c r="N324" s="3"/>
      <c r="O324" s="3"/>
      <c r="P324" s="3"/>
      <c r="Q324" s="3"/>
      <c r="R324" s="3"/>
      <c r="S324" s="3"/>
      <c r="T324" s="3"/>
      <c r="U324" s="4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4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4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4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</row>
    <row r="325" spans="7:181" ht="15" x14ac:dyDescent="0.25">
      <c r="G325" s="2"/>
      <c r="H325" s="2"/>
      <c r="I325" s="2"/>
      <c r="J325" s="2"/>
      <c r="K325" s="2"/>
      <c r="L325" s="3"/>
      <c r="M325" s="3"/>
      <c r="N325" s="3"/>
      <c r="O325" s="3"/>
      <c r="P325" s="3"/>
      <c r="Q325" s="3"/>
      <c r="R325" s="3"/>
      <c r="S325" s="3"/>
      <c r="T325" s="3"/>
      <c r="U325" s="4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4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4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4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</row>
    <row r="326" spans="7:181" ht="15" x14ac:dyDescent="0.25">
      <c r="G326" s="2"/>
      <c r="H326" s="2"/>
      <c r="I326" s="2"/>
      <c r="J326" s="2"/>
      <c r="K326" s="2"/>
      <c r="L326" s="3"/>
      <c r="M326" s="3"/>
      <c r="N326" s="3"/>
      <c r="O326" s="3"/>
      <c r="P326" s="3"/>
      <c r="Q326" s="3"/>
      <c r="R326" s="3"/>
      <c r="S326" s="3"/>
      <c r="T326" s="3"/>
      <c r="U326" s="4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4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4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4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</row>
    <row r="327" spans="7:181" ht="15" x14ac:dyDescent="0.25">
      <c r="G327" s="2"/>
      <c r="H327" s="2"/>
      <c r="I327" s="2"/>
      <c r="J327" s="2"/>
      <c r="K327" s="2"/>
      <c r="L327" s="3"/>
      <c r="M327" s="3"/>
      <c r="N327" s="3"/>
      <c r="O327" s="3"/>
      <c r="P327" s="3"/>
      <c r="Q327" s="3"/>
      <c r="R327" s="3"/>
      <c r="S327" s="3"/>
      <c r="T327" s="3"/>
      <c r="U327" s="4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4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4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4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</row>
    <row r="328" spans="7:181" ht="15" x14ac:dyDescent="0.25">
      <c r="G328" s="2"/>
      <c r="H328" s="2"/>
      <c r="I328" s="2"/>
      <c r="J328" s="2"/>
      <c r="K328" s="2"/>
      <c r="L328" s="3"/>
      <c r="M328" s="3"/>
      <c r="N328" s="3"/>
      <c r="O328" s="3"/>
      <c r="P328" s="3"/>
      <c r="Q328" s="3"/>
      <c r="R328" s="3"/>
      <c r="S328" s="3"/>
      <c r="T328" s="3"/>
      <c r="U328" s="4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4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4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4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</row>
    <row r="329" spans="7:181" ht="15" x14ac:dyDescent="0.25">
      <c r="G329" s="2"/>
      <c r="H329" s="2"/>
      <c r="I329" s="2"/>
      <c r="J329" s="2"/>
      <c r="K329" s="2"/>
      <c r="L329" s="3"/>
      <c r="M329" s="3"/>
      <c r="N329" s="3"/>
      <c r="O329" s="3"/>
      <c r="P329" s="3"/>
      <c r="Q329" s="3"/>
      <c r="R329" s="3"/>
      <c r="S329" s="3"/>
      <c r="T329" s="3"/>
      <c r="U329" s="4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4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4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4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</row>
    <row r="330" spans="7:181" ht="15" x14ac:dyDescent="0.25">
      <c r="G330" s="2"/>
      <c r="H330" s="2"/>
      <c r="I330" s="2"/>
      <c r="J330" s="2"/>
      <c r="K330" s="2"/>
      <c r="L330" s="3"/>
      <c r="M330" s="3"/>
      <c r="N330" s="3"/>
      <c r="O330" s="3"/>
      <c r="P330" s="3"/>
      <c r="Q330" s="3"/>
      <c r="R330" s="3"/>
      <c r="S330" s="3"/>
      <c r="T330" s="3"/>
      <c r="U330" s="4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4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4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4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</row>
    <row r="331" spans="7:181" ht="15" x14ac:dyDescent="0.25">
      <c r="G331" s="2"/>
      <c r="H331" s="2"/>
      <c r="I331" s="2"/>
      <c r="J331" s="2"/>
      <c r="K331" s="2"/>
      <c r="L331" s="3"/>
      <c r="M331" s="3"/>
      <c r="N331" s="3"/>
      <c r="O331" s="3"/>
      <c r="P331" s="3"/>
      <c r="Q331" s="3"/>
      <c r="R331" s="3"/>
      <c r="S331" s="3"/>
      <c r="T331" s="3"/>
      <c r="U331" s="4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4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4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4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</row>
    <row r="332" spans="7:181" ht="15" x14ac:dyDescent="0.25">
      <c r="G332" s="2"/>
      <c r="H332" s="2"/>
      <c r="I332" s="2"/>
      <c r="J332" s="2"/>
      <c r="K332" s="2"/>
      <c r="L332" s="3"/>
      <c r="M332" s="3"/>
      <c r="N332" s="3"/>
      <c r="O332" s="3"/>
      <c r="P332" s="3"/>
      <c r="Q332" s="3"/>
      <c r="R332" s="3"/>
      <c r="S332" s="3"/>
      <c r="T332" s="3"/>
      <c r="U332" s="4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4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4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4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</row>
    <row r="333" spans="7:181" ht="15" x14ac:dyDescent="0.25">
      <c r="G333" s="2"/>
      <c r="H333" s="2"/>
      <c r="I333" s="2"/>
      <c r="J333" s="2"/>
      <c r="K333" s="2"/>
      <c r="L333" s="3"/>
      <c r="M333" s="3"/>
      <c r="N333" s="3"/>
      <c r="O333" s="3"/>
      <c r="P333" s="3"/>
      <c r="Q333" s="3"/>
      <c r="R333" s="3"/>
      <c r="S333" s="3"/>
      <c r="T333" s="3"/>
      <c r="U333" s="4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4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4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4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</row>
    <row r="334" spans="7:181" ht="15" x14ac:dyDescent="0.25">
      <c r="G334" s="2"/>
      <c r="H334" s="2"/>
      <c r="I334" s="2"/>
      <c r="J334" s="2"/>
      <c r="K334" s="2"/>
      <c r="L334" s="3"/>
      <c r="M334" s="3"/>
      <c r="N334" s="3"/>
      <c r="O334" s="3"/>
      <c r="P334" s="3"/>
      <c r="Q334" s="3"/>
      <c r="R334" s="3"/>
      <c r="S334" s="3"/>
      <c r="T334" s="3"/>
      <c r="U334" s="4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4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4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4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</row>
    <row r="335" spans="7:181" ht="15" x14ac:dyDescent="0.25">
      <c r="G335" s="2"/>
      <c r="H335" s="2"/>
      <c r="I335" s="2"/>
      <c r="J335" s="2"/>
      <c r="K335" s="2"/>
      <c r="L335" s="3"/>
      <c r="M335" s="3"/>
      <c r="N335" s="3"/>
      <c r="O335" s="3"/>
      <c r="P335" s="3"/>
      <c r="Q335" s="3"/>
      <c r="R335" s="3"/>
      <c r="S335" s="3"/>
      <c r="T335" s="3"/>
      <c r="U335" s="4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4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4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4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</row>
    <row r="336" spans="7:181" ht="15" x14ac:dyDescent="0.25">
      <c r="G336" s="2"/>
      <c r="H336" s="2"/>
      <c r="I336" s="2"/>
      <c r="J336" s="2"/>
      <c r="K336" s="2"/>
      <c r="L336" s="3"/>
      <c r="M336" s="3"/>
      <c r="N336" s="3"/>
      <c r="O336" s="3"/>
      <c r="P336" s="3"/>
      <c r="Q336" s="3"/>
      <c r="R336" s="3"/>
      <c r="S336" s="3"/>
      <c r="T336" s="3"/>
      <c r="U336" s="4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4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4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4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</row>
    <row r="337" spans="7:181" ht="15" x14ac:dyDescent="0.25">
      <c r="G337" s="2"/>
      <c r="H337" s="2"/>
      <c r="I337" s="2"/>
      <c r="J337" s="2"/>
      <c r="K337" s="2"/>
      <c r="L337" s="3"/>
      <c r="M337" s="3"/>
      <c r="N337" s="3"/>
      <c r="O337" s="3"/>
      <c r="P337" s="3"/>
      <c r="Q337" s="3"/>
      <c r="R337" s="3"/>
      <c r="S337" s="3"/>
      <c r="T337" s="3"/>
      <c r="U337" s="4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4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4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4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</row>
    <row r="338" spans="7:181" ht="15" x14ac:dyDescent="0.25">
      <c r="G338" s="2"/>
      <c r="H338" s="2"/>
      <c r="I338" s="2"/>
      <c r="J338" s="2"/>
      <c r="K338" s="2"/>
      <c r="L338" s="3"/>
      <c r="M338" s="3"/>
      <c r="N338" s="3"/>
      <c r="O338" s="3"/>
      <c r="P338" s="3"/>
      <c r="Q338" s="3"/>
      <c r="R338" s="3"/>
      <c r="S338" s="3"/>
      <c r="T338" s="3"/>
      <c r="U338" s="4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4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4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4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</row>
    <row r="339" spans="7:181" ht="15" x14ac:dyDescent="0.25">
      <c r="G339" s="2"/>
      <c r="H339" s="2"/>
      <c r="I339" s="2"/>
      <c r="J339" s="2"/>
      <c r="K339" s="2"/>
      <c r="L339" s="3"/>
      <c r="M339" s="3"/>
      <c r="N339" s="3"/>
      <c r="O339" s="3"/>
      <c r="P339" s="3"/>
      <c r="Q339" s="3"/>
      <c r="R339" s="3"/>
      <c r="S339" s="3"/>
      <c r="T339" s="3"/>
      <c r="U339" s="4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4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4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4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</row>
    <row r="340" spans="7:181" ht="15" x14ac:dyDescent="0.25">
      <c r="G340" s="2"/>
      <c r="H340" s="2"/>
      <c r="I340" s="2"/>
      <c r="J340" s="2"/>
      <c r="K340" s="2"/>
      <c r="L340" s="3"/>
      <c r="M340" s="3"/>
      <c r="N340" s="3"/>
      <c r="O340" s="3"/>
      <c r="P340" s="3"/>
      <c r="Q340" s="3"/>
      <c r="R340" s="3"/>
      <c r="S340" s="3"/>
      <c r="T340" s="3"/>
      <c r="U340" s="4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4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4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4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</row>
    <row r="341" spans="7:181" ht="15" x14ac:dyDescent="0.25">
      <c r="G341" s="2"/>
      <c r="H341" s="2"/>
      <c r="I341" s="2"/>
      <c r="J341" s="2"/>
      <c r="K341" s="2"/>
      <c r="L341" s="3"/>
      <c r="M341" s="3"/>
      <c r="N341" s="3"/>
      <c r="O341" s="3"/>
      <c r="P341" s="3"/>
      <c r="Q341" s="3"/>
      <c r="R341" s="3"/>
      <c r="S341" s="3"/>
      <c r="T341" s="3"/>
      <c r="U341" s="4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4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4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4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</row>
    <row r="342" spans="7:181" ht="15" x14ac:dyDescent="0.25">
      <c r="G342" s="2"/>
      <c r="H342" s="2"/>
      <c r="I342" s="2"/>
      <c r="J342" s="2"/>
      <c r="K342" s="2"/>
      <c r="L342" s="3"/>
      <c r="M342" s="3"/>
      <c r="N342" s="3"/>
      <c r="O342" s="3"/>
      <c r="P342" s="3"/>
      <c r="Q342" s="3"/>
      <c r="R342" s="3"/>
      <c r="S342" s="3"/>
      <c r="T342" s="3"/>
      <c r="U342" s="4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4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4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4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</row>
    <row r="343" spans="7:181" ht="15" x14ac:dyDescent="0.25">
      <c r="G343" s="2"/>
      <c r="H343" s="2"/>
      <c r="I343" s="2"/>
      <c r="J343" s="2"/>
      <c r="K343" s="2"/>
      <c r="L343" s="3"/>
      <c r="M343" s="3"/>
      <c r="N343" s="3"/>
      <c r="O343" s="3"/>
      <c r="P343" s="3"/>
      <c r="Q343" s="3"/>
      <c r="R343" s="3"/>
      <c r="S343" s="3"/>
      <c r="T343" s="3"/>
      <c r="U343" s="4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4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4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4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</row>
    <row r="344" spans="7:181" ht="15" x14ac:dyDescent="0.25">
      <c r="G344" s="2"/>
      <c r="H344" s="2"/>
      <c r="I344" s="2"/>
      <c r="J344" s="2"/>
      <c r="K344" s="2"/>
      <c r="L344" s="3"/>
      <c r="M344" s="3"/>
      <c r="N344" s="3"/>
      <c r="O344" s="3"/>
      <c r="P344" s="3"/>
      <c r="Q344" s="3"/>
      <c r="R344" s="3"/>
      <c r="S344" s="3"/>
      <c r="T344" s="3"/>
      <c r="U344" s="4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4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4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4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</row>
    <row r="345" spans="7:181" ht="15" x14ac:dyDescent="0.25">
      <c r="G345" s="2"/>
      <c r="H345" s="2"/>
      <c r="I345" s="2"/>
      <c r="J345" s="2"/>
      <c r="K345" s="2"/>
      <c r="L345" s="3"/>
      <c r="M345" s="3"/>
      <c r="N345" s="3"/>
      <c r="O345" s="3"/>
      <c r="P345" s="3"/>
      <c r="Q345" s="3"/>
      <c r="R345" s="3"/>
      <c r="S345" s="3"/>
      <c r="T345" s="3"/>
      <c r="U345" s="4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4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4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4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</row>
    <row r="346" spans="7:181" ht="15" x14ac:dyDescent="0.25">
      <c r="G346" s="2"/>
      <c r="H346" s="2"/>
      <c r="I346" s="2"/>
      <c r="J346" s="2"/>
      <c r="K346" s="2"/>
      <c r="L346" s="3"/>
      <c r="M346" s="3"/>
      <c r="N346" s="3"/>
      <c r="O346" s="3"/>
      <c r="P346" s="3"/>
      <c r="Q346" s="3"/>
      <c r="R346" s="3"/>
      <c r="S346" s="3"/>
      <c r="T346" s="3"/>
      <c r="U346" s="4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4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4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4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</row>
    <row r="347" spans="7:181" ht="15" x14ac:dyDescent="0.25">
      <c r="G347" s="2"/>
      <c r="H347" s="2"/>
      <c r="I347" s="2"/>
      <c r="J347" s="2"/>
      <c r="K347" s="2"/>
      <c r="L347" s="3"/>
      <c r="M347" s="3"/>
      <c r="N347" s="3"/>
      <c r="O347" s="3"/>
      <c r="P347" s="3"/>
      <c r="Q347" s="3"/>
      <c r="R347" s="3"/>
      <c r="S347" s="3"/>
      <c r="T347" s="3"/>
      <c r="U347" s="4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4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4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4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</row>
    <row r="348" spans="7:181" ht="15" x14ac:dyDescent="0.25">
      <c r="G348" s="2"/>
      <c r="H348" s="2"/>
      <c r="I348" s="2"/>
      <c r="J348" s="2"/>
      <c r="K348" s="2"/>
      <c r="L348" s="3"/>
      <c r="M348" s="3"/>
      <c r="N348" s="3"/>
      <c r="O348" s="3"/>
      <c r="P348" s="3"/>
      <c r="Q348" s="3"/>
      <c r="R348" s="3"/>
      <c r="S348" s="3"/>
      <c r="T348" s="3"/>
      <c r="U348" s="4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4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4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4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</row>
    <row r="349" spans="7:181" ht="15" x14ac:dyDescent="0.25">
      <c r="G349" s="2"/>
      <c r="H349" s="2"/>
      <c r="I349" s="2"/>
      <c r="J349" s="2"/>
      <c r="K349" s="2"/>
      <c r="L349" s="3"/>
      <c r="M349" s="3"/>
      <c r="N349" s="3"/>
      <c r="O349" s="3"/>
      <c r="P349" s="3"/>
      <c r="Q349" s="3"/>
      <c r="R349" s="3"/>
      <c r="S349" s="3"/>
      <c r="T349" s="3"/>
      <c r="U349" s="4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4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4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4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</row>
    <row r="350" spans="7:181" ht="15" x14ac:dyDescent="0.25">
      <c r="G350" s="2"/>
      <c r="H350" s="2"/>
      <c r="I350" s="2"/>
      <c r="J350" s="2"/>
      <c r="K350" s="2"/>
      <c r="L350" s="3"/>
      <c r="M350" s="3"/>
      <c r="N350" s="3"/>
      <c r="O350" s="3"/>
      <c r="P350" s="3"/>
      <c r="Q350" s="3"/>
      <c r="R350" s="3"/>
      <c r="S350" s="3"/>
      <c r="T350" s="3"/>
      <c r="U350" s="4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4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4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4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</row>
    <row r="351" spans="7:181" ht="15" x14ac:dyDescent="0.25">
      <c r="G351" s="2"/>
      <c r="H351" s="2"/>
      <c r="I351" s="2"/>
      <c r="J351" s="2"/>
      <c r="K351" s="2"/>
      <c r="L351" s="3"/>
      <c r="M351" s="3"/>
      <c r="N351" s="3"/>
      <c r="O351" s="3"/>
      <c r="P351" s="3"/>
      <c r="Q351" s="3"/>
      <c r="R351" s="3"/>
      <c r="S351" s="3"/>
      <c r="T351" s="3"/>
      <c r="U351" s="4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4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4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4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</row>
    <row r="352" spans="7:181" ht="15" x14ac:dyDescent="0.25">
      <c r="G352" s="2"/>
      <c r="H352" s="2"/>
      <c r="I352" s="2"/>
      <c r="J352" s="2"/>
      <c r="K352" s="2"/>
      <c r="L352" s="3"/>
      <c r="M352" s="3"/>
      <c r="N352" s="3"/>
      <c r="O352" s="3"/>
      <c r="P352" s="3"/>
      <c r="Q352" s="3"/>
      <c r="R352" s="3"/>
      <c r="S352" s="3"/>
      <c r="T352" s="3"/>
      <c r="U352" s="4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4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4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4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</row>
    <row r="353" spans="7:181" ht="15" x14ac:dyDescent="0.25">
      <c r="G353" s="2"/>
      <c r="H353" s="2"/>
      <c r="I353" s="2"/>
      <c r="J353" s="2"/>
      <c r="K353" s="2"/>
      <c r="L353" s="3"/>
      <c r="M353" s="3"/>
      <c r="N353" s="3"/>
      <c r="O353" s="3"/>
      <c r="P353" s="3"/>
      <c r="Q353" s="3"/>
      <c r="R353" s="3"/>
      <c r="S353" s="3"/>
      <c r="T353" s="3"/>
      <c r="U353" s="4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4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4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4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</row>
    <row r="354" spans="7:181" ht="15" x14ac:dyDescent="0.25">
      <c r="G354" s="2"/>
      <c r="H354" s="2"/>
      <c r="I354" s="2"/>
      <c r="J354" s="2"/>
      <c r="K354" s="2"/>
      <c r="L354" s="3"/>
      <c r="M354" s="3"/>
      <c r="N354" s="3"/>
      <c r="O354" s="3"/>
      <c r="P354" s="3"/>
      <c r="Q354" s="3"/>
      <c r="R354" s="3"/>
      <c r="S354" s="3"/>
      <c r="T354" s="3"/>
      <c r="U354" s="4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4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4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4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</row>
    <row r="355" spans="7:181" ht="15" x14ac:dyDescent="0.25">
      <c r="G355" s="2"/>
      <c r="H355" s="2"/>
      <c r="I355" s="2"/>
      <c r="J355" s="2"/>
      <c r="K355" s="2"/>
      <c r="L355" s="3"/>
      <c r="M355" s="3"/>
      <c r="N355" s="3"/>
      <c r="O355" s="3"/>
      <c r="P355" s="3"/>
      <c r="Q355" s="3"/>
      <c r="R355" s="3"/>
      <c r="S355" s="3"/>
      <c r="T355" s="3"/>
      <c r="U355" s="4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4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4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4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</row>
    <row r="356" spans="7:181" ht="15" x14ac:dyDescent="0.25">
      <c r="G356" s="2"/>
      <c r="H356" s="2"/>
      <c r="I356" s="2"/>
      <c r="J356" s="2"/>
      <c r="K356" s="2"/>
      <c r="L356" s="3"/>
      <c r="M356" s="3"/>
      <c r="N356" s="3"/>
      <c r="O356" s="3"/>
      <c r="P356" s="3"/>
      <c r="Q356" s="3"/>
      <c r="R356" s="3"/>
      <c r="S356" s="3"/>
      <c r="T356" s="3"/>
      <c r="U356" s="4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4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4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4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</row>
    <row r="357" spans="7:181" ht="15" x14ac:dyDescent="0.25">
      <c r="G357" s="2"/>
      <c r="H357" s="2"/>
      <c r="I357" s="2"/>
      <c r="J357" s="2"/>
      <c r="K357" s="2"/>
      <c r="L357" s="3"/>
      <c r="M357" s="3"/>
      <c r="N357" s="3"/>
      <c r="O357" s="3"/>
      <c r="P357" s="3"/>
      <c r="Q357" s="3"/>
      <c r="R357" s="3"/>
      <c r="S357" s="3"/>
      <c r="T357" s="3"/>
      <c r="U357" s="4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4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4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4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</row>
    <row r="358" spans="7:181" ht="15" x14ac:dyDescent="0.25">
      <c r="G358" s="2"/>
      <c r="H358" s="2"/>
      <c r="I358" s="2"/>
      <c r="J358" s="2"/>
      <c r="K358" s="2"/>
      <c r="L358" s="3"/>
      <c r="M358" s="3"/>
      <c r="N358" s="3"/>
      <c r="O358" s="3"/>
      <c r="P358" s="3"/>
      <c r="Q358" s="3"/>
      <c r="R358" s="3"/>
      <c r="S358" s="3"/>
      <c r="T358" s="3"/>
      <c r="U358" s="4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4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4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4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</row>
    <row r="359" spans="7:181" ht="15" x14ac:dyDescent="0.25">
      <c r="G359" s="2"/>
      <c r="H359" s="2"/>
      <c r="I359" s="2"/>
      <c r="J359" s="2"/>
      <c r="K359" s="2"/>
      <c r="L359" s="3"/>
      <c r="M359" s="3"/>
      <c r="N359" s="3"/>
      <c r="O359" s="3"/>
      <c r="P359" s="3"/>
      <c r="Q359" s="3"/>
      <c r="R359" s="3"/>
      <c r="S359" s="3"/>
      <c r="T359" s="3"/>
      <c r="U359" s="4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4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4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4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</row>
    <row r="360" spans="7:181" ht="15" x14ac:dyDescent="0.25">
      <c r="G360" s="2"/>
      <c r="H360" s="2"/>
      <c r="I360" s="2"/>
      <c r="J360" s="2"/>
      <c r="K360" s="2"/>
      <c r="L360" s="3"/>
      <c r="M360" s="3"/>
      <c r="N360" s="3"/>
      <c r="O360" s="3"/>
      <c r="P360" s="3"/>
      <c r="Q360" s="3"/>
      <c r="R360" s="3"/>
      <c r="S360" s="3"/>
      <c r="T360" s="3"/>
      <c r="U360" s="4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4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4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4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</row>
    <row r="361" spans="7:181" ht="15" x14ac:dyDescent="0.25">
      <c r="G361" s="2"/>
      <c r="H361" s="2"/>
      <c r="I361" s="2"/>
      <c r="J361" s="2"/>
      <c r="K361" s="2"/>
      <c r="L361" s="3"/>
      <c r="M361" s="3"/>
      <c r="N361" s="3"/>
      <c r="O361" s="3"/>
      <c r="P361" s="3"/>
      <c r="Q361" s="3"/>
      <c r="R361" s="3"/>
      <c r="S361" s="3"/>
      <c r="T361" s="3"/>
      <c r="U361" s="4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4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4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4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</row>
    <row r="362" spans="7:181" ht="15" x14ac:dyDescent="0.25">
      <c r="G362" s="2"/>
      <c r="H362" s="2"/>
      <c r="I362" s="2"/>
      <c r="J362" s="2"/>
      <c r="K362" s="2"/>
      <c r="L362" s="3"/>
      <c r="M362" s="3"/>
      <c r="N362" s="3"/>
      <c r="O362" s="3"/>
      <c r="P362" s="3"/>
      <c r="Q362" s="3"/>
      <c r="R362" s="3"/>
      <c r="S362" s="3"/>
      <c r="T362" s="3"/>
      <c r="U362" s="4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4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4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4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</row>
    <row r="363" spans="7:181" ht="15" x14ac:dyDescent="0.25">
      <c r="G363" s="2"/>
      <c r="H363" s="2"/>
      <c r="I363" s="2"/>
      <c r="J363" s="2"/>
      <c r="K363" s="2"/>
      <c r="L363" s="3"/>
      <c r="M363" s="3"/>
      <c r="N363" s="3"/>
      <c r="O363" s="3"/>
      <c r="P363" s="3"/>
      <c r="Q363" s="3"/>
      <c r="R363" s="3"/>
      <c r="S363" s="3"/>
      <c r="T363" s="3"/>
      <c r="U363" s="4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4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4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4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</row>
    <row r="364" spans="7:181" ht="15" x14ac:dyDescent="0.25">
      <c r="G364" s="2"/>
      <c r="H364" s="2"/>
      <c r="I364" s="2"/>
      <c r="J364" s="2"/>
      <c r="K364" s="2"/>
      <c r="L364" s="3"/>
      <c r="M364" s="3"/>
      <c r="N364" s="3"/>
      <c r="O364" s="3"/>
      <c r="P364" s="3"/>
      <c r="Q364" s="3"/>
      <c r="R364" s="3"/>
      <c r="S364" s="3"/>
      <c r="T364" s="3"/>
      <c r="U364" s="4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4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4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4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</row>
    <row r="365" spans="7:181" ht="15" x14ac:dyDescent="0.25">
      <c r="G365" s="2"/>
      <c r="H365" s="2"/>
      <c r="I365" s="2"/>
      <c r="J365" s="2"/>
      <c r="K365" s="2"/>
      <c r="L365" s="3"/>
      <c r="M365" s="3"/>
      <c r="N365" s="3"/>
      <c r="O365" s="3"/>
      <c r="P365" s="3"/>
      <c r="Q365" s="3"/>
      <c r="R365" s="3"/>
      <c r="S365" s="3"/>
      <c r="T365" s="3"/>
      <c r="U365" s="4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4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4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4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</row>
    <row r="366" spans="7:181" ht="15" x14ac:dyDescent="0.25">
      <c r="G366" s="2"/>
      <c r="H366" s="2"/>
      <c r="I366" s="2"/>
      <c r="J366" s="2"/>
      <c r="K366" s="2"/>
      <c r="L366" s="3"/>
      <c r="M366" s="3"/>
      <c r="N366" s="3"/>
      <c r="O366" s="3"/>
      <c r="P366" s="3"/>
      <c r="Q366" s="3"/>
      <c r="R366" s="3"/>
      <c r="S366" s="3"/>
      <c r="T366" s="3"/>
      <c r="U366" s="4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4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4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4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</row>
    <row r="367" spans="7:181" ht="15" x14ac:dyDescent="0.25">
      <c r="G367" s="2"/>
      <c r="H367" s="2"/>
      <c r="I367" s="2"/>
      <c r="J367" s="2"/>
      <c r="K367" s="2"/>
      <c r="L367" s="3"/>
      <c r="M367" s="3"/>
      <c r="N367" s="3"/>
      <c r="O367" s="3"/>
      <c r="P367" s="3"/>
      <c r="Q367" s="3"/>
      <c r="R367" s="3"/>
      <c r="S367" s="3"/>
      <c r="T367" s="3"/>
      <c r="U367" s="4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4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4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4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</row>
    <row r="368" spans="7:181" ht="15" x14ac:dyDescent="0.25">
      <c r="G368" s="2"/>
      <c r="H368" s="2"/>
      <c r="I368" s="2"/>
      <c r="J368" s="2"/>
      <c r="K368" s="2"/>
      <c r="L368" s="3"/>
      <c r="M368" s="3"/>
      <c r="N368" s="3"/>
      <c r="O368" s="3"/>
      <c r="P368" s="3"/>
      <c r="Q368" s="3"/>
      <c r="R368" s="3"/>
      <c r="S368" s="3"/>
      <c r="T368" s="3"/>
      <c r="U368" s="4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4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4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4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</row>
    <row r="369" spans="7:181" ht="15" x14ac:dyDescent="0.25">
      <c r="G369" s="2"/>
      <c r="H369" s="2"/>
      <c r="I369" s="2"/>
      <c r="J369" s="2"/>
      <c r="K369" s="2"/>
      <c r="L369" s="3"/>
      <c r="M369" s="3"/>
      <c r="N369" s="3"/>
      <c r="O369" s="3"/>
      <c r="P369" s="3"/>
      <c r="Q369" s="3"/>
      <c r="R369" s="3"/>
      <c r="S369" s="3"/>
      <c r="T369" s="3"/>
      <c r="U369" s="4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4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4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4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</row>
    <row r="370" spans="7:181" ht="15" x14ac:dyDescent="0.25">
      <c r="G370" s="2"/>
      <c r="H370" s="2"/>
      <c r="I370" s="2"/>
      <c r="J370" s="2"/>
      <c r="K370" s="2"/>
      <c r="L370" s="3"/>
      <c r="M370" s="3"/>
      <c r="N370" s="3"/>
      <c r="O370" s="3"/>
      <c r="P370" s="3"/>
      <c r="Q370" s="3"/>
      <c r="R370" s="3"/>
      <c r="S370" s="3"/>
      <c r="T370" s="3"/>
      <c r="U370" s="4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4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4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4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</row>
    <row r="371" spans="7:181" ht="15" x14ac:dyDescent="0.25">
      <c r="G371" s="2"/>
      <c r="H371" s="2"/>
      <c r="I371" s="2"/>
      <c r="J371" s="2"/>
      <c r="K371" s="2"/>
      <c r="L371" s="3"/>
      <c r="M371" s="3"/>
      <c r="N371" s="3"/>
      <c r="O371" s="3"/>
      <c r="P371" s="3"/>
      <c r="Q371" s="3"/>
      <c r="R371" s="3"/>
      <c r="S371" s="3"/>
      <c r="T371" s="3"/>
      <c r="U371" s="4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4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4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4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</row>
    <row r="372" spans="7:181" ht="15" x14ac:dyDescent="0.25">
      <c r="G372" s="2"/>
      <c r="H372" s="2"/>
      <c r="I372" s="2"/>
      <c r="J372" s="2"/>
      <c r="K372" s="2"/>
      <c r="L372" s="3"/>
      <c r="M372" s="3"/>
      <c r="N372" s="3"/>
      <c r="O372" s="3"/>
      <c r="P372" s="3"/>
      <c r="Q372" s="3"/>
      <c r="R372" s="3"/>
      <c r="S372" s="3"/>
      <c r="T372" s="3"/>
      <c r="U372" s="4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4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4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4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</row>
    <row r="373" spans="7:181" ht="15" x14ac:dyDescent="0.25">
      <c r="G373" s="2"/>
      <c r="H373" s="2"/>
      <c r="I373" s="2"/>
      <c r="J373" s="2"/>
      <c r="K373" s="2"/>
      <c r="L373" s="3"/>
      <c r="M373" s="3"/>
      <c r="N373" s="3"/>
      <c r="O373" s="3"/>
      <c r="P373" s="3"/>
      <c r="Q373" s="3"/>
      <c r="R373" s="3"/>
      <c r="S373" s="3"/>
      <c r="T373" s="3"/>
      <c r="U373" s="4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4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4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4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</row>
    <row r="374" spans="7:181" ht="15" x14ac:dyDescent="0.25">
      <c r="G374" s="2"/>
      <c r="H374" s="2"/>
      <c r="I374" s="2"/>
      <c r="J374" s="2"/>
      <c r="K374" s="2"/>
      <c r="L374" s="3"/>
      <c r="M374" s="3"/>
      <c r="N374" s="3"/>
      <c r="O374" s="3"/>
      <c r="P374" s="3"/>
      <c r="Q374" s="3"/>
      <c r="R374" s="3"/>
      <c r="S374" s="3"/>
      <c r="T374" s="3"/>
      <c r="U374" s="4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4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4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4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</row>
    <row r="375" spans="7:181" ht="15" x14ac:dyDescent="0.25">
      <c r="G375" s="2"/>
      <c r="H375" s="2"/>
      <c r="I375" s="2"/>
      <c r="J375" s="2"/>
      <c r="K375" s="2"/>
      <c r="L375" s="3"/>
      <c r="M375" s="3"/>
      <c r="N375" s="3"/>
      <c r="O375" s="3"/>
      <c r="P375" s="3"/>
      <c r="Q375" s="3"/>
      <c r="R375" s="3"/>
      <c r="S375" s="3"/>
      <c r="T375" s="3"/>
      <c r="U375" s="4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4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4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4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</row>
    <row r="376" spans="7:181" ht="15" x14ac:dyDescent="0.25">
      <c r="G376" s="2"/>
      <c r="H376" s="2"/>
      <c r="I376" s="2"/>
      <c r="J376" s="2"/>
      <c r="K376" s="2"/>
      <c r="L376" s="3"/>
      <c r="M376" s="3"/>
      <c r="N376" s="3"/>
      <c r="O376" s="3"/>
      <c r="P376" s="3"/>
      <c r="Q376" s="3"/>
      <c r="R376" s="3"/>
      <c r="S376" s="3"/>
      <c r="T376" s="3"/>
      <c r="U376" s="4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4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4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4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</row>
    <row r="377" spans="7:181" ht="15" x14ac:dyDescent="0.25">
      <c r="G377" s="2"/>
      <c r="H377" s="2"/>
      <c r="I377" s="2"/>
      <c r="J377" s="2"/>
      <c r="K377" s="2"/>
      <c r="L377" s="3"/>
      <c r="M377" s="3"/>
      <c r="N377" s="3"/>
      <c r="O377" s="3"/>
      <c r="P377" s="3"/>
      <c r="Q377" s="3"/>
      <c r="R377" s="3"/>
      <c r="S377" s="3"/>
      <c r="T377" s="3"/>
      <c r="U377" s="4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4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4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4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</row>
    <row r="378" spans="7:181" ht="15" x14ac:dyDescent="0.25">
      <c r="G378" s="2"/>
      <c r="H378" s="2"/>
      <c r="I378" s="2"/>
      <c r="J378" s="2"/>
      <c r="K378" s="2"/>
      <c r="L378" s="3"/>
      <c r="M378" s="3"/>
      <c r="N378" s="3"/>
      <c r="O378" s="3"/>
      <c r="P378" s="3"/>
      <c r="Q378" s="3"/>
      <c r="R378" s="3"/>
      <c r="S378" s="3"/>
      <c r="T378" s="3"/>
      <c r="U378" s="4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4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4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4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</row>
    <row r="379" spans="7:181" ht="15" x14ac:dyDescent="0.25">
      <c r="G379" s="2"/>
      <c r="H379" s="2"/>
      <c r="I379" s="2"/>
      <c r="J379" s="2"/>
      <c r="K379" s="2"/>
      <c r="L379" s="3"/>
      <c r="M379" s="3"/>
      <c r="N379" s="3"/>
      <c r="O379" s="3"/>
      <c r="P379" s="3"/>
      <c r="Q379" s="3"/>
      <c r="R379" s="3"/>
      <c r="S379" s="3"/>
      <c r="T379" s="3"/>
      <c r="U379" s="4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4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4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4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</row>
    <row r="380" spans="7:181" ht="15" x14ac:dyDescent="0.25">
      <c r="G380" s="2"/>
      <c r="H380" s="2"/>
      <c r="I380" s="2"/>
      <c r="J380" s="2"/>
      <c r="K380" s="2"/>
      <c r="L380" s="3"/>
      <c r="M380" s="3"/>
      <c r="N380" s="3"/>
      <c r="O380" s="3"/>
      <c r="P380" s="3"/>
      <c r="Q380" s="3"/>
      <c r="R380" s="3"/>
      <c r="S380" s="3"/>
      <c r="T380" s="3"/>
      <c r="U380" s="4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4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4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4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</row>
    <row r="381" spans="7:181" ht="15" x14ac:dyDescent="0.25">
      <c r="G381" s="2"/>
      <c r="H381" s="2"/>
      <c r="I381" s="2"/>
      <c r="J381" s="2"/>
      <c r="K381" s="2"/>
      <c r="L381" s="3"/>
      <c r="M381" s="3"/>
      <c r="N381" s="3"/>
      <c r="O381" s="3"/>
      <c r="P381" s="3"/>
      <c r="Q381" s="3"/>
      <c r="R381" s="3"/>
      <c r="S381" s="3"/>
      <c r="T381" s="3"/>
      <c r="U381" s="4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4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4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4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</row>
    <row r="382" spans="7:181" ht="15" x14ac:dyDescent="0.25">
      <c r="G382" s="2"/>
      <c r="H382" s="2"/>
      <c r="I382" s="2"/>
      <c r="J382" s="2"/>
      <c r="K382" s="2"/>
      <c r="L382" s="3"/>
      <c r="M382" s="3"/>
      <c r="N382" s="3"/>
      <c r="O382" s="3"/>
      <c r="P382" s="3"/>
      <c r="Q382" s="3"/>
      <c r="R382" s="3"/>
      <c r="S382" s="3"/>
      <c r="T382" s="3"/>
      <c r="U382" s="4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4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4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4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</row>
    <row r="383" spans="7:181" ht="15" x14ac:dyDescent="0.25">
      <c r="G383" s="2"/>
      <c r="H383" s="2"/>
      <c r="I383" s="2"/>
      <c r="J383" s="2"/>
      <c r="K383" s="2"/>
      <c r="L383" s="3"/>
      <c r="M383" s="3"/>
      <c r="N383" s="3"/>
      <c r="O383" s="3"/>
      <c r="P383" s="3"/>
      <c r="Q383" s="3"/>
      <c r="R383" s="3"/>
      <c r="S383" s="3"/>
      <c r="T383" s="3"/>
      <c r="U383" s="4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4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4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4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</row>
    <row r="384" spans="7:181" ht="15" x14ac:dyDescent="0.25">
      <c r="G384" s="2"/>
      <c r="H384" s="2"/>
      <c r="I384" s="2"/>
      <c r="J384" s="2"/>
      <c r="K384" s="2"/>
      <c r="L384" s="3"/>
      <c r="M384" s="3"/>
      <c r="N384" s="3"/>
      <c r="O384" s="3"/>
      <c r="P384" s="3"/>
      <c r="Q384" s="3"/>
      <c r="R384" s="3"/>
      <c r="S384" s="3"/>
      <c r="T384" s="3"/>
      <c r="U384" s="4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4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4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4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</row>
    <row r="385" spans="7:181" ht="15" x14ac:dyDescent="0.25">
      <c r="G385" s="2"/>
      <c r="H385" s="2"/>
      <c r="I385" s="2"/>
      <c r="J385" s="2"/>
      <c r="K385" s="2"/>
      <c r="L385" s="3"/>
      <c r="M385" s="3"/>
      <c r="N385" s="3"/>
      <c r="O385" s="3"/>
      <c r="P385" s="3"/>
      <c r="Q385" s="3"/>
      <c r="R385" s="3"/>
      <c r="S385" s="3"/>
      <c r="T385" s="3"/>
      <c r="U385" s="4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4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4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4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</row>
    <row r="386" spans="7:181" ht="15" x14ac:dyDescent="0.25">
      <c r="G386" s="2"/>
      <c r="H386" s="2"/>
      <c r="I386" s="2"/>
      <c r="J386" s="2"/>
      <c r="K386" s="2"/>
      <c r="L386" s="3"/>
      <c r="M386" s="3"/>
      <c r="N386" s="3"/>
      <c r="O386" s="3"/>
      <c r="P386" s="3"/>
      <c r="Q386" s="3"/>
      <c r="R386" s="3"/>
      <c r="S386" s="3"/>
      <c r="T386" s="3"/>
      <c r="U386" s="4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4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4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4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</row>
    <row r="387" spans="7:181" ht="15" x14ac:dyDescent="0.25">
      <c r="G387" s="2"/>
      <c r="H387" s="2"/>
      <c r="I387" s="2"/>
      <c r="J387" s="2"/>
      <c r="K387" s="2"/>
      <c r="L387" s="3"/>
      <c r="M387" s="3"/>
      <c r="N387" s="3"/>
      <c r="O387" s="3"/>
      <c r="P387" s="3"/>
      <c r="Q387" s="3"/>
      <c r="R387" s="3"/>
      <c r="S387" s="3"/>
      <c r="T387" s="3"/>
      <c r="U387" s="4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4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4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4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</row>
    <row r="388" spans="7:181" ht="15" x14ac:dyDescent="0.25">
      <c r="G388" s="2"/>
      <c r="H388" s="2"/>
      <c r="I388" s="2"/>
      <c r="J388" s="2"/>
      <c r="K388" s="2"/>
      <c r="L388" s="3"/>
      <c r="M388" s="3"/>
      <c r="N388" s="3"/>
      <c r="O388" s="3"/>
      <c r="P388" s="3"/>
      <c r="Q388" s="3"/>
      <c r="R388" s="3"/>
      <c r="S388" s="3"/>
      <c r="T388" s="3"/>
      <c r="U388" s="4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4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4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4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</row>
    <row r="389" spans="7:181" ht="15" x14ac:dyDescent="0.25">
      <c r="G389" s="2"/>
      <c r="H389" s="2"/>
      <c r="I389" s="2"/>
      <c r="J389" s="2"/>
      <c r="K389" s="2"/>
      <c r="L389" s="3"/>
      <c r="M389" s="3"/>
      <c r="N389" s="3"/>
      <c r="O389" s="3"/>
      <c r="P389" s="3"/>
      <c r="Q389" s="3"/>
      <c r="R389" s="3"/>
      <c r="S389" s="3"/>
      <c r="T389" s="3"/>
      <c r="U389" s="4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4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4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4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</row>
    <row r="390" spans="7:181" ht="15" x14ac:dyDescent="0.25">
      <c r="G390" s="2"/>
      <c r="H390" s="2"/>
      <c r="I390" s="2"/>
      <c r="J390" s="2"/>
      <c r="K390" s="2"/>
      <c r="L390" s="3"/>
      <c r="M390" s="3"/>
      <c r="N390" s="3"/>
      <c r="O390" s="3"/>
      <c r="P390" s="3"/>
      <c r="Q390" s="3"/>
      <c r="R390" s="3"/>
      <c r="S390" s="3"/>
      <c r="T390" s="3"/>
      <c r="U390" s="4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4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4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4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</row>
    <row r="391" spans="7:181" ht="15" x14ac:dyDescent="0.25">
      <c r="G391" s="2"/>
      <c r="H391" s="2"/>
      <c r="I391" s="2"/>
      <c r="J391" s="2"/>
      <c r="K391" s="2"/>
      <c r="L391" s="3"/>
      <c r="M391" s="3"/>
      <c r="N391" s="3"/>
      <c r="O391" s="3"/>
      <c r="P391" s="3"/>
      <c r="Q391" s="3"/>
      <c r="R391" s="3"/>
      <c r="S391" s="3"/>
      <c r="T391" s="3"/>
      <c r="U391" s="4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4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4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4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</row>
    <row r="392" spans="7:181" ht="15" x14ac:dyDescent="0.25">
      <c r="G392" s="2"/>
      <c r="H392" s="2"/>
      <c r="I392" s="2"/>
      <c r="J392" s="2"/>
      <c r="K392" s="2"/>
      <c r="L392" s="3"/>
      <c r="M392" s="3"/>
      <c r="N392" s="3"/>
      <c r="O392" s="3"/>
      <c r="P392" s="3"/>
      <c r="Q392" s="3"/>
      <c r="R392" s="3"/>
      <c r="S392" s="3"/>
      <c r="T392" s="3"/>
      <c r="U392" s="4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4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4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4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</row>
    <row r="393" spans="7:181" ht="15" x14ac:dyDescent="0.25">
      <c r="G393" s="2"/>
      <c r="H393" s="2"/>
      <c r="I393" s="2"/>
      <c r="J393" s="2"/>
      <c r="K393" s="2"/>
      <c r="L393" s="3"/>
      <c r="M393" s="3"/>
      <c r="N393" s="3"/>
      <c r="O393" s="3"/>
      <c r="P393" s="3"/>
      <c r="Q393" s="3"/>
      <c r="R393" s="3"/>
      <c r="S393" s="3"/>
      <c r="T393" s="3"/>
      <c r="U393" s="4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4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4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4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</row>
    <row r="394" spans="7:181" ht="15" x14ac:dyDescent="0.25">
      <c r="G394" s="2"/>
      <c r="H394" s="2"/>
      <c r="I394" s="2"/>
      <c r="J394" s="2"/>
      <c r="K394" s="2"/>
      <c r="L394" s="3"/>
      <c r="M394" s="3"/>
      <c r="N394" s="3"/>
      <c r="O394" s="3"/>
      <c r="P394" s="3"/>
      <c r="Q394" s="3"/>
      <c r="R394" s="3"/>
      <c r="S394" s="3"/>
      <c r="T394" s="3"/>
      <c r="U394" s="4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4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4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4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</row>
    <row r="395" spans="7:181" ht="15" x14ac:dyDescent="0.25">
      <c r="G395" s="2"/>
      <c r="H395" s="2"/>
      <c r="I395" s="2"/>
      <c r="J395" s="2"/>
      <c r="K395" s="2"/>
      <c r="L395" s="3"/>
      <c r="M395" s="3"/>
      <c r="N395" s="3"/>
      <c r="O395" s="3"/>
      <c r="P395" s="3"/>
      <c r="Q395" s="3"/>
      <c r="R395" s="3"/>
      <c r="S395" s="3"/>
      <c r="T395" s="3"/>
      <c r="U395" s="4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4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4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4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</row>
    <row r="396" spans="7:181" ht="15" x14ac:dyDescent="0.25">
      <c r="G396" s="2"/>
      <c r="H396" s="2"/>
      <c r="I396" s="2"/>
      <c r="J396" s="2"/>
      <c r="K396" s="2"/>
      <c r="L396" s="3"/>
      <c r="M396" s="3"/>
      <c r="N396" s="3"/>
      <c r="O396" s="3"/>
      <c r="P396" s="3"/>
      <c r="Q396" s="3"/>
      <c r="R396" s="3"/>
      <c r="S396" s="3"/>
      <c r="T396" s="3"/>
      <c r="U396" s="4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4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4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4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</row>
    <row r="397" spans="7:181" ht="15" x14ac:dyDescent="0.25">
      <c r="G397" s="2"/>
      <c r="H397" s="2"/>
      <c r="I397" s="2"/>
      <c r="J397" s="2"/>
      <c r="K397" s="2"/>
      <c r="L397" s="3"/>
      <c r="M397" s="3"/>
      <c r="N397" s="3"/>
      <c r="O397" s="3"/>
      <c r="P397" s="3"/>
      <c r="Q397" s="3"/>
      <c r="R397" s="3"/>
      <c r="S397" s="3"/>
      <c r="T397" s="3"/>
      <c r="U397" s="4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4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4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4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</row>
    <row r="398" spans="7:181" ht="15" x14ac:dyDescent="0.25">
      <c r="G398" s="2"/>
      <c r="H398" s="2"/>
      <c r="I398" s="2"/>
      <c r="J398" s="2"/>
      <c r="K398" s="2"/>
      <c r="L398" s="3"/>
      <c r="M398" s="3"/>
      <c r="N398" s="3"/>
      <c r="O398" s="3"/>
      <c r="P398" s="3"/>
      <c r="Q398" s="3"/>
      <c r="R398" s="3"/>
      <c r="S398" s="3"/>
      <c r="T398" s="3"/>
      <c r="U398" s="4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4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4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4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</row>
    <row r="399" spans="7:181" ht="15" x14ac:dyDescent="0.25">
      <c r="G399" s="2"/>
      <c r="H399" s="2"/>
      <c r="I399" s="2"/>
      <c r="J399" s="2"/>
      <c r="K399" s="2"/>
      <c r="L399" s="3"/>
      <c r="M399" s="3"/>
      <c r="N399" s="3"/>
      <c r="O399" s="3"/>
      <c r="P399" s="3"/>
      <c r="Q399" s="3"/>
      <c r="R399" s="3"/>
      <c r="S399" s="3"/>
      <c r="T399" s="3"/>
      <c r="U399" s="4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4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4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4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</row>
    <row r="400" spans="7:181" ht="15" x14ac:dyDescent="0.25">
      <c r="G400" s="2"/>
      <c r="H400" s="2"/>
      <c r="I400" s="2"/>
      <c r="J400" s="2"/>
      <c r="K400" s="2"/>
      <c r="L400" s="3"/>
      <c r="M400" s="3"/>
      <c r="N400" s="3"/>
      <c r="O400" s="3"/>
      <c r="P400" s="3"/>
      <c r="Q400" s="3"/>
      <c r="R400" s="3"/>
      <c r="S400" s="3"/>
      <c r="T400" s="3"/>
      <c r="U400" s="4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4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4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4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</row>
    <row r="401" spans="7:181" ht="15" x14ac:dyDescent="0.25">
      <c r="G401" s="2"/>
      <c r="H401" s="2"/>
      <c r="I401" s="2"/>
      <c r="J401" s="2"/>
      <c r="K401" s="2"/>
      <c r="L401" s="3"/>
      <c r="M401" s="3"/>
      <c r="N401" s="3"/>
      <c r="O401" s="3"/>
      <c r="P401" s="3"/>
      <c r="Q401" s="3"/>
      <c r="R401" s="3"/>
      <c r="S401" s="3"/>
      <c r="T401" s="3"/>
      <c r="U401" s="4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4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4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4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</row>
    <row r="402" spans="7:181" ht="15" x14ac:dyDescent="0.25">
      <c r="G402" s="2"/>
      <c r="H402" s="2"/>
      <c r="I402" s="2"/>
      <c r="J402" s="2"/>
      <c r="K402" s="2"/>
      <c r="L402" s="3"/>
      <c r="M402" s="3"/>
      <c r="N402" s="3"/>
      <c r="O402" s="3"/>
      <c r="P402" s="3"/>
      <c r="Q402" s="3"/>
      <c r="R402" s="3"/>
      <c r="S402" s="3"/>
      <c r="T402" s="3"/>
      <c r="U402" s="4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4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4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4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</row>
    <row r="403" spans="7:181" ht="15" x14ac:dyDescent="0.25">
      <c r="G403" s="2"/>
      <c r="H403" s="2"/>
      <c r="I403" s="2"/>
      <c r="J403" s="2"/>
      <c r="K403" s="2"/>
      <c r="L403" s="3"/>
      <c r="M403" s="3"/>
      <c r="N403" s="3"/>
      <c r="O403" s="3"/>
      <c r="P403" s="3"/>
      <c r="Q403" s="3"/>
      <c r="R403" s="3"/>
      <c r="S403" s="3"/>
      <c r="T403" s="3"/>
      <c r="U403" s="4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4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4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4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</row>
    <row r="404" spans="7:181" ht="15" x14ac:dyDescent="0.25">
      <c r="G404" s="2"/>
      <c r="H404" s="2"/>
      <c r="I404" s="2"/>
      <c r="J404" s="2"/>
      <c r="K404" s="2"/>
      <c r="L404" s="3"/>
      <c r="M404" s="3"/>
      <c r="N404" s="3"/>
      <c r="O404" s="3"/>
      <c r="P404" s="3"/>
      <c r="Q404" s="3"/>
      <c r="R404" s="3"/>
      <c r="S404" s="3"/>
      <c r="T404" s="3"/>
      <c r="U404" s="4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4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4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4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</row>
    <row r="405" spans="7:181" ht="15" x14ac:dyDescent="0.25">
      <c r="G405" s="2"/>
      <c r="H405" s="2"/>
      <c r="I405" s="2"/>
      <c r="J405" s="2"/>
      <c r="K405" s="2"/>
      <c r="L405" s="3"/>
      <c r="M405" s="3"/>
      <c r="N405" s="3"/>
      <c r="O405" s="3"/>
      <c r="P405" s="3"/>
      <c r="Q405" s="3"/>
      <c r="R405" s="3"/>
      <c r="S405" s="3"/>
      <c r="T405" s="3"/>
      <c r="U405" s="4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4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4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4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</row>
    <row r="406" spans="7:181" ht="15" x14ac:dyDescent="0.25">
      <c r="G406" s="2"/>
      <c r="H406" s="2"/>
      <c r="I406" s="2"/>
      <c r="J406" s="2"/>
      <c r="K406" s="2"/>
      <c r="L406" s="3"/>
      <c r="M406" s="3"/>
      <c r="N406" s="3"/>
      <c r="O406" s="3"/>
      <c r="P406" s="3"/>
      <c r="Q406" s="3"/>
      <c r="R406" s="3"/>
      <c r="S406" s="3"/>
      <c r="T406" s="3"/>
      <c r="U406" s="4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4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4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4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</row>
    <row r="407" spans="7:181" ht="15" x14ac:dyDescent="0.25">
      <c r="G407" s="2"/>
      <c r="H407" s="2"/>
      <c r="I407" s="2"/>
      <c r="J407" s="2"/>
      <c r="K407" s="2"/>
      <c r="L407" s="3"/>
      <c r="M407" s="3"/>
      <c r="N407" s="3"/>
      <c r="O407" s="3"/>
      <c r="P407" s="3"/>
      <c r="Q407" s="3"/>
      <c r="R407" s="3"/>
      <c r="S407" s="3"/>
      <c r="T407" s="3"/>
      <c r="U407" s="4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4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4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4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</row>
    <row r="408" spans="7:181" ht="15" x14ac:dyDescent="0.25">
      <c r="G408" s="2"/>
      <c r="H408" s="2"/>
      <c r="I408" s="2"/>
      <c r="J408" s="2"/>
      <c r="K408" s="2"/>
      <c r="L408" s="3"/>
      <c r="M408" s="3"/>
      <c r="N408" s="3"/>
      <c r="O408" s="3"/>
      <c r="P408" s="3"/>
      <c r="Q408" s="3"/>
      <c r="R408" s="3"/>
      <c r="S408" s="3"/>
      <c r="T408" s="3"/>
      <c r="U408" s="4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4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4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4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</row>
    <row r="409" spans="7:181" ht="15" x14ac:dyDescent="0.25">
      <c r="G409" s="2"/>
      <c r="H409" s="2"/>
      <c r="I409" s="2"/>
      <c r="J409" s="2"/>
      <c r="K409" s="2"/>
      <c r="L409" s="3"/>
      <c r="M409" s="3"/>
      <c r="N409" s="3"/>
      <c r="O409" s="3"/>
      <c r="P409" s="3"/>
      <c r="Q409" s="3"/>
      <c r="R409" s="3"/>
      <c r="S409" s="3"/>
      <c r="T409" s="3"/>
      <c r="U409" s="4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4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4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4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</row>
    <row r="410" spans="7:181" ht="15" x14ac:dyDescent="0.25">
      <c r="G410" s="2"/>
      <c r="H410" s="2"/>
      <c r="I410" s="2"/>
      <c r="J410" s="2"/>
      <c r="K410" s="2"/>
      <c r="L410" s="3"/>
      <c r="M410" s="3"/>
      <c r="N410" s="3"/>
      <c r="O410" s="3"/>
      <c r="P410" s="3"/>
      <c r="Q410" s="3"/>
      <c r="R410" s="3"/>
      <c r="S410" s="3"/>
      <c r="T410" s="3"/>
      <c r="U410" s="4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4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4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4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</row>
    <row r="411" spans="7:181" ht="15" x14ac:dyDescent="0.25">
      <c r="G411" s="2"/>
      <c r="H411" s="2"/>
      <c r="I411" s="2"/>
      <c r="J411" s="2"/>
      <c r="K411" s="2"/>
      <c r="L411" s="3"/>
      <c r="M411" s="3"/>
      <c r="N411" s="3"/>
      <c r="O411" s="3"/>
      <c r="P411" s="3"/>
      <c r="Q411" s="3"/>
      <c r="R411" s="3"/>
      <c r="S411" s="3"/>
      <c r="T411" s="3"/>
      <c r="U411" s="4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4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4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4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</row>
    <row r="412" spans="7:181" ht="15" x14ac:dyDescent="0.25">
      <c r="G412" s="2"/>
      <c r="H412" s="2"/>
      <c r="I412" s="2"/>
      <c r="J412" s="2"/>
      <c r="K412" s="2"/>
      <c r="L412" s="3"/>
      <c r="M412" s="3"/>
      <c r="N412" s="3"/>
      <c r="O412" s="3"/>
      <c r="P412" s="3"/>
      <c r="Q412" s="3"/>
      <c r="R412" s="3"/>
      <c r="S412" s="3"/>
      <c r="T412" s="3"/>
      <c r="U412" s="4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4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4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4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</row>
    <row r="413" spans="7:181" ht="15" x14ac:dyDescent="0.25">
      <c r="G413" s="2"/>
      <c r="H413" s="2"/>
      <c r="I413" s="2"/>
      <c r="J413" s="2"/>
      <c r="K413" s="2"/>
      <c r="L413" s="3"/>
      <c r="M413" s="3"/>
      <c r="N413" s="3"/>
      <c r="O413" s="3"/>
      <c r="P413" s="3"/>
      <c r="Q413" s="3"/>
      <c r="R413" s="3"/>
      <c r="S413" s="3"/>
      <c r="T413" s="3"/>
      <c r="U413" s="4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4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4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4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</row>
    <row r="414" spans="7:181" ht="15" x14ac:dyDescent="0.25">
      <c r="G414" s="2"/>
      <c r="H414" s="2"/>
      <c r="I414" s="2"/>
      <c r="J414" s="2"/>
      <c r="K414" s="2"/>
      <c r="L414" s="3"/>
      <c r="M414" s="3"/>
      <c r="N414" s="3"/>
      <c r="O414" s="3"/>
      <c r="P414" s="3"/>
      <c r="Q414" s="3"/>
      <c r="R414" s="3"/>
      <c r="S414" s="3"/>
      <c r="T414" s="3"/>
      <c r="U414" s="4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4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4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4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</row>
    <row r="415" spans="7:181" ht="15" x14ac:dyDescent="0.25">
      <c r="G415" s="2"/>
      <c r="H415" s="2"/>
      <c r="I415" s="2"/>
      <c r="J415" s="2"/>
      <c r="K415" s="2"/>
      <c r="L415" s="3"/>
      <c r="M415" s="3"/>
      <c r="N415" s="3"/>
      <c r="O415" s="3"/>
      <c r="P415" s="3"/>
      <c r="Q415" s="3"/>
      <c r="R415" s="3"/>
      <c r="S415" s="3"/>
      <c r="T415" s="3"/>
      <c r="U415" s="4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4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4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4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</row>
    <row r="416" spans="7:181" ht="15" x14ac:dyDescent="0.25">
      <c r="G416" s="2"/>
      <c r="H416" s="2"/>
      <c r="I416" s="2"/>
      <c r="J416" s="2"/>
      <c r="K416" s="2"/>
      <c r="L416" s="3"/>
      <c r="M416" s="3"/>
      <c r="N416" s="3"/>
      <c r="O416" s="3"/>
      <c r="P416" s="3"/>
      <c r="Q416" s="3"/>
      <c r="R416" s="3"/>
      <c r="S416" s="3"/>
      <c r="T416" s="3"/>
      <c r="U416" s="4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4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4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4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</row>
    <row r="417" spans="7:181" ht="15" x14ac:dyDescent="0.25">
      <c r="G417" s="2"/>
      <c r="H417" s="2"/>
      <c r="I417" s="2"/>
      <c r="J417" s="2"/>
      <c r="K417" s="2"/>
      <c r="L417" s="3"/>
      <c r="M417" s="3"/>
      <c r="N417" s="3"/>
      <c r="O417" s="3"/>
      <c r="P417" s="3"/>
      <c r="Q417" s="3"/>
      <c r="R417" s="3"/>
      <c r="S417" s="3"/>
      <c r="T417" s="3"/>
      <c r="U417" s="4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4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4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4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</row>
    <row r="418" spans="7:181" ht="15" x14ac:dyDescent="0.25">
      <c r="G418" s="2"/>
      <c r="H418" s="2"/>
      <c r="I418" s="2"/>
      <c r="J418" s="2"/>
      <c r="K418" s="2"/>
      <c r="L418" s="3"/>
      <c r="M418" s="3"/>
      <c r="N418" s="3"/>
      <c r="O418" s="3"/>
      <c r="P418" s="3"/>
      <c r="Q418" s="3"/>
      <c r="R418" s="3"/>
      <c r="S418" s="3"/>
      <c r="T418" s="3"/>
      <c r="U418" s="4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4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4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4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</row>
    <row r="419" spans="7:181" ht="15" x14ac:dyDescent="0.25">
      <c r="G419" s="2"/>
      <c r="H419" s="2"/>
      <c r="I419" s="2"/>
      <c r="J419" s="2"/>
      <c r="K419" s="2"/>
      <c r="L419" s="3"/>
      <c r="M419" s="3"/>
      <c r="N419" s="3"/>
      <c r="O419" s="3"/>
      <c r="P419" s="3"/>
      <c r="Q419" s="3"/>
      <c r="R419" s="3"/>
      <c r="S419" s="3"/>
      <c r="T419" s="3"/>
      <c r="U419" s="4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4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4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4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</row>
    <row r="420" spans="7:181" ht="15" x14ac:dyDescent="0.25">
      <c r="G420" s="2"/>
      <c r="H420" s="2"/>
      <c r="I420" s="2"/>
      <c r="J420" s="2"/>
      <c r="K420" s="2"/>
      <c r="L420" s="3"/>
      <c r="M420" s="3"/>
      <c r="N420" s="3"/>
      <c r="O420" s="3"/>
      <c r="P420" s="3"/>
      <c r="Q420" s="3"/>
      <c r="R420" s="3"/>
      <c r="S420" s="3"/>
      <c r="T420" s="3"/>
      <c r="U420" s="4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4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4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4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</row>
    <row r="421" spans="7:181" ht="15" x14ac:dyDescent="0.25">
      <c r="G421" s="2"/>
      <c r="H421" s="2"/>
      <c r="I421" s="2"/>
      <c r="J421" s="2"/>
      <c r="K421" s="2"/>
      <c r="L421" s="3"/>
      <c r="M421" s="3"/>
      <c r="N421" s="3"/>
      <c r="O421" s="3"/>
      <c r="P421" s="3"/>
      <c r="Q421" s="3"/>
      <c r="R421" s="3"/>
      <c r="S421" s="3"/>
      <c r="T421" s="3"/>
      <c r="U421" s="4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4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4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4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</row>
    <row r="422" spans="7:181" ht="15" x14ac:dyDescent="0.25">
      <c r="G422" s="2"/>
      <c r="H422" s="2"/>
      <c r="I422" s="2"/>
      <c r="J422" s="2"/>
      <c r="K422" s="2"/>
      <c r="L422" s="3"/>
      <c r="M422" s="3"/>
      <c r="N422" s="3"/>
      <c r="O422" s="3"/>
      <c r="P422" s="3"/>
      <c r="Q422" s="3"/>
      <c r="R422" s="3"/>
      <c r="S422" s="3"/>
      <c r="T422" s="3"/>
      <c r="U422" s="4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4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4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4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</row>
    <row r="423" spans="7:181" ht="15" x14ac:dyDescent="0.25">
      <c r="G423" s="2"/>
      <c r="H423" s="2"/>
      <c r="I423" s="2"/>
      <c r="J423" s="2"/>
      <c r="K423" s="2"/>
      <c r="L423" s="3"/>
      <c r="M423" s="3"/>
      <c r="N423" s="3"/>
      <c r="O423" s="3"/>
      <c r="P423" s="3"/>
      <c r="Q423" s="3"/>
      <c r="R423" s="3"/>
      <c r="S423" s="3"/>
      <c r="T423" s="3"/>
      <c r="U423" s="4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4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4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4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</row>
    <row r="424" spans="7:181" ht="15" x14ac:dyDescent="0.25">
      <c r="G424" s="2"/>
      <c r="H424" s="2"/>
      <c r="I424" s="2"/>
      <c r="J424" s="2"/>
      <c r="K424" s="2"/>
      <c r="L424" s="3"/>
      <c r="M424" s="3"/>
      <c r="N424" s="3"/>
      <c r="O424" s="3"/>
      <c r="P424" s="3"/>
      <c r="Q424" s="3"/>
      <c r="R424" s="3"/>
      <c r="S424" s="3"/>
      <c r="T424" s="3"/>
      <c r="U424" s="4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4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4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4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</row>
    <row r="425" spans="7:181" ht="15" x14ac:dyDescent="0.25">
      <c r="G425" s="2"/>
      <c r="H425" s="2"/>
      <c r="I425" s="2"/>
      <c r="J425" s="2"/>
      <c r="K425" s="2"/>
      <c r="L425" s="3"/>
      <c r="M425" s="3"/>
      <c r="N425" s="3"/>
      <c r="O425" s="3"/>
      <c r="P425" s="3"/>
      <c r="Q425" s="3"/>
      <c r="R425" s="3"/>
      <c r="S425" s="3"/>
      <c r="T425" s="3"/>
      <c r="U425" s="4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4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4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4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</row>
    <row r="426" spans="7:181" ht="15" x14ac:dyDescent="0.25">
      <c r="G426" s="2"/>
      <c r="H426" s="2"/>
      <c r="I426" s="2"/>
      <c r="J426" s="2"/>
      <c r="K426" s="2"/>
      <c r="L426" s="3"/>
      <c r="M426" s="3"/>
      <c r="N426" s="3"/>
      <c r="O426" s="3"/>
      <c r="P426" s="3"/>
      <c r="Q426" s="3"/>
      <c r="R426" s="3"/>
      <c r="S426" s="3"/>
      <c r="T426" s="3"/>
      <c r="U426" s="4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4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4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4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</row>
    <row r="427" spans="7:181" ht="15" x14ac:dyDescent="0.25">
      <c r="G427" s="2"/>
      <c r="H427" s="2"/>
      <c r="I427" s="2"/>
      <c r="J427" s="2"/>
      <c r="K427" s="2"/>
      <c r="L427" s="3"/>
      <c r="M427" s="3"/>
      <c r="N427" s="3"/>
      <c r="O427" s="3"/>
      <c r="P427" s="3"/>
      <c r="Q427" s="3"/>
      <c r="R427" s="3"/>
      <c r="S427" s="3"/>
      <c r="T427" s="3"/>
      <c r="U427" s="4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4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4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4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</row>
    <row r="428" spans="7:181" ht="15" x14ac:dyDescent="0.25">
      <c r="G428" s="2"/>
      <c r="H428" s="2"/>
      <c r="I428" s="2"/>
      <c r="J428" s="2"/>
      <c r="K428" s="2"/>
      <c r="L428" s="3"/>
      <c r="M428" s="3"/>
      <c r="N428" s="3"/>
      <c r="O428" s="3"/>
      <c r="P428" s="3"/>
      <c r="Q428" s="3"/>
      <c r="R428" s="3"/>
      <c r="S428" s="3"/>
      <c r="T428" s="3"/>
      <c r="U428" s="4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4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4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4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</row>
    <row r="429" spans="7:181" ht="15" x14ac:dyDescent="0.25">
      <c r="G429" s="2"/>
      <c r="H429" s="2"/>
      <c r="I429" s="2"/>
      <c r="J429" s="2"/>
      <c r="K429" s="2"/>
      <c r="L429" s="3"/>
      <c r="M429" s="3"/>
      <c r="N429" s="3"/>
      <c r="O429" s="3"/>
      <c r="P429" s="3"/>
      <c r="Q429" s="3"/>
      <c r="R429" s="3"/>
      <c r="S429" s="3"/>
      <c r="T429" s="3"/>
      <c r="U429" s="4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4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4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4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</row>
    <row r="430" spans="7:181" ht="15" x14ac:dyDescent="0.25">
      <c r="G430" s="2"/>
      <c r="H430" s="2"/>
      <c r="I430" s="2"/>
      <c r="J430" s="2"/>
      <c r="K430" s="2"/>
      <c r="L430" s="3"/>
      <c r="M430" s="3"/>
      <c r="N430" s="3"/>
      <c r="O430" s="3"/>
      <c r="P430" s="3"/>
      <c r="Q430" s="3"/>
      <c r="R430" s="3"/>
      <c r="S430" s="3"/>
      <c r="T430" s="3"/>
      <c r="U430" s="4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4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4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4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</row>
    <row r="431" spans="7:181" ht="15" x14ac:dyDescent="0.25">
      <c r="G431" s="2"/>
      <c r="H431" s="2"/>
      <c r="I431" s="2"/>
      <c r="J431" s="2"/>
      <c r="K431" s="2"/>
      <c r="L431" s="3"/>
      <c r="M431" s="3"/>
      <c r="N431" s="3"/>
      <c r="O431" s="3"/>
      <c r="P431" s="3"/>
      <c r="Q431" s="3"/>
      <c r="R431" s="3"/>
      <c r="S431" s="3"/>
      <c r="T431" s="3"/>
      <c r="U431" s="4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4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4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4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</row>
    <row r="432" spans="7:181" ht="15" x14ac:dyDescent="0.25">
      <c r="G432" s="2"/>
      <c r="H432" s="2"/>
      <c r="I432" s="2"/>
      <c r="J432" s="2"/>
      <c r="K432" s="2"/>
      <c r="L432" s="3"/>
      <c r="M432" s="3"/>
      <c r="N432" s="3"/>
      <c r="O432" s="3"/>
      <c r="P432" s="3"/>
      <c r="Q432" s="3"/>
      <c r="R432" s="3"/>
      <c r="S432" s="3"/>
      <c r="T432" s="3"/>
      <c r="U432" s="4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4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4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4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</row>
    <row r="433" spans="7:181" ht="15" x14ac:dyDescent="0.25">
      <c r="G433" s="2"/>
      <c r="H433" s="2"/>
      <c r="I433" s="2"/>
      <c r="J433" s="2"/>
      <c r="K433" s="2"/>
      <c r="L433" s="3"/>
      <c r="M433" s="3"/>
      <c r="N433" s="3"/>
      <c r="O433" s="3"/>
      <c r="P433" s="3"/>
      <c r="Q433" s="3"/>
      <c r="R433" s="3"/>
      <c r="S433" s="3"/>
      <c r="T433" s="3"/>
      <c r="U433" s="4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4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4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4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</row>
    <row r="434" spans="7:181" ht="15" x14ac:dyDescent="0.25">
      <c r="G434" s="2"/>
      <c r="H434" s="2"/>
      <c r="I434" s="2"/>
      <c r="J434" s="2"/>
      <c r="K434" s="2"/>
      <c r="L434" s="3"/>
      <c r="M434" s="3"/>
      <c r="N434" s="3"/>
      <c r="O434" s="3"/>
      <c r="P434" s="3"/>
      <c r="Q434" s="3"/>
      <c r="R434" s="3"/>
      <c r="S434" s="3"/>
      <c r="T434" s="3"/>
      <c r="U434" s="4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4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4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4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</row>
    <row r="435" spans="7:181" ht="15" x14ac:dyDescent="0.25">
      <c r="G435" s="2"/>
      <c r="H435" s="2"/>
      <c r="I435" s="2"/>
      <c r="J435" s="2"/>
      <c r="K435" s="2"/>
      <c r="L435" s="3"/>
      <c r="M435" s="3"/>
      <c r="N435" s="3"/>
      <c r="O435" s="3"/>
      <c r="P435" s="3"/>
      <c r="Q435" s="3"/>
      <c r="R435" s="3"/>
      <c r="S435" s="3"/>
      <c r="T435" s="3"/>
      <c r="U435" s="4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4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4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4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</row>
    <row r="436" spans="7:181" ht="15" x14ac:dyDescent="0.25">
      <c r="G436" s="2"/>
      <c r="H436" s="2"/>
      <c r="I436" s="2"/>
      <c r="J436" s="2"/>
      <c r="K436" s="2"/>
      <c r="L436" s="3"/>
      <c r="M436" s="3"/>
      <c r="N436" s="3"/>
      <c r="O436" s="3"/>
      <c r="P436" s="3"/>
      <c r="Q436" s="3"/>
      <c r="R436" s="3"/>
      <c r="S436" s="3"/>
      <c r="T436" s="3"/>
      <c r="U436" s="4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4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4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4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</row>
    <row r="437" spans="7:181" ht="15" x14ac:dyDescent="0.25">
      <c r="G437" s="2"/>
      <c r="H437" s="2"/>
      <c r="I437" s="2"/>
      <c r="J437" s="2"/>
      <c r="K437" s="2"/>
      <c r="L437" s="3"/>
      <c r="M437" s="3"/>
      <c r="N437" s="3"/>
      <c r="O437" s="3"/>
      <c r="P437" s="3"/>
      <c r="Q437" s="3"/>
      <c r="R437" s="3"/>
      <c r="S437" s="3"/>
      <c r="T437" s="3"/>
      <c r="U437" s="4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4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4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4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</row>
    <row r="438" spans="7:181" ht="15" x14ac:dyDescent="0.25">
      <c r="G438" s="2"/>
      <c r="H438" s="2"/>
      <c r="I438" s="2"/>
      <c r="J438" s="2"/>
      <c r="K438" s="2"/>
      <c r="L438" s="3"/>
      <c r="M438" s="3"/>
      <c r="N438" s="3"/>
      <c r="O438" s="3"/>
      <c r="P438" s="3"/>
      <c r="Q438" s="3"/>
      <c r="R438" s="3"/>
      <c r="S438" s="3"/>
      <c r="T438" s="3"/>
      <c r="U438" s="4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4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4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4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</row>
    <row r="439" spans="7:181" ht="15" x14ac:dyDescent="0.25">
      <c r="G439" s="2"/>
      <c r="H439" s="2"/>
      <c r="I439" s="2"/>
      <c r="J439" s="2"/>
      <c r="K439" s="2"/>
      <c r="L439" s="3"/>
      <c r="M439" s="3"/>
      <c r="N439" s="3"/>
      <c r="O439" s="3"/>
      <c r="P439" s="3"/>
      <c r="Q439" s="3"/>
      <c r="R439" s="3"/>
      <c r="S439" s="3"/>
      <c r="T439" s="3"/>
      <c r="U439" s="4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4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4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4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</row>
    <row r="440" spans="7:181" ht="15" x14ac:dyDescent="0.25">
      <c r="G440" s="2"/>
      <c r="H440" s="2"/>
      <c r="I440" s="2"/>
      <c r="J440" s="2"/>
      <c r="K440" s="2"/>
      <c r="L440" s="3"/>
      <c r="M440" s="3"/>
      <c r="N440" s="3"/>
      <c r="O440" s="3"/>
      <c r="P440" s="3"/>
      <c r="Q440" s="3"/>
      <c r="R440" s="3"/>
      <c r="S440" s="3"/>
      <c r="T440" s="3"/>
      <c r="U440" s="4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4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4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4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</row>
    <row r="441" spans="7:181" ht="15" x14ac:dyDescent="0.25">
      <c r="G441" s="2"/>
      <c r="H441" s="2"/>
      <c r="I441" s="2"/>
      <c r="J441" s="2"/>
      <c r="K441" s="2"/>
      <c r="L441" s="3"/>
      <c r="M441" s="3"/>
      <c r="N441" s="3"/>
      <c r="O441" s="3"/>
      <c r="P441" s="3"/>
      <c r="Q441" s="3"/>
      <c r="R441" s="3"/>
      <c r="S441" s="3"/>
      <c r="T441" s="3"/>
      <c r="U441" s="4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4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4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4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</row>
    <row r="442" spans="7:181" ht="15" x14ac:dyDescent="0.25">
      <c r="G442" s="2"/>
      <c r="H442" s="2"/>
      <c r="I442" s="2"/>
      <c r="J442" s="2"/>
      <c r="K442" s="2"/>
      <c r="L442" s="3"/>
      <c r="M442" s="3"/>
      <c r="N442" s="3"/>
      <c r="O442" s="3"/>
      <c r="P442" s="3"/>
      <c r="Q442" s="3"/>
      <c r="R442" s="3"/>
      <c r="S442" s="3"/>
      <c r="T442" s="3"/>
      <c r="U442" s="4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4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4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4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</row>
    <row r="443" spans="7:181" ht="15" x14ac:dyDescent="0.25">
      <c r="G443" s="2"/>
      <c r="H443" s="2"/>
      <c r="I443" s="2"/>
      <c r="J443" s="2"/>
      <c r="K443" s="2"/>
      <c r="L443" s="3"/>
      <c r="M443" s="3"/>
      <c r="N443" s="3"/>
      <c r="O443" s="3"/>
      <c r="P443" s="3"/>
      <c r="Q443" s="3"/>
      <c r="R443" s="3"/>
      <c r="S443" s="3"/>
      <c r="T443" s="3"/>
      <c r="U443" s="4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4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4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4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</row>
    <row r="444" spans="7:181" ht="15" x14ac:dyDescent="0.25">
      <c r="G444" s="2"/>
      <c r="H444" s="2"/>
      <c r="I444" s="2"/>
      <c r="J444" s="2"/>
      <c r="K444" s="2"/>
      <c r="L444" s="3"/>
      <c r="M444" s="3"/>
      <c r="N444" s="3"/>
      <c r="O444" s="3"/>
      <c r="P444" s="3"/>
      <c r="Q444" s="3"/>
      <c r="R444" s="3"/>
      <c r="S444" s="3"/>
      <c r="T444" s="3"/>
      <c r="U444" s="4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4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4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4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</row>
    <row r="445" spans="7:181" ht="15" x14ac:dyDescent="0.25">
      <c r="G445" s="2"/>
      <c r="H445" s="2"/>
      <c r="I445" s="2"/>
      <c r="J445" s="2"/>
      <c r="K445" s="2"/>
      <c r="L445" s="3"/>
      <c r="M445" s="3"/>
      <c r="N445" s="3"/>
      <c r="O445" s="3"/>
      <c r="P445" s="3"/>
      <c r="Q445" s="3"/>
      <c r="R445" s="3"/>
      <c r="S445" s="3"/>
      <c r="T445" s="3"/>
      <c r="U445" s="4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4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4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4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</row>
    <row r="446" spans="7:181" ht="15" x14ac:dyDescent="0.25">
      <c r="G446" s="2"/>
      <c r="H446" s="2"/>
      <c r="I446" s="2"/>
      <c r="J446" s="2"/>
      <c r="K446" s="2"/>
      <c r="L446" s="3"/>
      <c r="M446" s="3"/>
      <c r="N446" s="3"/>
      <c r="O446" s="3"/>
      <c r="P446" s="3"/>
      <c r="Q446" s="3"/>
      <c r="R446" s="3"/>
      <c r="S446" s="3"/>
      <c r="T446" s="3"/>
      <c r="U446" s="4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4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4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4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</row>
    <row r="447" spans="7:181" ht="15" x14ac:dyDescent="0.25">
      <c r="G447" s="2"/>
      <c r="H447" s="2"/>
      <c r="I447" s="2"/>
      <c r="J447" s="2"/>
      <c r="K447" s="2"/>
      <c r="L447" s="3"/>
      <c r="M447" s="3"/>
      <c r="N447" s="3"/>
      <c r="O447" s="3"/>
      <c r="P447" s="3"/>
      <c r="Q447" s="3"/>
      <c r="R447" s="3"/>
      <c r="S447" s="3"/>
      <c r="T447" s="3"/>
      <c r="U447" s="4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4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4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4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</row>
    <row r="448" spans="7:181" ht="15" x14ac:dyDescent="0.25">
      <c r="G448" s="2"/>
      <c r="H448" s="2"/>
      <c r="I448" s="2"/>
      <c r="J448" s="2"/>
      <c r="K448" s="2"/>
      <c r="L448" s="3"/>
      <c r="M448" s="3"/>
      <c r="N448" s="3"/>
      <c r="O448" s="3"/>
      <c r="P448" s="3"/>
      <c r="Q448" s="3"/>
      <c r="R448" s="3"/>
      <c r="S448" s="3"/>
      <c r="T448" s="3"/>
      <c r="U448" s="4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4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4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4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</row>
    <row r="449" spans="7:181" ht="15" x14ac:dyDescent="0.25">
      <c r="G449" s="2"/>
      <c r="H449" s="2"/>
      <c r="I449" s="2"/>
      <c r="J449" s="2"/>
      <c r="K449" s="2"/>
      <c r="L449" s="3"/>
      <c r="M449" s="3"/>
      <c r="N449" s="3"/>
      <c r="O449" s="3"/>
      <c r="P449" s="3"/>
      <c r="Q449" s="3"/>
      <c r="R449" s="3"/>
      <c r="S449" s="3"/>
      <c r="T449" s="3"/>
      <c r="U449" s="4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4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4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4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</row>
    <row r="450" spans="7:181" ht="15" x14ac:dyDescent="0.25">
      <c r="G450" s="2"/>
      <c r="H450" s="2"/>
      <c r="I450" s="2"/>
      <c r="J450" s="2"/>
      <c r="K450" s="2"/>
      <c r="L450" s="3"/>
      <c r="M450" s="3"/>
      <c r="N450" s="3"/>
      <c r="O450" s="3"/>
      <c r="P450" s="3"/>
      <c r="Q450" s="3"/>
      <c r="R450" s="3"/>
      <c r="S450" s="3"/>
      <c r="T450" s="3"/>
      <c r="U450" s="4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4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4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4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</row>
    <row r="451" spans="7:181" ht="15" x14ac:dyDescent="0.25">
      <c r="G451" s="2"/>
      <c r="H451" s="2"/>
      <c r="I451" s="2"/>
      <c r="J451" s="2"/>
      <c r="K451" s="2"/>
      <c r="L451" s="3"/>
      <c r="M451" s="3"/>
      <c r="N451" s="3"/>
      <c r="O451" s="3"/>
      <c r="P451" s="3"/>
      <c r="Q451" s="3"/>
      <c r="R451" s="3"/>
      <c r="S451" s="3"/>
      <c r="T451" s="3"/>
      <c r="U451" s="4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4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4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4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</row>
    <row r="452" spans="7:181" ht="15" x14ac:dyDescent="0.25">
      <c r="G452" s="2"/>
      <c r="H452" s="2"/>
      <c r="I452" s="2"/>
      <c r="J452" s="2"/>
      <c r="K452" s="2"/>
      <c r="L452" s="3"/>
      <c r="M452" s="3"/>
      <c r="N452" s="3"/>
      <c r="O452" s="3"/>
      <c r="P452" s="3"/>
      <c r="Q452" s="3"/>
      <c r="R452" s="3"/>
      <c r="S452" s="3"/>
      <c r="T452" s="3"/>
      <c r="U452" s="4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4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4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4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</row>
    <row r="453" spans="7:181" ht="15" x14ac:dyDescent="0.25">
      <c r="G453" s="2"/>
      <c r="H453" s="2"/>
      <c r="I453" s="2"/>
      <c r="J453" s="2"/>
      <c r="K453" s="2"/>
      <c r="L453" s="3"/>
      <c r="M453" s="3"/>
      <c r="N453" s="3"/>
      <c r="O453" s="3"/>
      <c r="P453" s="3"/>
      <c r="Q453" s="3"/>
      <c r="R453" s="3"/>
      <c r="S453" s="3"/>
      <c r="T453" s="3"/>
      <c r="U453" s="4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4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4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4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</row>
    <row r="454" spans="7:181" ht="15" x14ac:dyDescent="0.25">
      <c r="G454" s="2"/>
      <c r="H454" s="2"/>
      <c r="I454" s="2"/>
      <c r="J454" s="2"/>
      <c r="K454" s="2"/>
      <c r="L454" s="3"/>
      <c r="M454" s="3"/>
      <c r="N454" s="3"/>
      <c r="O454" s="3"/>
      <c r="P454" s="3"/>
      <c r="Q454" s="3"/>
      <c r="R454" s="3"/>
      <c r="S454" s="3"/>
      <c r="T454" s="3"/>
      <c r="U454" s="4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4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4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4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</row>
    <row r="455" spans="7:181" ht="15" x14ac:dyDescent="0.25">
      <c r="G455" s="2"/>
      <c r="H455" s="2"/>
      <c r="I455" s="2"/>
      <c r="J455" s="2"/>
      <c r="K455" s="2"/>
      <c r="L455" s="3"/>
      <c r="M455" s="3"/>
      <c r="N455" s="3"/>
      <c r="O455" s="3"/>
      <c r="P455" s="3"/>
      <c r="Q455" s="3"/>
      <c r="R455" s="3"/>
      <c r="S455" s="3"/>
      <c r="T455" s="3"/>
      <c r="U455" s="4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4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4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4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</row>
    <row r="456" spans="7:181" ht="15" x14ac:dyDescent="0.25">
      <c r="G456" s="2"/>
      <c r="H456" s="2"/>
      <c r="I456" s="2"/>
      <c r="J456" s="2"/>
      <c r="K456" s="2"/>
      <c r="L456" s="3"/>
      <c r="M456" s="3"/>
      <c r="N456" s="3"/>
      <c r="O456" s="3"/>
      <c r="P456" s="3"/>
      <c r="Q456" s="3"/>
      <c r="R456" s="3"/>
      <c r="S456" s="3"/>
      <c r="T456" s="3"/>
      <c r="U456" s="4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4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4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4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</row>
    <row r="457" spans="7:181" ht="15" x14ac:dyDescent="0.25">
      <c r="G457" s="2"/>
      <c r="H457" s="2"/>
      <c r="I457" s="2"/>
      <c r="J457" s="2"/>
      <c r="K457" s="2"/>
      <c r="L457" s="3"/>
      <c r="M457" s="3"/>
      <c r="N457" s="3"/>
      <c r="O457" s="3"/>
      <c r="P457" s="3"/>
      <c r="Q457" s="3"/>
      <c r="R457" s="3"/>
      <c r="S457" s="3"/>
      <c r="T457" s="3"/>
      <c r="U457" s="4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4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4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4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</row>
    <row r="458" spans="7:181" ht="15" x14ac:dyDescent="0.25">
      <c r="G458" s="2"/>
      <c r="H458" s="2"/>
      <c r="I458" s="2"/>
      <c r="J458" s="2"/>
      <c r="K458" s="2"/>
      <c r="L458" s="3"/>
      <c r="M458" s="3"/>
      <c r="N458" s="3"/>
      <c r="O458" s="3"/>
      <c r="P458" s="3"/>
      <c r="Q458" s="3"/>
      <c r="R458" s="3"/>
      <c r="S458" s="3"/>
      <c r="T458" s="3"/>
      <c r="U458" s="4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4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4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4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</row>
    <row r="459" spans="7:181" ht="15" x14ac:dyDescent="0.25">
      <c r="G459" s="2"/>
      <c r="H459" s="2"/>
      <c r="I459" s="2"/>
      <c r="J459" s="2"/>
      <c r="K459" s="2"/>
      <c r="L459" s="3"/>
      <c r="M459" s="3"/>
      <c r="N459" s="3"/>
      <c r="O459" s="3"/>
      <c r="P459" s="3"/>
      <c r="Q459" s="3"/>
      <c r="R459" s="3"/>
      <c r="S459" s="3"/>
      <c r="T459" s="3"/>
      <c r="U459" s="4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4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4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4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</row>
    <row r="460" spans="7:181" ht="15" x14ac:dyDescent="0.25">
      <c r="G460" s="2"/>
      <c r="H460" s="2"/>
      <c r="I460" s="2"/>
      <c r="J460" s="2"/>
      <c r="K460" s="2"/>
      <c r="L460" s="3"/>
      <c r="M460" s="3"/>
      <c r="N460" s="3"/>
      <c r="O460" s="3"/>
      <c r="P460" s="3"/>
      <c r="Q460" s="3"/>
      <c r="R460" s="3"/>
      <c r="S460" s="3"/>
      <c r="T460" s="3"/>
      <c r="U460" s="4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4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4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4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</row>
    <row r="461" spans="7:181" ht="15" x14ac:dyDescent="0.25">
      <c r="G461" s="2"/>
      <c r="H461" s="2"/>
      <c r="I461" s="2"/>
      <c r="J461" s="2"/>
      <c r="K461" s="2"/>
      <c r="L461" s="3"/>
      <c r="M461" s="3"/>
      <c r="N461" s="3"/>
      <c r="O461" s="3"/>
      <c r="P461" s="3"/>
      <c r="Q461" s="3"/>
      <c r="R461" s="3"/>
      <c r="S461" s="3"/>
      <c r="T461" s="3"/>
      <c r="U461" s="4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4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4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4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</row>
    <row r="462" spans="7:181" ht="15" x14ac:dyDescent="0.25">
      <c r="G462" s="2"/>
      <c r="H462" s="2"/>
      <c r="I462" s="2"/>
      <c r="J462" s="2"/>
      <c r="K462" s="2"/>
      <c r="L462" s="3"/>
      <c r="M462" s="3"/>
      <c r="N462" s="3"/>
      <c r="O462" s="3"/>
      <c r="P462" s="3"/>
      <c r="Q462" s="3"/>
      <c r="R462" s="3"/>
      <c r="S462" s="3"/>
      <c r="T462" s="3"/>
      <c r="U462" s="4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4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4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4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</row>
    <row r="463" spans="7:181" ht="15" x14ac:dyDescent="0.25">
      <c r="G463" s="2"/>
      <c r="H463" s="2"/>
      <c r="I463" s="2"/>
      <c r="J463" s="2"/>
      <c r="K463" s="2"/>
      <c r="L463" s="3"/>
      <c r="M463" s="3"/>
      <c r="N463" s="3"/>
      <c r="O463" s="3"/>
      <c r="P463" s="3"/>
      <c r="Q463" s="3"/>
      <c r="R463" s="3"/>
      <c r="S463" s="3"/>
      <c r="T463" s="3"/>
      <c r="U463" s="4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4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4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4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</row>
    <row r="464" spans="7:181" ht="15" x14ac:dyDescent="0.25">
      <c r="G464" s="2"/>
      <c r="H464" s="2"/>
      <c r="I464" s="2"/>
      <c r="J464" s="2"/>
      <c r="K464" s="2"/>
      <c r="L464" s="3"/>
      <c r="M464" s="3"/>
      <c r="N464" s="3"/>
      <c r="O464" s="3"/>
      <c r="P464" s="3"/>
      <c r="Q464" s="3"/>
      <c r="R464" s="3"/>
      <c r="S464" s="3"/>
      <c r="T464" s="3"/>
      <c r="U464" s="4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4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4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4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</row>
    <row r="465" spans="7:181" ht="15" x14ac:dyDescent="0.25">
      <c r="G465" s="2"/>
      <c r="H465" s="2"/>
      <c r="I465" s="2"/>
      <c r="J465" s="2"/>
      <c r="K465" s="2"/>
      <c r="L465" s="3"/>
      <c r="M465" s="3"/>
      <c r="N465" s="3"/>
      <c r="O465" s="3"/>
      <c r="P465" s="3"/>
      <c r="Q465" s="3"/>
      <c r="R465" s="3"/>
      <c r="S465" s="3"/>
      <c r="T465" s="3"/>
      <c r="U465" s="4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4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4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4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</row>
    <row r="466" spans="7:181" ht="15" x14ac:dyDescent="0.25">
      <c r="G466" s="2"/>
      <c r="H466" s="2"/>
      <c r="I466" s="2"/>
      <c r="J466" s="2"/>
      <c r="K466" s="2"/>
      <c r="L466" s="3"/>
      <c r="M466" s="3"/>
      <c r="N466" s="3"/>
      <c r="O466" s="3"/>
      <c r="P466" s="3"/>
      <c r="Q466" s="3"/>
      <c r="R466" s="3"/>
      <c r="S466" s="3"/>
      <c r="T466" s="3"/>
      <c r="U466" s="4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4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4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4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</row>
    <row r="467" spans="7:181" ht="15" x14ac:dyDescent="0.25">
      <c r="G467" s="2"/>
      <c r="H467" s="2"/>
      <c r="I467" s="2"/>
      <c r="J467" s="2"/>
      <c r="K467" s="2"/>
      <c r="L467" s="3"/>
      <c r="M467" s="3"/>
      <c r="N467" s="3"/>
      <c r="O467" s="3"/>
      <c r="P467" s="3"/>
      <c r="Q467" s="3"/>
      <c r="R467" s="3"/>
      <c r="S467" s="3"/>
      <c r="T467" s="3"/>
      <c r="U467" s="4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4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4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4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</row>
    <row r="468" spans="7:181" ht="15" x14ac:dyDescent="0.25">
      <c r="G468" s="2"/>
      <c r="H468" s="2"/>
      <c r="I468" s="2"/>
      <c r="J468" s="2"/>
      <c r="K468" s="2"/>
      <c r="L468" s="3"/>
      <c r="M468" s="3"/>
      <c r="N468" s="3"/>
      <c r="O468" s="3"/>
      <c r="P468" s="3"/>
      <c r="Q468" s="3"/>
      <c r="R468" s="3"/>
      <c r="S468" s="3"/>
      <c r="T468" s="3"/>
      <c r="U468" s="4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4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4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4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</row>
    <row r="469" spans="7:181" ht="15" x14ac:dyDescent="0.25">
      <c r="G469" s="2"/>
      <c r="H469" s="2"/>
      <c r="I469" s="2"/>
      <c r="J469" s="2"/>
      <c r="K469" s="2"/>
      <c r="L469" s="3"/>
      <c r="M469" s="3"/>
      <c r="N469" s="3"/>
      <c r="O469" s="3"/>
      <c r="P469" s="3"/>
      <c r="Q469" s="3"/>
      <c r="R469" s="3"/>
      <c r="S469" s="3"/>
      <c r="T469" s="3"/>
      <c r="U469" s="4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4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4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4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</row>
    <row r="470" spans="7:181" ht="15" x14ac:dyDescent="0.25">
      <c r="G470" s="2"/>
      <c r="H470" s="2"/>
      <c r="I470" s="2"/>
      <c r="J470" s="2"/>
      <c r="K470" s="2"/>
      <c r="L470" s="3"/>
      <c r="M470" s="3"/>
      <c r="N470" s="3"/>
      <c r="O470" s="3"/>
      <c r="P470" s="3"/>
      <c r="Q470" s="3"/>
      <c r="R470" s="3"/>
      <c r="S470" s="3"/>
      <c r="T470" s="3"/>
      <c r="U470" s="4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4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4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4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</row>
    <row r="471" spans="7:181" ht="15" x14ac:dyDescent="0.25">
      <c r="G471" s="2"/>
      <c r="H471" s="2"/>
      <c r="I471" s="2"/>
      <c r="J471" s="2"/>
      <c r="K471" s="2"/>
      <c r="L471" s="3"/>
      <c r="M471" s="3"/>
      <c r="N471" s="3"/>
      <c r="O471" s="3"/>
      <c r="P471" s="3"/>
      <c r="Q471" s="3"/>
      <c r="R471" s="3"/>
      <c r="S471" s="3"/>
      <c r="T471" s="3"/>
      <c r="U471" s="4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4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4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4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</row>
    <row r="472" spans="7:181" ht="15" x14ac:dyDescent="0.25">
      <c r="G472" s="2"/>
      <c r="H472" s="2"/>
      <c r="I472" s="2"/>
      <c r="J472" s="2"/>
      <c r="K472" s="2"/>
      <c r="L472" s="3"/>
      <c r="M472" s="3"/>
      <c r="N472" s="3"/>
      <c r="O472" s="3"/>
      <c r="P472" s="3"/>
      <c r="Q472" s="3"/>
      <c r="R472" s="3"/>
      <c r="S472" s="3"/>
      <c r="T472" s="3"/>
      <c r="U472" s="4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4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4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4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</row>
    <row r="473" spans="7:181" ht="15" x14ac:dyDescent="0.25">
      <c r="G473" s="2"/>
      <c r="H473" s="2"/>
      <c r="I473" s="2"/>
      <c r="J473" s="2"/>
      <c r="K473" s="2"/>
      <c r="L473" s="3"/>
      <c r="M473" s="3"/>
      <c r="N473" s="3"/>
      <c r="O473" s="3"/>
      <c r="P473" s="3"/>
      <c r="Q473" s="3"/>
      <c r="R473" s="3"/>
      <c r="S473" s="3"/>
      <c r="T473" s="3"/>
      <c r="U473" s="4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4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4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4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</row>
    <row r="474" spans="7:181" ht="15" x14ac:dyDescent="0.25">
      <c r="G474" s="2"/>
      <c r="H474" s="2"/>
      <c r="I474" s="2"/>
      <c r="J474" s="2"/>
      <c r="K474" s="2"/>
      <c r="L474" s="3"/>
      <c r="M474" s="3"/>
      <c r="N474" s="3"/>
      <c r="O474" s="3"/>
      <c r="P474" s="3"/>
      <c r="Q474" s="3"/>
      <c r="R474" s="3"/>
      <c r="S474" s="3"/>
      <c r="T474" s="3"/>
      <c r="U474" s="4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4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4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4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</row>
    <row r="475" spans="7:181" ht="15" x14ac:dyDescent="0.25">
      <c r="G475" s="2"/>
      <c r="H475" s="2"/>
      <c r="I475" s="2"/>
      <c r="J475" s="2"/>
      <c r="K475" s="2"/>
      <c r="L475" s="3"/>
      <c r="M475" s="3"/>
      <c r="N475" s="3"/>
      <c r="O475" s="3"/>
      <c r="P475" s="3"/>
      <c r="Q475" s="3"/>
      <c r="R475" s="3"/>
      <c r="S475" s="3"/>
      <c r="T475" s="3"/>
      <c r="U475" s="4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4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4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4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</row>
    <row r="476" spans="7:181" ht="15" x14ac:dyDescent="0.25">
      <c r="G476" s="2"/>
      <c r="H476" s="2"/>
      <c r="I476" s="2"/>
      <c r="J476" s="2"/>
      <c r="K476" s="2"/>
      <c r="L476" s="3"/>
      <c r="M476" s="3"/>
      <c r="N476" s="3"/>
      <c r="O476" s="3"/>
      <c r="P476" s="3"/>
      <c r="Q476" s="3"/>
      <c r="R476" s="3"/>
      <c r="S476" s="3"/>
      <c r="T476" s="3"/>
      <c r="U476" s="4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4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4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4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</row>
    <row r="477" spans="7:181" ht="15" x14ac:dyDescent="0.25">
      <c r="G477" s="2"/>
      <c r="H477" s="2"/>
      <c r="I477" s="2"/>
      <c r="J477" s="2"/>
      <c r="K477" s="2"/>
      <c r="L477" s="3"/>
      <c r="M477" s="3"/>
      <c r="N477" s="3"/>
      <c r="O477" s="3"/>
      <c r="P477" s="3"/>
      <c r="Q477" s="3"/>
      <c r="R477" s="3"/>
      <c r="S477" s="3"/>
      <c r="T477" s="3"/>
      <c r="U477" s="4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4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4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4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</row>
    <row r="478" spans="7:181" ht="15" x14ac:dyDescent="0.25">
      <c r="G478" s="2"/>
      <c r="H478" s="2"/>
      <c r="I478" s="2"/>
      <c r="J478" s="2"/>
      <c r="K478" s="2"/>
      <c r="L478" s="3"/>
      <c r="M478" s="3"/>
      <c r="N478" s="3"/>
      <c r="O478" s="3"/>
      <c r="P478" s="3"/>
      <c r="Q478" s="3"/>
      <c r="R478" s="3"/>
      <c r="S478" s="3"/>
      <c r="T478" s="3"/>
      <c r="U478" s="4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4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4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4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</row>
    <row r="479" spans="7:181" ht="15" x14ac:dyDescent="0.25">
      <c r="G479" s="2"/>
      <c r="H479" s="2"/>
      <c r="I479" s="2"/>
      <c r="J479" s="2"/>
      <c r="K479" s="2"/>
      <c r="L479" s="3"/>
      <c r="M479" s="3"/>
      <c r="N479" s="3"/>
      <c r="O479" s="3"/>
      <c r="P479" s="3"/>
      <c r="Q479" s="3"/>
      <c r="R479" s="3"/>
      <c r="S479" s="3"/>
      <c r="T479" s="3"/>
      <c r="U479" s="4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4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4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4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</row>
    <row r="480" spans="7:181" ht="15" x14ac:dyDescent="0.25">
      <c r="G480" s="2"/>
      <c r="H480" s="2"/>
      <c r="I480" s="2"/>
      <c r="J480" s="2"/>
      <c r="K480" s="2"/>
      <c r="L480" s="3"/>
      <c r="M480" s="3"/>
      <c r="N480" s="3"/>
      <c r="O480" s="3"/>
      <c r="P480" s="3"/>
      <c r="Q480" s="3"/>
      <c r="R480" s="3"/>
      <c r="S480" s="3"/>
      <c r="T480" s="3"/>
      <c r="U480" s="4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4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4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4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</row>
    <row r="481" spans="7:181" ht="15" x14ac:dyDescent="0.25">
      <c r="G481" s="2"/>
      <c r="H481" s="2"/>
      <c r="I481" s="2"/>
      <c r="J481" s="2"/>
      <c r="K481" s="2"/>
      <c r="L481" s="3"/>
      <c r="M481" s="3"/>
      <c r="N481" s="3"/>
      <c r="O481" s="3"/>
      <c r="P481" s="3"/>
      <c r="Q481" s="3"/>
      <c r="R481" s="3"/>
      <c r="S481" s="3"/>
      <c r="T481" s="3"/>
      <c r="U481" s="4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4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4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4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</row>
    <row r="482" spans="7:181" ht="15" x14ac:dyDescent="0.25">
      <c r="G482" s="2"/>
      <c r="H482" s="2"/>
      <c r="I482" s="2"/>
      <c r="J482" s="2"/>
      <c r="K482" s="2"/>
      <c r="L482" s="3"/>
      <c r="M482" s="3"/>
      <c r="N482" s="3"/>
      <c r="O482" s="3"/>
      <c r="P482" s="3"/>
      <c r="Q482" s="3"/>
      <c r="R482" s="3"/>
      <c r="S482" s="3"/>
      <c r="T482" s="3"/>
      <c r="U482" s="4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4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4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4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</row>
    <row r="483" spans="7:181" ht="15" x14ac:dyDescent="0.25">
      <c r="G483" s="2"/>
      <c r="H483" s="2"/>
      <c r="I483" s="2"/>
      <c r="J483" s="2"/>
      <c r="K483" s="2"/>
      <c r="L483" s="3"/>
      <c r="M483" s="3"/>
      <c r="N483" s="3"/>
      <c r="O483" s="3"/>
      <c r="P483" s="3"/>
      <c r="Q483" s="3"/>
      <c r="R483" s="3"/>
      <c r="S483" s="3"/>
      <c r="T483" s="3"/>
      <c r="U483" s="4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4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4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4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</row>
    <row r="484" spans="7:181" ht="15" x14ac:dyDescent="0.25">
      <c r="G484" s="2"/>
      <c r="H484" s="2"/>
      <c r="I484" s="2"/>
      <c r="J484" s="2"/>
      <c r="K484" s="2"/>
      <c r="L484" s="3"/>
      <c r="M484" s="3"/>
      <c r="N484" s="3"/>
      <c r="O484" s="3"/>
      <c r="P484" s="3"/>
      <c r="Q484" s="3"/>
      <c r="R484" s="3"/>
      <c r="S484" s="3"/>
      <c r="T484" s="3"/>
      <c r="U484" s="4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4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4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4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</row>
    <row r="485" spans="7:181" ht="15" x14ac:dyDescent="0.25">
      <c r="G485" s="2"/>
      <c r="H485" s="2"/>
      <c r="I485" s="2"/>
      <c r="J485" s="2"/>
      <c r="K485" s="2"/>
      <c r="L485" s="3"/>
      <c r="M485" s="3"/>
      <c r="N485" s="3"/>
      <c r="O485" s="3"/>
      <c r="P485" s="3"/>
      <c r="Q485" s="3"/>
      <c r="R485" s="3"/>
      <c r="S485" s="3"/>
      <c r="T485" s="3"/>
      <c r="U485" s="4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4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4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4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</row>
    <row r="486" spans="7:181" ht="15" x14ac:dyDescent="0.25">
      <c r="G486" s="2"/>
      <c r="H486" s="2"/>
      <c r="I486" s="2"/>
      <c r="J486" s="2"/>
      <c r="K486" s="2"/>
      <c r="L486" s="3"/>
      <c r="M486" s="3"/>
      <c r="N486" s="3"/>
      <c r="O486" s="3"/>
      <c r="P486" s="3"/>
      <c r="Q486" s="3"/>
      <c r="R486" s="3"/>
      <c r="S486" s="3"/>
      <c r="T486" s="3"/>
      <c r="U486" s="4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4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4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4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</row>
    <row r="487" spans="7:181" ht="15" x14ac:dyDescent="0.25">
      <c r="G487" s="2"/>
      <c r="H487" s="2"/>
      <c r="I487" s="2"/>
      <c r="J487" s="2"/>
      <c r="K487" s="2"/>
      <c r="L487" s="3"/>
      <c r="M487" s="3"/>
      <c r="N487" s="3"/>
      <c r="O487" s="3"/>
      <c r="P487" s="3"/>
      <c r="Q487" s="3"/>
      <c r="R487" s="3"/>
      <c r="S487" s="3"/>
      <c r="T487" s="3"/>
      <c r="U487" s="4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4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4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4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</row>
    <row r="488" spans="7:181" ht="15" x14ac:dyDescent="0.25">
      <c r="G488" s="2"/>
      <c r="H488" s="2"/>
      <c r="I488" s="2"/>
      <c r="J488" s="2"/>
      <c r="K488" s="2"/>
      <c r="L488" s="3"/>
      <c r="M488" s="3"/>
      <c r="N488" s="3"/>
      <c r="O488" s="3"/>
      <c r="P488" s="3"/>
      <c r="Q488" s="3"/>
      <c r="R488" s="3"/>
      <c r="S488" s="3"/>
      <c r="T488" s="3"/>
      <c r="U488" s="4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4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4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4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</row>
    <row r="489" spans="7:181" ht="15" x14ac:dyDescent="0.25">
      <c r="G489" s="2"/>
      <c r="H489" s="2"/>
      <c r="I489" s="2"/>
      <c r="J489" s="2"/>
      <c r="K489" s="2"/>
      <c r="L489" s="3"/>
      <c r="M489" s="3"/>
      <c r="N489" s="3"/>
      <c r="O489" s="3"/>
      <c r="P489" s="3"/>
      <c r="Q489" s="3"/>
      <c r="R489" s="3"/>
      <c r="S489" s="3"/>
      <c r="T489" s="3"/>
      <c r="U489" s="4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4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4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4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</row>
    <row r="490" spans="7:181" ht="15" x14ac:dyDescent="0.25">
      <c r="G490" s="2"/>
      <c r="H490" s="2"/>
      <c r="I490" s="2"/>
      <c r="J490" s="2"/>
      <c r="K490" s="2"/>
      <c r="L490" s="3"/>
      <c r="M490" s="3"/>
      <c r="N490" s="3"/>
      <c r="O490" s="3"/>
      <c r="P490" s="3"/>
      <c r="Q490" s="3"/>
      <c r="R490" s="3"/>
      <c r="S490" s="3"/>
      <c r="T490" s="3"/>
      <c r="U490" s="4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4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4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4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</row>
    <row r="491" spans="7:181" ht="15" x14ac:dyDescent="0.25">
      <c r="G491" s="2"/>
      <c r="H491" s="2"/>
      <c r="I491" s="2"/>
      <c r="J491" s="2"/>
      <c r="K491" s="2"/>
      <c r="L491" s="3"/>
      <c r="M491" s="3"/>
      <c r="N491" s="3"/>
      <c r="O491" s="3"/>
      <c r="P491" s="3"/>
      <c r="Q491" s="3"/>
      <c r="R491" s="3"/>
      <c r="S491" s="3"/>
      <c r="T491" s="3"/>
      <c r="U491" s="4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4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4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4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</row>
    <row r="492" spans="7:181" ht="15" x14ac:dyDescent="0.25">
      <c r="G492" s="2"/>
      <c r="H492" s="2"/>
      <c r="I492" s="2"/>
      <c r="J492" s="2"/>
      <c r="K492" s="2"/>
      <c r="L492" s="3"/>
      <c r="M492" s="3"/>
      <c r="N492" s="3"/>
      <c r="O492" s="3"/>
      <c r="P492" s="3"/>
      <c r="Q492" s="3"/>
      <c r="R492" s="3"/>
      <c r="S492" s="3"/>
      <c r="T492" s="3"/>
      <c r="U492" s="4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4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4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4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</row>
    <row r="493" spans="7:181" ht="15" x14ac:dyDescent="0.25">
      <c r="G493" s="2"/>
      <c r="H493" s="2"/>
      <c r="I493" s="2"/>
      <c r="J493" s="2"/>
      <c r="K493" s="2"/>
      <c r="L493" s="3"/>
      <c r="M493" s="3"/>
      <c r="N493" s="3"/>
      <c r="O493" s="3"/>
      <c r="P493" s="3"/>
      <c r="Q493" s="3"/>
      <c r="R493" s="3"/>
      <c r="S493" s="3"/>
      <c r="T493" s="3"/>
      <c r="U493" s="4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4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4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4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</row>
    <row r="494" spans="7:181" ht="15" x14ac:dyDescent="0.25">
      <c r="G494" s="2"/>
      <c r="H494" s="2"/>
      <c r="I494" s="2"/>
      <c r="J494" s="2"/>
      <c r="K494" s="2"/>
      <c r="L494" s="3"/>
      <c r="M494" s="3"/>
      <c r="N494" s="3"/>
      <c r="O494" s="3"/>
      <c r="P494" s="3"/>
      <c r="Q494" s="3"/>
      <c r="R494" s="3"/>
      <c r="S494" s="3"/>
      <c r="T494" s="3"/>
      <c r="U494" s="4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4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4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4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</row>
    <row r="495" spans="7:181" ht="15" x14ac:dyDescent="0.25">
      <c r="G495" s="2"/>
      <c r="H495" s="2"/>
      <c r="I495" s="2"/>
      <c r="J495" s="2"/>
      <c r="K495" s="2"/>
      <c r="L495" s="3"/>
      <c r="M495" s="3"/>
      <c r="N495" s="3"/>
      <c r="O495" s="3"/>
      <c r="P495" s="3"/>
      <c r="Q495" s="3"/>
      <c r="R495" s="3"/>
      <c r="S495" s="3"/>
      <c r="T495" s="3"/>
      <c r="U495" s="4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4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4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4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</row>
    <row r="496" spans="7:181" ht="15" x14ac:dyDescent="0.25">
      <c r="G496" s="2"/>
      <c r="H496" s="2"/>
      <c r="I496" s="2"/>
      <c r="J496" s="2"/>
      <c r="K496" s="2"/>
      <c r="L496" s="3"/>
      <c r="M496" s="3"/>
      <c r="N496" s="3"/>
      <c r="O496" s="3"/>
      <c r="P496" s="3"/>
      <c r="Q496" s="3"/>
      <c r="R496" s="3"/>
      <c r="S496" s="3"/>
      <c r="T496" s="3"/>
      <c r="U496" s="4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4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4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4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</row>
    <row r="497" spans="7:181" ht="15" x14ac:dyDescent="0.25">
      <c r="G497" s="2"/>
      <c r="H497" s="2"/>
      <c r="I497" s="2"/>
      <c r="J497" s="2"/>
      <c r="K497" s="2"/>
      <c r="L497" s="3"/>
      <c r="M497" s="3"/>
      <c r="N497" s="3"/>
      <c r="O497" s="3"/>
      <c r="P497" s="3"/>
      <c r="Q497" s="3"/>
      <c r="R497" s="3"/>
      <c r="S497" s="3"/>
      <c r="T497" s="3"/>
      <c r="U497" s="4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4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4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4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</row>
    <row r="498" spans="7:181" ht="15" x14ac:dyDescent="0.25">
      <c r="G498" s="2"/>
      <c r="H498" s="2"/>
      <c r="I498" s="2"/>
      <c r="J498" s="2"/>
      <c r="K498" s="2"/>
      <c r="L498" s="3"/>
      <c r="M498" s="3"/>
      <c r="N498" s="3"/>
      <c r="O498" s="3"/>
      <c r="P498" s="3"/>
      <c r="Q498" s="3"/>
      <c r="R498" s="3"/>
      <c r="S498" s="3"/>
      <c r="T498" s="3"/>
      <c r="U498" s="4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4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4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4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</row>
    <row r="499" spans="7:181" ht="15" x14ac:dyDescent="0.25">
      <c r="G499" s="2"/>
      <c r="H499" s="2"/>
      <c r="I499" s="2"/>
      <c r="J499" s="2"/>
      <c r="K499" s="2"/>
      <c r="L499" s="3"/>
      <c r="M499" s="3"/>
      <c r="N499" s="3"/>
      <c r="O499" s="3"/>
      <c r="P499" s="3"/>
      <c r="Q499" s="3"/>
      <c r="R499" s="3"/>
      <c r="S499" s="3"/>
      <c r="T499" s="3"/>
      <c r="U499" s="4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4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4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4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</row>
    <row r="500" spans="7:181" ht="15" x14ac:dyDescent="0.25">
      <c r="G500" s="2"/>
      <c r="H500" s="2"/>
      <c r="I500" s="2"/>
      <c r="J500" s="2"/>
      <c r="K500" s="2"/>
      <c r="L500" s="3"/>
      <c r="M500" s="3"/>
      <c r="N500" s="3"/>
      <c r="O500" s="3"/>
      <c r="P500" s="3"/>
      <c r="Q500" s="3"/>
      <c r="R500" s="3"/>
      <c r="S500" s="3"/>
      <c r="T500" s="3"/>
      <c r="U500" s="4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4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4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4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</row>
    <row r="501" spans="7:181" ht="15" x14ac:dyDescent="0.25">
      <c r="G501" s="2"/>
      <c r="H501" s="2"/>
      <c r="I501" s="2"/>
      <c r="J501" s="2"/>
      <c r="K501" s="2"/>
      <c r="L501" s="3"/>
      <c r="M501" s="3"/>
      <c r="N501" s="3"/>
      <c r="O501" s="3"/>
      <c r="P501" s="3"/>
      <c r="Q501" s="3"/>
      <c r="R501" s="3"/>
      <c r="S501" s="3"/>
      <c r="T501" s="3"/>
      <c r="U501" s="4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4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4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4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</row>
    <row r="502" spans="7:181" ht="15" x14ac:dyDescent="0.25">
      <c r="G502" s="2"/>
      <c r="H502" s="2"/>
      <c r="I502" s="2"/>
      <c r="J502" s="2"/>
      <c r="K502" s="2"/>
      <c r="L502" s="3"/>
      <c r="M502" s="3"/>
      <c r="N502" s="3"/>
      <c r="O502" s="3"/>
      <c r="P502" s="3"/>
      <c r="Q502" s="3"/>
      <c r="R502" s="3"/>
      <c r="S502" s="3"/>
      <c r="T502" s="3"/>
      <c r="U502" s="4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4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4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4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</row>
    <row r="503" spans="7:181" ht="15" x14ac:dyDescent="0.25">
      <c r="G503" s="2"/>
      <c r="H503" s="2"/>
      <c r="I503" s="2"/>
      <c r="J503" s="2"/>
      <c r="K503" s="2"/>
      <c r="L503" s="3"/>
      <c r="M503" s="3"/>
      <c r="N503" s="3"/>
      <c r="O503" s="3"/>
      <c r="P503" s="3"/>
      <c r="Q503" s="3"/>
      <c r="R503" s="3"/>
      <c r="S503" s="3"/>
      <c r="T503" s="3"/>
      <c r="U503" s="4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4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4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4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</row>
    <row r="504" spans="7:181" ht="15" x14ac:dyDescent="0.25">
      <c r="G504" s="2"/>
      <c r="H504" s="2"/>
      <c r="I504" s="2"/>
      <c r="J504" s="2"/>
      <c r="K504" s="2"/>
      <c r="L504" s="3"/>
      <c r="M504" s="3"/>
      <c r="N504" s="3"/>
      <c r="O504" s="3"/>
      <c r="P504" s="3"/>
      <c r="Q504" s="3"/>
      <c r="R504" s="3"/>
      <c r="S504" s="3"/>
      <c r="T504" s="3"/>
      <c r="U504" s="4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4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4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4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</row>
    <row r="505" spans="7:181" ht="15" x14ac:dyDescent="0.25">
      <c r="G505" s="2"/>
      <c r="H505" s="2"/>
      <c r="I505" s="2"/>
      <c r="J505" s="2"/>
      <c r="K505" s="2"/>
      <c r="L505" s="3"/>
      <c r="M505" s="3"/>
      <c r="N505" s="3"/>
      <c r="O505" s="3"/>
      <c r="P505" s="3"/>
      <c r="Q505" s="3"/>
      <c r="R505" s="3"/>
      <c r="S505" s="3"/>
      <c r="T505" s="3"/>
      <c r="U505" s="4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4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4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4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</row>
    <row r="506" spans="7:181" ht="15" x14ac:dyDescent="0.25">
      <c r="G506" s="2"/>
      <c r="H506" s="2"/>
      <c r="I506" s="2"/>
      <c r="J506" s="2"/>
      <c r="K506" s="2"/>
      <c r="L506" s="3"/>
      <c r="M506" s="3"/>
      <c r="N506" s="3"/>
      <c r="O506" s="3"/>
      <c r="P506" s="3"/>
      <c r="Q506" s="3"/>
      <c r="R506" s="3"/>
      <c r="S506" s="3"/>
      <c r="T506" s="3"/>
      <c r="U506" s="4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4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4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4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</row>
    <row r="507" spans="7:181" ht="15" x14ac:dyDescent="0.25">
      <c r="G507" s="2"/>
      <c r="H507" s="2"/>
      <c r="I507" s="2"/>
      <c r="J507" s="2"/>
      <c r="K507" s="2"/>
      <c r="L507" s="3"/>
      <c r="M507" s="3"/>
      <c r="N507" s="3"/>
      <c r="O507" s="3"/>
      <c r="P507" s="3"/>
      <c r="Q507" s="3"/>
      <c r="R507" s="3"/>
      <c r="S507" s="3"/>
      <c r="T507" s="3"/>
      <c r="U507" s="4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4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4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4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</row>
    <row r="508" spans="7:181" ht="15" x14ac:dyDescent="0.25">
      <c r="G508" s="2"/>
      <c r="H508" s="2"/>
      <c r="I508" s="2"/>
      <c r="J508" s="2"/>
      <c r="K508" s="2"/>
      <c r="L508" s="3"/>
      <c r="M508" s="3"/>
      <c r="N508" s="3"/>
      <c r="O508" s="3"/>
      <c r="P508" s="3"/>
      <c r="Q508" s="3"/>
      <c r="R508" s="3"/>
      <c r="S508" s="3"/>
      <c r="T508" s="3"/>
      <c r="U508" s="4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4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4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4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</row>
    <row r="509" spans="7:181" ht="15" x14ac:dyDescent="0.25">
      <c r="G509" s="2"/>
      <c r="H509" s="2"/>
      <c r="I509" s="2"/>
      <c r="J509" s="2"/>
      <c r="K509" s="2"/>
      <c r="L509" s="3"/>
      <c r="M509" s="3"/>
      <c r="N509" s="3"/>
      <c r="O509" s="3"/>
      <c r="P509" s="3"/>
      <c r="Q509" s="3"/>
      <c r="R509" s="3"/>
      <c r="S509" s="3"/>
      <c r="T509" s="3"/>
      <c r="U509" s="4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4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4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4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</row>
    <row r="510" spans="7:181" ht="15" x14ac:dyDescent="0.25">
      <c r="G510" s="2"/>
      <c r="H510" s="2"/>
      <c r="I510" s="2"/>
      <c r="J510" s="2"/>
      <c r="K510" s="2"/>
      <c r="L510" s="3"/>
      <c r="M510" s="3"/>
      <c r="N510" s="3"/>
      <c r="O510" s="3"/>
      <c r="P510" s="3"/>
      <c r="Q510" s="3"/>
      <c r="R510" s="3"/>
      <c r="S510" s="3"/>
      <c r="T510" s="3"/>
      <c r="U510" s="4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4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4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4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</row>
    <row r="511" spans="7:181" ht="15" x14ac:dyDescent="0.25">
      <c r="G511" s="2"/>
      <c r="H511" s="2"/>
      <c r="I511" s="2"/>
      <c r="J511" s="2"/>
      <c r="K511" s="2"/>
      <c r="L511" s="3"/>
      <c r="M511" s="3"/>
      <c r="N511" s="3"/>
      <c r="O511" s="3"/>
      <c r="P511" s="3"/>
      <c r="Q511" s="3"/>
      <c r="R511" s="3"/>
      <c r="S511" s="3"/>
      <c r="T511" s="3"/>
      <c r="U511" s="4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4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4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4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</row>
    <row r="512" spans="7:181" ht="15" x14ac:dyDescent="0.25">
      <c r="G512" s="2"/>
      <c r="H512" s="2"/>
      <c r="I512" s="2"/>
      <c r="J512" s="2"/>
      <c r="K512" s="2"/>
      <c r="L512" s="3"/>
      <c r="M512" s="3"/>
      <c r="N512" s="3"/>
      <c r="O512" s="3"/>
      <c r="P512" s="3"/>
      <c r="Q512" s="3"/>
      <c r="R512" s="3"/>
      <c r="S512" s="3"/>
      <c r="T512" s="3"/>
      <c r="U512" s="4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4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4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4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</row>
    <row r="513" spans="7:181" ht="15" x14ac:dyDescent="0.25">
      <c r="G513" s="2"/>
      <c r="H513" s="2"/>
      <c r="I513" s="2"/>
      <c r="J513" s="2"/>
      <c r="K513" s="2"/>
      <c r="L513" s="3"/>
      <c r="M513" s="3"/>
      <c r="N513" s="3"/>
      <c r="O513" s="3"/>
      <c r="P513" s="3"/>
      <c r="Q513" s="3"/>
      <c r="R513" s="3"/>
      <c r="S513" s="3"/>
      <c r="T513" s="3"/>
      <c r="U513" s="4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4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4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4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</row>
    <row r="514" spans="7:181" ht="15" x14ac:dyDescent="0.25">
      <c r="G514" s="2"/>
      <c r="H514" s="2"/>
      <c r="I514" s="2"/>
      <c r="J514" s="2"/>
      <c r="K514" s="2"/>
      <c r="L514" s="3"/>
      <c r="M514" s="3"/>
      <c r="N514" s="3"/>
      <c r="O514" s="3"/>
      <c r="P514" s="3"/>
      <c r="Q514" s="3"/>
      <c r="R514" s="3"/>
      <c r="S514" s="3"/>
      <c r="T514" s="3"/>
      <c r="U514" s="4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4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4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4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</row>
    <row r="515" spans="7:181" ht="15" x14ac:dyDescent="0.25">
      <c r="G515" s="2"/>
      <c r="H515" s="2"/>
      <c r="I515" s="2"/>
      <c r="J515" s="2"/>
      <c r="K515" s="2"/>
      <c r="L515" s="3"/>
      <c r="M515" s="3"/>
      <c r="N515" s="3"/>
      <c r="O515" s="3"/>
      <c r="P515" s="3"/>
      <c r="Q515" s="3"/>
      <c r="R515" s="3"/>
      <c r="S515" s="3"/>
      <c r="T515" s="3"/>
      <c r="U515" s="4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4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4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4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</row>
    <row r="516" spans="7:181" ht="15" x14ac:dyDescent="0.25">
      <c r="G516" s="2"/>
      <c r="H516" s="2"/>
      <c r="I516" s="2"/>
      <c r="J516" s="2"/>
      <c r="K516" s="2"/>
      <c r="L516" s="3"/>
      <c r="M516" s="3"/>
      <c r="N516" s="3"/>
      <c r="O516" s="3"/>
      <c r="P516" s="3"/>
      <c r="Q516" s="3"/>
      <c r="R516" s="3"/>
      <c r="S516" s="3"/>
      <c r="T516" s="3"/>
      <c r="U516" s="4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4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4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4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</row>
    <row r="517" spans="7:181" ht="15" x14ac:dyDescent="0.25">
      <c r="G517" s="2"/>
      <c r="H517" s="2"/>
      <c r="I517" s="2"/>
      <c r="J517" s="2"/>
      <c r="K517" s="2"/>
      <c r="L517" s="3"/>
      <c r="M517" s="3"/>
      <c r="N517" s="3"/>
      <c r="O517" s="3"/>
      <c r="P517" s="3"/>
      <c r="Q517" s="3"/>
      <c r="R517" s="3"/>
      <c r="S517" s="3"/>
      <c r="T517" s="3"/>
      <c r="U517" s="4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4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4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4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</row>
    <row r="518" spans="7:181" ht="15" x14ac:dyDescent="0.25">
      <c r="G518" s="2"/>
      <c r="H518" s="2"/>
      <c r="I518" s="2"/>
      <c r="J518" s="2"/>
      <c r="K518" s="2"/>
      <c r="L518" s="3"/>
      <c r="M518" s="3"/>
      <c r="N518" s="3"/>
      <c r="O518" s="3"/>
      <c r="P518" s="3"/>
      <c r="Q518" s="3"/>
      <c r="R518" s="3"/>
      <c r="S518" s="3"/>
      <c r="T518" s="3"/>
      <c r="U518" s="4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4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4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4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</row>
    <row r="519" spans="7:181" ht="15" x14ac:dyDescent="0.25">
      <c r="G519" s="2"/>
      <c r="H519" s="2"/>
      <c r="I519" s="2"/>
      <c r="J519" s="2"/>
      <c r="K519" s="2"/>
      <c r="L519" s="3"/>
      <c r="M519" s="3"/>
      <c r="N519" s="3"/>
      <c r="O519" s="3"/>
      <c r="P519" s="3"/>
      <c r="Q519" s="3"/>
      <c r="R519" s="3"/>
      <c r="S519" s="3"/>
      <c r="T519" s="3"/>
      <c r="U519" s="4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4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4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4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</row>
    <row r="520" spans="7:181" ht="15" x14ac:dyDescent="0.25">
      <c r="G520" s="2"/>
      <c r="H520" s="2"/>
      <c r="I520" s="2"/>
      <c r="J520" s="2"/>
      <c r="K520" s="2"/>
      <c r="L520" s="3"/>
      <c r="M520" s="3"/>
      <c r="N520" s="3"/>
      <c r="O520" s="3"/>
      <c r="P520" s="3"/>
      <c r="Q520" s="3"/>
      <c r="R520" s="3"/>
      <c r="S520" s="3"/>
      <c r="T520" s="3"/>
      <c r="U520" s="4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4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4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4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</row>
    <row r="521" spans="7:181" ht="15" x14ac:dyDescent="0.25">
      <c r="G521" s="2"/>
      <c r="H521" s="2"/>
      <c r="I521" s="2"/>
      <c r="J521" s="2"/>
      <c r="K521" s="2"/>
      <c r="L521" s="3"/>
      <c r="M521" s="3"/>
      <c r="N521" s="3"/>
      <c r="O521" s="3"/>
      <c r="P521" s="3"/>
      <c r="Q521" s="3"/>
      <c r="R521" s="3"/>
      <c r="S521" s="3"/>
      <c r="T521" s="3"/>
      <c r="U521" s="4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4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4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4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</row>
    <row r="522" spans="7:181" ht="15" x14ac:dyDescent="0.25">
      <c r="G522" s="2"/>
      <c r="H522" s="2"/>
      <c r="I522" s="2"/>
      <c r="J522" s="2"/>
      <c r="K522" s="2"/>
      <c r="L522" s="3"/>
      <c r="M522" s="3"/>
      <c r="N522" s="3"/>
      <c r="O522" s="3"/>
      <c r="P522" s="3"/>
      <c r="Q522" s="3"/>
      <c r="R522" s="3"/>
      <c r="S522" s="3"/>
      <c r="T522" s="3"/>
      <c r="U522" s="4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4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4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4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</row>
    <row r="523" spans="7:181" ht="15" x14ac:dyDescent="0.25">
      <c r="G523" s="2"/>
      <c r="H523" s="2"/>
      <c r="I523" s="2"/>
      <c r="J523" s="2"/>
      <c r="K523" s="2"/>
      <c r="L523" s="3"/>
      <c r="M523" s="3"/>
      <c r="N523" s="3"/>
      <c r="O523" s="3"/>
      <c r="P523" s="3"/>
      <c r="Q523" s="3"/>
      <c r="R523" s="3"/>
      <c r="S523" s="3"/>
      <c r="T523" s="3"/>
      <c r="U523" s="4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4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4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4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</row>
    <row r="524" spans="7:181" ht="15" x14ac:dyDescent="0.25">
      <c r="G524" s="2"/>
      <c r="H524" s="2"/>
      <c r="I524" s="2"/>
      <c r="J524" s="2"/>
      <c r="K524" s="2"/>
      <c r="L524" s="3"/>
      <c r="M524" s="3"/>
      <c r="N524" s="3"/>
      <c r="O524" s="3"/>
      <c r="P524" s="3"/>
      <c r="Q524" s="3"/>
      <c r="R524" s="3"/>
      <c r="S524" s="3"/>
      <c r="T524" s="3"/>
      <c r="U524" s="4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4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4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4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</row>
    <row r="525" spans="7:181" ht="15" x14ac:dyDescent="0.25">
      <c r="G525" s="2"/>
      <c r="H525" s="2"/>
      <c r="I525" s="2"/>
      <c r="J525" s="2"/>
      <c r="K525" s="2"/>
      <c r="L525" s="3"/>
      <c r="M525" s="3"/>
      <c r="N525" s="3"/>
      <c r="O525" s="3"/>
      <c r="P525" s="3"/>
      <c r="Q525" s="3"/>
      <c r="R525" s="3"/>
      <c r="S525" s="3"/>
      <c r="T525" s="3"/>
      <c r="U525" s="4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4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4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4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</row>
    <row r="526" spans="7:181" ht="15" x14ac:dyDescent="0.25">
      <c r="G526" s="2"/>
      <c r="H526" s="2"/>
      <c r="I526" s="2"/>
      <c r="J526" s="2"/>
      <c r="K526" s="2"/>
      <c r="L526" s="3"/>
      <c r="M526" s="3"/>
      <c r="N526" s="3"/>
      <c r="O526" s="3"/>
      <c r="P526" s="3"/>
      <c r="Q526" s="3"/>
      <c r="R526" s="3"/>
      <c r="S526" s="3"/>
      <c r="T526" s="3"/>
      <c r="U526" s="4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4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4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4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</row>
    <row r="527" spans="7:181" ht="15" x14ac:dyDescent="0.25">
      <c r="G527" s="2"/>
      <c r="H527" s="2"/>
      <c r="I527" s="2"/>
      <c r="J527" s="2"/>
      <c r="K527" s="2"/>
      <c r="L527" s="3"/>
      <c r="M527" s="3"/>
      <c r="N527" s="3"/>
      <c r="O527" s="3"/>
      <c r="P527" s="3"/>
      <c r="Q527" s="3"/>
      <c r="R527" s="3"/>
      <c r="S527" s="3"/>
      <c r="T527" s="3"/>
      <c r="U527" s="4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4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4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4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</row>
    <row r="528" spans="7:181" ht="15" x14ac:dyDescent="0.25">
      <c r="G528" s="2"/>
      <c r="H528" s="2"/>
      <c r="I528" s="2"/>
      <c r="J528" s="2"/>
      <c r="K528" s="2"/>
      <c r="L528" s="3"/>
      <c r="M528" s="3"/>
      <c r="N528" s="3"/>
      <c r="O528" s="3"/>
      <c r="P528" s="3"/>
      <c r="Q528" s="3"/>
      <c r="R528" s="3"/>
      <c r="S528" s="3"/>
      <c r="T528" s="3"/>
      <c r="U528" s="4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4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4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4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</row>
    <row r="529" spans="7:181" ht="15" x14ac:dyDescent="0.25">
      <c r="G529" s="2"/>
      <c r="H529" s="2"/>
      <c r="I529" s="2"/>
      <c r="J529" s="2"/>
      <c r="K529" s="2"/>
      <c r="L529" s="3"/>
      <c r="M529" s="3"/>
      <c r="N529" s="3"/>
      <c r="O529" s="3"/>
      <c r="P529" s="3"/>
      <c r="Q529" s="3"/>
      <c r="R529" s="3"/>
      <c r="S529" s="3"/>
      <c r="T529" s="3"/>
      <c r="U529" s="4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4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4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4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</row>
    <row r="530" spans="7:181" ht="15" x14ac:dyDescent="0.25">
      <c r="G530" s="2"/>
      <c r="H530" s="2"/>
      <c r="I530" s="2"/>
      <c r="J530" s="2"/>
      <c r="K530" s="2"/>
      <c r="L530" s="3"/>
      <c r="M530" s="3"/>
      <c r="N530" s="3"/>
      <c r="O530" s="3"/>
      <c r="P530" s="3"/>
      <c r="Q530" s="3"/>
      <c r="R530" s="3"/>
      <c r="S530" s="3"/>
      <c r="T530" s="3"/>
      <c r="U530" s="4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4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4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4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</row>
    <row r="531" spans="7:181" ht="15" x14ac:dyDescent="0.25">
      <c r="G531" s="2"/>
      <c r="H531" s="2"/>
      <c r="I531" s="2"/>
      <c r="J531" s="2"/>
      <c r="K531" s="2"/>
      <c r="L531" s="3"/>
      <c r="M531" s="3"/>
      <c r="N531" s="3"/>
      <c r="O531" s="3"/>
      <c r="P531" s="3"/>
      <c r="Q531" s="3"/>
      <c r="R531" s="3"/>
      <c r="S531" s="3"/>
      <c r="T531" s="3"/>
      <c r="U531" s="4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4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4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4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</row>
    <row r="532" spans="7:181" ht="15" x14ac:dyDescent="0.25">
      <c r="G532" s="2"/>
      <c r="H532" s="2"/>
      <c r="I532" s="2"/>
      <c r="J532" s="2"/>
      <c r="K532" s="2"/>
      <c r="L532" s="3"/>
      <c r="M532" s="3"/>
      <c r="N532" s="3"/>
      <c r="O532" s="3"/>
      <c r="P532" s="3"/>
      <c r="Q532" s="3"/>
      <c r="R532" s="3"/>
      <c r="S532" s="3"/>
      <c r="T532" s="3"/>
      <c r="U532" s="4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4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4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4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</row>
    <row r="533" spans="7:181" ht="15" x14ac:dyDescent="0.25">
      <c r="G533" s="2"/>
      <c r="H533" s="2"/>
      <c r="I533" s="2"/>
      <c r="J533" s="2"/>
      <c r="K533" s="2"/>
      <c r="L533" s="3"/>
      <c r="M533" s="3"/>
      <c r="N533" s="3"/>
      <c r="O533" s="3"/>
      <c r="P533" s="3"/>
      <c r="Q533" s="3"/>
      <c r="R533" s="3"/>
      <c r="S533" s="3"/>
      <c r="T533" s="3"/>
      <c r="U533" s="4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4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4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4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</row>
    <row r="534" spans="7:181" ht="15" x14ac:dyDescent="0.25">
      <c r="G534" s="2"/>
      <c r="H534" s="2"/>
      <c r="I534" s="2"/>
      <c r="J534" s="2"/>
      <c r="K534" s="2"/>
      <c r="L534" s="3"/>
      <c r="M534" s="3"/>
      <c r="N534" s="3"/>
      <c r="O534" s="3"/>
      <c r="P534" s="3"/>
      <c r="Q534" s="3"/>
      <c r="R534" s="3"/>
      <c r="S534" s="3"/>
      <c r="T534" s="3"/>
      <c r="U534" s="4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4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4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4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</row>
    <row r="535" spans="7:181" ht="15" x14ac:dyDescent="0.25">
      <c r="G535" s="2"/>
      <c r="H535" s="2"/>
      <c r="I535" s="2"/>
      <c r="J535" s="2"/>
      <c r="K535" s="2"/>
      <c r="L535" s="3"/>
      <c r="M535" s="3"/>
      <c r="N535" s="3"/>
      <c r="O535" s="3"/>
      <c r="P535" s="3"/>
      <c r="Q535" s="3"/>
      <c r="R535" s="3"/>
      <c r="S535" s="3"/>
      <c r="T535" s="3"/>
      <c r="U535" s="4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4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4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4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</row>
    <row r="536" spans="7:181" ht="15" x14ac:dyDescent="0.25">
      <c r="G536" s="2"/>
      <c r="H536" s="2"/>
      <c r="I536" s="2"/>
      <c r="J536" s="2"/>
      <c r="K536" s="2"/>
      <c r="L536" s="3"/>
      <c r="M536" s="3"/>
      <c r="N536" s="3"/>
      <c r="O536" s="3"/>
      <c r="P536" s="3"/>
      <c r="Q536" s="3"/>
      <c r="R536" s="3"/>
      <c r="S536" s="3"/>
      <c r="T536" s="3"/>
      <c r="U536" s="4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4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4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4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</row>
    <row r="537" spans="7:181" ht="15" x14ac:dyDescent="0.25">
      <c r="G537" s="2"/>
      <c r="H537" s="2"/>
      <c r="I537" s="2"/>
      <c r="J537" s="2"/>
      <c r="K537" s="2"/>
      <c r="L537" s="3"/>
      <c r="M537" s="3"/>
      <c r="N537" s="3"/>
      <c r="O537" s="3"/>
      <c r="P537" s="3"/>
      <c r="Q537" s="3"/>
      <c r="R537" s="3"/>
      <c r="S537" s="3"/>
      <c r="T537" s="3"/>
      <c r="U537" s="4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4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4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4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</row>
    <row r="538" spans="7:181" ht="15" x14ac:dyDescent="0.25">
      <c r="G538" s="2"/>
      <c r="H538" s="2"/>
      <c r="I538" s="2"/>
      <c r="J538" s="2"/>
      <c r="K538" s="2"/>
      <c r="L538" s="3"/>
      <c r="M538" s="3"/>
      <c r="N538" s="3"/>
      <c r="O538" s="3"/>
      <c r="P538" s="3"/>
      <c r="Q538" s="3"/>
      <c r="R538" s="3"/>
      <c r="S538" s="3"/>
      <c r="T538" s="3"/>
      <c r="U538" s="4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4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4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4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</row>
    <row r="539" spans="7:181" ht="15" x14ac:dyDescent="0.25">
      <c r="G539" s="2"/>
      <c r="H539" s="2"/>
      <c r="I539" s="2"/>
      <c r="J539" s="2"/>
      <c r="K539" s="2"/>
      <c r="L539" s="3"/>
      <c r="M539" s="3"/>
      <c r="N539" s="3"/>
      <c r="O539" s="3"/>
      <c r="P539" s="3"/>
      <c r="Q539" s="3"/>
      <c r="R539" s="3"/>
      <c r="S539" s="3"/>
      <c r="T539" s="3"/>
      <c r="U539" s="4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4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4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4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</row>
    <row r="540" spans="7:181" ht="15" x14ac:dyDescent="0.25">
      <c r="G540" s="2"/>
      <c r="H540" s="2"/>
      <c r="I540" s="2"/>
      <c r="J540" s="2"/>
      <c r="K540" s="2"/>
      <c r="L540" s="3"/>
      <c r="M540" s="3"/>
      <c r="N540" s="3"/>
      <c r="O540" s="3"/>
      <c r="P540" s="3"/>
      <c r="Q540" s="3"/>
      <c r="R540" s="3"/>
      <c r="S540" s="3"/>
      <c r="T540" s="3"/>
      <c r="U540" s="4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4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4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4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</row>
    <row r="541" spans="7:181" ht="15" x14ac:dyDescent="0.25">
      <c r="G541" s="2"/>
      <c r="H541" s="2"/>
      <c r="I541" s="2"/>
      <c r="J541" s="2"/>
      <c r="K541" s="2"/>
      <c r="L541" s="3"/>
      <c r="M541" s="3"/>
      <c r="N541" s="3"/>
      <c r="O541" s="3"/>
      <c r="P541" s="3"/>
      <c r="Q541" s="3"/>
      <c r="R541" s="3"/>
      <c r="S541" s="3"/>
      <c r="T541" s="3"/>
      <c r="U541" s="4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4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4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4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</row>
    <row r="542" spans="7:181" ht="15" x14ac:dyDescent="0.25">
      <c r="G542" s="2"/>
      <c r="H542" s="2"/>
      <c r="I542" s="2"/>
      <c r="J542" s="2"/>
      <c r="K542" s="2"/>
      <c r="L542" s="3"/>
      <c r="M542" s="3"/>
      <c r="N542" s="3"/>
      <c r="O542" s="3"/>
      <c r="P542" s="3"/>
      <c r="Q542" s="3"/>
      <c r="R542" s="3"/>
      <c r="S542" s="3"/>
      <c r="T542" s="3"/>
      <c r="U542" s="4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4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4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4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</row>
    <row r="543" spans="7:181" ht="15" x14ac:dyDescent="0.25">
      <c r="G543" s="2"/>
      <c r="H543" s="2"/>
      <c r="I543" s="2"/>
      <c r="J543" s="2"/>
      <c r="K543" s="2"/>
      <c r="L543" s="3"/>
      <c r="M543" s="3"/>
      <c r="N543" s="3"/>
      <c r="O543" s="3"/>
      <c r="P543" s="3"/>
      <c r="Q543" s="3"/>
      <c r="R543" s="3"/>
      <c r="S543" s="3"/>
      <c r="T543" s="3"/>
      <c r="U543" s="4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4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4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4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</row>
    <row r="544" spans="7:181" ht="15" x14ac:dyDescent="0.25">
      <c r="G544" s="2"/>
      <c r="H544" s="2"/>
      <c r="I544" s="2"/>
      <c r="J544" s="2"/>
      <c r="K544" s="2"/>
      <c r="L544" s="3"/>
      <c r="M544" s="3"/>
      <c r="N544" s="3"/>
      <c r="O544" s="3"/>
      <c r="P544" s="3"/>
      <c r="Q544" s="3"/>
      <c r="R544" s="3"/>
      <c r="S544" s="3"/>
      <c r="T544" s="3"/>
      <c r="U544" s="4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4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4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4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</row>
    <row r="545" spans="7:181" ht="15" x14ac:dyDescent="0.25">
      <c r="G545" s="2"/>
      <c r="H545" s="2"/>
      <c r="I545" s="2"/>
      <c r="J545" s="2"/>
      <c r="K545" s="2"/>
      <c r="L545" s="3"/>
      <c r="M545" s="3"/>
      <c r="N545" s="3"/>
      <c r="O545" s="3"/>
      <c r="P545" s="3"/>
      <c r="Q545" s="3"/>
      <c r="R545" s="3"/>
      <c r="S545" s="3"/>
      <c r="T545" s="3"/>
      <c r="U545" s="4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4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4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4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</row>
    <row r="546" spans="7:181" ht="15" x14ac:dyDescent="0.25">
      <c r="G546" s="2"/>
      <c r="H546" s="2"/>
      <c r="I546" s="2"/>
      <c r="J546" s="2"/>
      <c r="K546" s="2"/>
      <c r="L546" s="3"/>
      <c r="M546" s="3"/>
      <c r="N546" s="3"/>
      <c r="O546" s="3"/>
      <c r="P546" s="3"/>
      <c r="Q546" s="3"/>
      <c r="R546" s="3"/>
      <c r="S546" s="3"/>
      <c r="T546" s="3"/>
      <c r="U546" s="4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4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4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4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</row>
    <row r="547" spans="7:181" ht="15" x14ac:dyDescent="0.25">
      <c r="G547" s="2"/>
      <c r="H547" s="2"/>
      <c r="I547" s="2"/>
      <c r="J547" s="2"/>
      <c r="K547" s="2"/>
      <c r="L547" s="3"/>
      <c r="M547" s="3"/>
      <c r="N547" s="3"/>
      <c r="O547" s="3"/>
      <c r="P547" s="3"/>
      <c r="Q547" s="3"/>
      <c r="R547" s="3"/>
      <c r="S547" s="3"/>
      <c r="T547" s="3"/>
      <c r="U547" s="4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4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4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4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</row>
    <row r="548" spans="7:181" ht="15" x14ac:dyDescent="0.25">
      <c r="G548" s="2"/>
      <c r="H548" s="2"/>
      <c r="I548" s="2"/>
      <c r="J548" s="2"/>
      <c r="K548" s="2"/>
      <c r="L548" s="3"/>
      <c r="M548" s="3"/>
      <c r="N548" s="3"/>
      <c r="O548" s="3"/>
      <c r="P548" s="3"/>
      <c r="Q548" s="3"/>
      <c r="R548" s="3"/>
      <c r="S548" s="3"/>
      <c r="T548" s="3"/>
      <c r="U548" s="4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4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4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4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</row>
    <row r="549" spans="7:181" ht="15" x14ac:dyDescent="0.25">
      <c r="G549" s="2"/>
      <c r="H549" s="2"/>
      <c r="I549" s="2"/>
      <c r="J549" s="2"/>
      <c r="K549" s="2"/>
      <c r="L549" s="3"/>
      <c r="M549" s="3"/>
      <c r="N549" s="3"/>
      <c r="O549" s="3"/>
      <c r="P549" s="3"/>
      <c r="Q549" s="3"/>
      <c r="R549" s="3"/>
      <c r="S549" s="3"/>
      <c r="T549" s="3"/>
      <c r="U549" s="4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4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4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4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</row>
    <row r="550" spans="7:181" ht="15" x14ac:dyDescent="0.25">
      <c r="G550" s="2"/>
      <c r="H550" s="2"/>
      <c r="I550" s="2"/>
      <c r="J550" s="2"/>
      <c r="K550" s="2"/>
      <c r="L550" s="3"/>
      <c r="M550" s="3"/>
      <c r="N550" s="3"/>
      <c r="O550" s="3"/>
      <c r="P550" s="3"/>
      <c r="Q550" s="3"/>
      <c r="R550" s="3"/>
      <c r="S550" s="3"/>
      <c r="T550" s="3"/>
      <c r="U550" s="4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4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4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4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</row>
    <row r="551" spans="7:181" ht="15" x14ac:dyDescent="0.25">
      <c r="G551" s="2"/>
      <c r="H551" s="2"/>
      <c r="I551" s="2"/>
      <c r="J551" s="2"/>
      <c r="K551" s="2"/>
      <c r="L551" s="3"/>
      <c r="M551" s="3"/>
      <c r="N551" s="3"/>
      <c r="O551" s="3"/>
      <c r="P551" s="3"/>
      <c r="Q551" s="3"/>
      <c r="R551" s="3"/>
      <c r="S551" s="3"/>
      <c r="T551" s="3"/>
      <c r="U551" s="4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4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4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4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</row>
    <row r="552" spans="7:181" ht="15" x14ac:dyDescent="0.25">
      <c r="G552" s="2"/>
      <c r="H552" s="2"/>
      <c r="I552" s="2"/>
      <c r="J552" s="2"/>
      <c r="K552" s="2"/>
      <c r="L552" s="3"/>
      <c r="M552" s="3"/>
      <c r="N552" s="3"/>
      <c r="O552" s="3"/>
      <c r="P552" s="3"/>
      <c r="Q552" s="3"/>
      <c r="R552" s="3"/>
      <c r="S552" s="3"/>
      <c r="T552" s="3"/>
      <c r="U552" s="4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4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4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4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</row>
    <row r="553" spans="7:181" ht="15" x14ac:dyDescent="0.25">
      <c r="G553" s="2"/>
      <c r="H553" s="2"/>
      <c r="I553" s="2"/>
      <c r="J553" s="2"/>
      <c r="K553" s="2"/>
      <c r="L553" s="3"/>
      <c r="M553" s="3"/>
      <c r="N553" s="3"/>
      <c r="O553" s="3"/>
      <c r="P553" s="3"/>
      <c r="Q553" s="3"/>
      <c r="R553" s="3"/>
      <c r="S553" s="3"/>
      <c r="T553" s="3"/>
      <c r="U553" s="4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4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4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4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</row>
    <row r="554" spans="7:181" ht="15" x14ac:dyDescent="0.25">
      <c r="G554" s="2"/>
      <c r="H554" s="2"/>
      <c r="I554" s="2"/>
      <c r="J554" s="2"/>
      <c r="K554" s="2"/>
      <c r="L554" s="3"/>
      <c r="M554" s="3"/>
      <c r="N554" s="3"/>
      <c r="O554" s="3"/>
      <c r="P554" s="3"/>
      <c r="Q554" s="3"/>
      <c r="R554" s="3"/>
      <c r="S554" s="3"/>
      <c r="T554" s="3"/>
      <c r="U554" s="4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4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4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4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</row>
    <row r="555" spans="7:181" ht="15" x14ac:dyDescent="0.25">
      <c r="G555" s="2"/>
      <c r="H555" s="2"/>
      <c r="I555" s="2"/>
      <c r="J555" s="2"/>
      <c r="K555" s="2"/>
      <c r="L555" s="3"/>
      <c r="M555" s="3"/>
      <c r="N555" s="3"/>
      <c r="O555" s="3"/>
      <c r="P555" s="3"/>
      <c r="Q555" s="3"/>
      <c r="R555" s="3"/>
      <c r="S555" s="3"/>
      <c r="T555" s="3"/>
      <c r="U555" s="4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4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4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4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</row>
    <row r="556" spans="7:181" ht="15" x14ac:dyDescent="0.25">
      <c r="G556" s="2"/>
      <c r="H556" s="2"/>
      <c r="I556" s="2"/>
      <c r="J556" s="2"/>
      <c r="K556" s="2"/>
      <c r="L556" s="3"/>
      <c r="M556" s="3"/>
      <c r="N556" s="3"/>
      <c r="O556" s="3"/>
      <c r="P556" s="3"/>
      <c r="Q556" s="3"/>
      <c r="R556" s="3"/>
      <c r="S556" s="3"/>
      <c r="T556" s="3"/>
      <c r="U556" s="4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4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4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4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</row>
    <row r="557" spans="7:181" ht="15" x14ac:dyDescent="0.25">
      <c r="G557" s="2"/>
      <c r="H557" s="2"/>
      <c r="I557" s="2"/>
      <c r="J557" s="2"/>
      <c r="K557" s="2"/>
      <c r="L557" s="3"/>
      <c r="M557" s="3"/>
      <c r="N557" s="3"/>
      <c r="O557" s="3"/>
      <c r="P557" s="3"/>
      <c r="Q557" s="3"/>
      <c r="R557" s="3"/>
      <c r="S557" s="3"/>
      <c r="T557" s="3"/>
      <c r="U557" s="4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4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4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4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</row>
    <row r="558" spans="7:181" ht="15" x14ac:dyDescent="0.25">
      <c r="G558" s="2"/>
      <c r="H558" s="2"/>
      <c r="I558" s="2"/>
      <c r="J558" s="2"/>
      <c r="K558" s="2"/>
      <c r="L558" s="3"/>
      <c r="M558" s="3"/>
      <c r="N558" s="3"/>
      <c r="O558" s="3"/>
      <c r="P558" s="3"/>
      <c r="Q558" s="3"/>
      <c r="R558" s="3"/>
      <c r="S558" s="3"/>
      <c r="T558" s="3"/>
      <c r="U558" s="4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4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4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4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</row>
    <row r="559" spans="7:181" ht="15" x14ac:dyDescent="0.25">
      <c r="G559" s="2"/>
      <c r="H559" s="2"/>
      <c r="I559" s="2"/>
      <c r="J559" s="2"/>
      <c r="K559" s="2"/>
      <c r="L559" s="3"/>
      <c r="M559" s="3"/>
      <c r="N559" s="3"/>
      <c r="O559" s="3"/>
      <c r="P559" s="3"/>
      <c r="Q559" s="3"/>
      <c r="R559" s="3"/>
      <c r="S559" s="3"/>
      <c r="T559" s="3"/>
      <c r="U559" s="4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4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4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4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</row>
    <row r="560" spans="7:181" ht="15" x14ac:dyDescent="0.25">
      <c r="G560" s="2"/>
      <c r="H560" s="2"/>
      <c r="I560" s="2"/>
      <c r="J560" s="2"/>
      <c r="K560" s="2"/>
      <c r="L560" s="3"/>
      <c r="M560" s="3"/>
      <c r="N560" s="3"/>
      <c r="O560" s="3"/>
      <c r="P560" s="3"/>
      <c r="Q560" s="3"/>
      <c r="R560" s="3"/>
      <c r="S560" s="3"/>
      <c r="T560" s="3"/>
      <c r="U560" s="4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4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4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4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</row>
    <row r="561" spans="7:181" ht="15" x14ac:dyDescent="0.25">
      <c r="G561" s="2"/>
      <c r="H561" s="2"/>
      <c r="I561" s="2"/>
      <c r="J561" s="2"/>
      <c r="K561" s="2"/>
      <c r="L561" s="3"/>
      <c r="M561" s="3"/>
      <c r="N561" s="3"/>
      <c r="O561" s="3"/>
      <c r="P561" s="3"/>
      <c r="Q561" s="3"/>
      <c r="R561" s="3"/>
      <c r="S561" s="3"/>
      <c r="T561" s="3"/>
      <c r="U561" s="4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4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4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4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</row>
    <row r="562" spans="7:181" ht="15" x14ac:dyDescent="0.25">
      <c r="G562" s="2"/>
      <c r="H562" s="2"/>
      <c r="I562" s="2"/>
      <c r="J562" s="2"/>
      <c r="K562" s="2"/>
      <c r="L562" s="3"/>
      <c r="M562" s="3"/>
      <c r="N562" s="3"/>
      <c r="O562" s="3"/>
      <c r="P562" s="3"/>
      <c r="Q562" s="3"/>
      <c r="R562" s="3"/>
      <c r="S562" s="3"/>
      <c r="T562" s="3"/>
      <c r="U562" s="4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4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4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4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</row>
    <row r="563" spans="7:181" ht="15" x14ac:dyDescent="0.25">
      <c r="G563" s="2"/>
      <c r="H563" s="2"/>
      <c r="I563" s="2"/>
      <c r="J563" s="2"/>
      <c r="K563" s="2"/>
      <c r="L563" s="3"/>
      <c r="M563" s="3"/>
      <c r="N563" s="3"/>
      <c r="O563" s="3"/>
      <c r="P563" s="3"/>
      <c r="Q563" s="3"/>
      <c r="R563" s="3"/>
      <c r="S563" s="3"/>
      <c r="T563" s="3"/>
      <c r="U563" s="4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4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4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4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</row>
    <row r="564" spans="7:181" ht="15" x14ac:dyDescent="0.25">
      <c r="G564" s="2"/>
      <c r="H564" s="2"/>
      <c r="I564" s="2"/>
      <c r="J564" s="2"/>
      <c r="K564" s="2"/>
      <c r="L564" s="3"/>
      <c r="M564" s="3"/>
      <c r="N564" s="3"/>
      <c r="O564" s="3"/>
      <c r="P564" s="3"/>
      <c r="Q564" s="3"/>
      <c r="R564" s="3"/>
      <c r="S564" s="3"/>
      <c r="T564" s="3"/>
      <c r="U564" s="4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4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4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4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</row>
    <row r="565" spans="7:181" ht="15" x14ac:dyDescent="0.25">
      <c r="G565" s="2"/>
      <c r="H565" s="2"/>
      <c r="I565" s="2"/>
      <c r="J565" s="2"/>
      <c r="K565" s="2"/>
      <c r="L565" s="3"/>
      <c r="M565" s="3"/>
      <c r="N565" s="3"/>
      <c r="O565" s="3"/>
      <c r="P565" s="3"/>
      <c r="Q565" s="3"/>
      <c r="R565" s="3"/>
      <c r="S565" s="3"/>
      <c r="T565" s="3"/>
      <c r="U565" s="4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4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4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4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</row>
    <row r="566" spans="7:181" ht="15" x14ac:dyDescent="0.25">
      <c r="G566" s="2"/>
      <c r="H566" s="2"/>
      <c r="I566" s="2"/>
      <c r="J566" s="2"/>
      <c r="K566" s="2"/>
      <c r="L566" s="3"/>
      <c r="M566" s="3"/>
      <c r="N566" s="3"/>
      <c r="O566" s="3"/>
      <c r="P566" s="3"/>
      <c r="Q566" s="3"/>
      <c r="R566" s="3"/>
      <c r="S566" s="3"/>
      <c r="T566" s="3"/>
      <c r="U566" s="4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4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4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4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</row>
    <row r="567" spans="7:181" ht="15" x14ac:dyDescent="0.25">
      <c r="G567" s="2"/>
      <c r="H567" s="2"/>
      <c r="I567" s="2"/>
      <c r="J567" s="2"/>
      <c r="K567" s="2"/>
      <c r="L567" s="3"/>
      <c r="M567" s="3"/>
      <c r="N567" s="3"/>
      <c r="O567" s="3"/>
      <c r="P567" s="3"/>
      <c r="Q567" s="3"/>
      <c r="R567" s="3"/>
      <c r="S567" s="3"/>
      <c r="T567" s="3"/>
      <c r="U567" s="4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4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4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4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</row>
    <row r="568" spans="7:181" ht="15" x14ac:dyDescent="0.25">
      <c r="G568" s="2"/>
      <c r="H568" s="2"/>
      <c r="I568" s="2"/>
      <c r="J568" s="2"/>
      <c r="K568" s="2"/>
      <c r="L568" s="3"/>
      <c r="M568" s="3"/>
      <c r="N568" s="3"/>
      <c r="O568" s="3"/>
      <c r="P568" s="3"/>
      <c r="Q568" s="3"/>
      <c r="R568" s="3"/>
      <c r="S568" s="3"/>
      <c r="T568" s="3"/>
      <c r="U568" s="4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4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4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4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</row>
    <row r="569" spans="7:181" ht="15" x14ac:dyDescent="0.25">
      <c r="G569" s="2"/>
      <c r="H569" s="2"/>
      <c r="I569" s="2"/>
      <c r="J569" s="2"/>
      <c r="K569" s="2"/>
      <c r="L569" s="3"/>
      <c r="M569" s="3"/>
      <c r="N569" s="3"/>
      <c r="O569" s="3"/>
      <c r="P569" s="3"/>
      <c r="Q569" s="3"/>
      <c r="R569" s="3"/>
      <c r="S569" s="3"/>
      <c r="T569" s="3"/>
      <c r="U569" s="4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4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4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4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</row>
    <row r="570" spans="7:181" ht="15" x14ac:dyDescent="0.25">
      <c r="G570" s="2"/>
      <c r="H570" s="2"/>
      <c r="I570" s="2"/>
      <c r="J570" s="2"/>
      <c r="K570" s="2"/>
      <c r="L570" s="3"/>
      <c r="M570" s="3"/>
      <c r="N570" s="3"/>
      <c r="O570" s="3"/>
      <c r="P570" s="3"/>
      <c r="Q570" s="3"/>
      <c r="R570" s="3"/>
      <c r="S570" s="3"/>
      <c r="T570" s="3"/>
      <c r="U570" s="4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4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4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4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</row>
    <row r="571" spans="7:181" ht="15" x14ac:dyDescent="0.25">
      <c r="G571" s="2"/>
      <c r="H571" s="2"/>
      <c r="I571" s="2"/>
      <c r="J571" s="2"/>
      <c r="K571" s="2"/>
      <c r="L571" s="3"/>
      <c r="M571" s="3"/>
      <c r="N571" s="3"/>
      <c r="O571" s="3"/>
      <c r="P571" s="3"/>
      <c r="Q571" s="3"/>
      <c r="R571" s="3"/>
      <c r="S571" s="3"/>
      <c r="T571" s="3"/>
      <c r="U571" s="4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4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4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4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</row>
    <row r="572" spans="7:181" ht="15" x14ac:dyDescent="0.25">
      <c r="G572" s="2"/>
      <c r="H572" s="2"/>
      <c r="I572" s="2"/>
      <c r="J572" s="2"/>
      <c r="K572" s="2"/>
      <c r="L572" s="3"/>
      <c r="M572" s="3"/>
      <c r="N572" s="3"/>
      <c r="O572" s="3"/>
      <c r="P572" s="3"/>
      <c r="Q572" s="3"/>
      <c r="R572" s="3"/>
      <c r="S572" s="3"/>
      <c r="T572" s="3"/>
      <c r="U572" s="4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4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4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4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</row>
    <row r="573" spans="7:181" ht="15" x14ac:dyDescent="0.25">
      <c r="G573" s="2"/>
      <c r="H573" s="2"/>
      <c r="I573" s="2"/>
      <c r="J573" s="2"/>
      <c r="K573" s="2"/>
      <c r="L573" s="3"/>
      <c r="M573" s="3"/>
      <c r="N573" s="3"/>
      <c r="O573" s="3"/>
      <c r="P573" s="3"/>
      <c r="Q573" s="3"/>
      <c r="R573" s="3"/>
      <c r="S573" s="3"/>
      <c r="T573" s="3"/>
      <c r="U573" s="4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4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4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4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</row>
    <row r="574" spans="7:181" ht="15" x14ac:dyDescent="0.25">
      <c r="G574" s="2"/>
      <c r="H574" s="2"/>
      <c r="I574" s="2"/>
      <c r="J574" s="2"/>
      <c r="K574" s="2"/>
      <c r="L574" s="3"/>
      <c r="M574" s="3"/>
      <c r="N574" s="3"/>
      <c r="O574" s="3"/>
      <c r="P574" s="3"/>
      <c r="Q574" s="3"/>
      <c r="R574" s="3"/>
      <c r="S574" s="3"/>
      <c r="T574" s="3"/>
      <c r="U574" s="4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4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4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4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</row>
    <row r="575" spans="7:181" ht="15" x14ac:dyDescent="0.25">
      <c r="G575" s="2"/>
      <c r="H575" s="2"/>
      <c r="I575" s="2"/>
      <c r="J575" s="2"/>
      <c r="K575" s="2"/>
      <c r="L575" s="3"/>
      <c r="M575" s="3"/>
      <c r="N575" s="3"/>
      <c r="O575" s="3"/>
      <c r="P575" s="3"/>
      <c r="Q575" s="3"/>
      <c r="R575" s="3"/>
      <c r="S575" s="3"/>
      <c r="T575" s="3"/>
      <c r="U575" s="4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4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4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4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</row>
    <row r="576" spans="7:181" ht="15" x14ac:dyDescent="0.25">
      <c r="G576" s="2"/>
      <c r="H576" s="2"/>
      <c r="I576" s="2"/>
      <c r="J576" s="2"/>
      <c r="K576" s="2"/>
      <c r="L576" s="3"/>
      <c r="M576" s="3"/>
      <c r="N576" s="3"/>
      <c r="O576" s="3"/>
      <c r="P576" s="3"/>
      <c r="Q576" s="3"/>
      <c r="R576" s="3"/>
      <c r="S576" s="3"/>
      <c r="T576" s="3"/>
      <c r="U576" s="4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4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4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4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</row>
    <row r="577" spans="7:181" ht="15" x14ac:dyDescent="0.25">
      <c r="G577" s="2"/>
      <c r="H577" s="2"/>
      <c r="I577" s="2"/>
      <c r="J577" s="2"/>
      <c r="K577" s="2"/>
      <c r="L577" s="3"/>
      <c r="M577" s="3"/>
      <c r="N577" s="3"/>
      <c r="O577" s="3"/>
      <c r="P577" s="3"/>
      <c r="Q577" s="3"/>
      <c r="R577" s="3"/>
      <c r="S577" s="3"/>
      <c r="T577" s="3"/>
      <c r="U577" s="4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4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4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4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</row>
    <row r="578" spans="7:181" ht="15" x14ac:dyDescent="0.25">
      <c r="G578" s="2"/>
      <c r="H578" s="2"/>
      <c r="I578" s="2"/>
      <c r="J578" s="2"/>
      <c r="K578" s="2"/>
      <c r="L578" s="3"/>
      <c r="M578" s="3"/>
      <c r="N578" s="3"/>
      <c r="O578" s="3"/>
      <c r="P578" s="3"/>
      <c r="Q578" s="3"/>
      <c r="R578" s="3"/>
      <c r="S578" s="3"/>
      <c r="T578" s="3"/>
      <c r="U578" s="4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4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4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4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</row>
    <row r="579" spans="7:181" ht="15" x14ac:dyDescent="0.25">
      <c r="G579" s="2"/>
      <c r="H579" s="2"/>
      <c r="I579" s="2"/>
      <c r="J579" s="2"/>
      <c r="K579" s="2"/>
      <c r="L579" s="3"/>
      <c r="M579" s="3"/>
      <c r="N579" s="3"/>
      <c r="O579" s="3"/>
      <c r="P579" s="3"/>
      <c r="Q579" s="3"/>
      <c r="R579" s="3"/>
      <c r="S579" s="3"/>
      <c r="T579" s="3"/>
      <c r="U579" s="4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4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4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4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</row>
    <row r="580" spans="7:181" ht="15" x14ac:dyDescent="0.25">
      <c r="G580" s="2"/>
      <c r="H580" s="2"/>
      <c r="I580" s="2"/>
      <c r="J580" s="2"/>
      <c r="K580" s="2"/>
      <c r="L580" s="3"/>
      <c r="M580" s="3"/>
      <c r="N580" s="3"/>
      <c r="O580" s="3"/>
      <c r="P580" s="3"/>
      <c r="Q580" s="3"/>
      <c r="R580" s="3"/>
      <c r="S580" s="3"/>
      <c r="T580" s="3"/>
      <c r="U580" s="4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4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4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4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</row>
    <row r="581" spans="7:181" ht="15" x14ac:dyDescent="0.25">
      <c r="G581" s="2"/>
      <c r="H581" s="2"/>
      <c r="I581" s="2"/>
      <c r="J581" s="2"/>
      <c r="K581" s="2"/>
      <c r="L581" s="3"/>
      <c r="M581" s="3"/>
      <c r="N581" s="3"/>
      <c r="O581" s="3"/>
      <c r="P581" s="3"/>
      <c r="Q581" s="3"/>
      <c r="R581" s="3"/>
      <c r="S581" s="3"/>
      <c r="T581" s="3"/>
      <c r="U581" s="4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4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4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4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</row>
    <row r="582" spans="7:181" ht="15" x14ac:dyDescent="0.25">
      <c r="G582" s="2"/>
      <c r="H582" s="2"/>
      <c r="I582" s="2"/>
      <c r="J582" s="2"/>
      <c r="K582" s="2"/>
      <c r="L582" s="3"/>
      <c r="M582" s="3"/>
      <c r="N582" s="3"/>
      <c r="O582" s="3"/>
      <c r="P582" s="3"/>
      <c r="Q582" s="3"/>
      <c r="R582" s="3"/>
      <c r="S582" s="3"/>
      <c r="T582" s="3"/>
      <c r="U582" s="4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4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4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4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</row>
    <row r="583" spans="7:181" ht="15" x14ac:dyDescent="0.25">
      <c r="G583" s="2"/>
      <c r="H583" s="2"/>
      <c r="I583" s="2"/>
      <c r="J583" s="2"/>
      <c r="K583" s="2"/>
      <c r="L583" s="3"/>
      <c r="M583" s="3"/>
      <c r="N583" s="3"/>
      <c r="O583" s="3"/>
      <c r="P583" s="3"/>
      <c r="Q583" s="3"/>
      <c r="R583" s="3"/>
      <c r="S583" s="3"/>
      <c r="T583" s="3"/>
      <c r="U583" s="4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4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4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4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</row>
    <row r="584" spans="7:181" ht="15" x14ac:dyDescent="0.25">
      <c r="G584" s="2"/>
      <c r="H584" s="2"/>
      <c r="I584" s="2"/>
      <c r="J584" s="2"/>
      <c r="K584" s="2"/>
      <c r="L584" s="3"/>
      <c r="M584" s="3"/>
      <c r="N584" s="3"/>
      <c r="O584" s="3"/>
      <c r="P584" s="3"/>
      <c r="Q584" s="3"/>
      <c r="R584" s="3"/>
      <c r="S584" s="3"/>
      <c r="T584" s="3"/>
      <c r="U584" s="4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4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4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4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</row>
    <row r="585" spans="7:181" ht="15" x14ac:dyDescent="0.25">
      <c r="G585" s="2"/>
      <c r="H585" s="2"/>
      <c r="I585" s="2"/>
      <c r="J585" s="2"/>
      <c r="K585" s="2"/>
      <c r="L585" s="3"/>
      <c r="M585" s="3"/>
      <c r="N585" s="3"/>
      <c r="O585" s="3"/>
      <c r="P585" s="3"/>
      <c r="Q585" s="3"/>
      <c r="R585" s="3"/>
      <c r="S585" s="3"/>
      <c r="T585" s="3"/>
      <c r="U585" s="4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4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4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4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</row>
    <row r="586" spans="7:181" ht="15" x14ac:dyDescent="0.25">
      <c r="G586" s="2"/>
      <c r="H586" s="2"/>
      <c r="I586" s="2"/>
      <c r="J586" s="2"/>
      <c r="K586" s="2"/>
      <c r="L586" s="3"/>
      <c r="M586" s="3"/>
      <c r="N586" s="3"/>
      <c r="O586" s="3"/>
      <c r="P586" s="3"/>
      <c r="Q586" s="3"/>
      <c r="R586" s="3"/>
      <c r="S586" s="3"/>
      <c r="T586" s="3"/>
      <c r="U586" s="4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4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4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4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</row>
    <row r="587" spans="7:181" ht="15" x14ac:dyDescent="0.25">
      <c r="G587" s="2"/>
      <c r="H587" s="2"/>
      <c r="I587" s="2"/>
      <c r="J587" s="2"/>
      <c r="K587" s="2"/>
      <c r="L587" s="3"/>
      <c r="M587" s="3"/>
      <c r="N587" s="3"/>
      <c r="O587" s="3"/>
      <c r="P587" s="3"/>
      <c r="Q587" s="3"/>
      <c r="R587" s="3"/>
      <c r="S587" s="3"/>
      <c r="T587" s="3"/>
      <c r="U587" s="4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4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4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4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</row>
    <row r="588" spans="7:181" ht="15" x14ac:dyDescent="0.25">
      <c r="G588" s="2"/>
      <c r="H588" s="2"/>
      <c r="I588" s="2"/>
      <c r="J588" s="2"/>
      <c r="K588" s="2"/>
      <c r="L588" s="3"/>
      <c r="M588" s="3"/>
      <c r="N588" s="3"/>
      <c r="O588" s="3"/>
      <c r="P588" s="3"/>
      <c r="Q588" s="3"/>
      <c r="R588" s="3"/>
      <c r="S588" s="3"/>
      <c r="T588" s="3"/>
      <c r="U588" s="4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4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4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4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</row>
    <row r="589" spans="7:181" ht="15" x14ac:dyDescent="0.25">
      <c r="G589" s="2"/>
      <c r="H589" s="2"/>
      <c r="I589" s="2"/>
      <c r="J589" s="2"/>
      <c r="K589" s="2"/>
      <c r="L589" s="3"/>
      <c r="M589" s="3"/>
      <c r="N589" s="3"/>
      <c r="O589" s="3"/>
      <c r="P589" s="3"/>
      <c r="Q589" s="3"/>
      <c r="R589" s="3"/>
      <c r="S589" s="3"/>
      <c r="T589" s="3"/>
      <c r="U589" s="4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4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4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4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</row>
    <row r="590" spans="7:181" ht="15" x14ac:dyDescent="0.25">
      <c r="G590" s="2"/>
      <c r="H590" s="2"/>
      <c r="I590" s="2"/>
      <c r="J590" s="2"/>
      <c r="K590" s="2"/>
      <c r="L590" s="3"/>
      <c r="M590" s="3"/>
      <c r="N590" s="3"/>
      <c r="O590" s="3"/>
      <c r="P590" s="3"/>
      <c r="Q590" s="3"/>
      <c r="R590" s="3"/>
      <c r="S590" s="3"/>
      <c r="T590" s="3"/>
      <c r="U590" s="4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4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4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4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</row>
    <row r="591" spans="7:181" ht="15" x14ac:dyDescent="0.25">
      <c r="G591" s="2"/>
      <c r="H591" s="2"/>
      <c r="I591" s="2"/>
      <c r="J591" s="2"/>
      <c r="K591" s="2"/>
      <c r="L591" s="3"/>
      <c r="M591" s="3"/>
      <c r="N591" s="3"/>
      <c r="O591" s="3"/>
      <c r="P591" s="3"/>
      <c r="Q591" s="3"/>
      <c r="R591" s="3"/>
      <c r="S591" s="3"/>
      <c r="T591" s="3"/>
      <c r="U591" s="4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4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4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4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</row>
    <row r="592" spans="7:181" ht="15" x14ac:dyDescent="0.25">
      <c r="G592" s="2"/>
      <c r="H592" s="2"/>
      <c r="I592" s="2"/>
      <c r="J592" s="2"/>
      <c r="K592" s="2"/>
      <c r="L592" s="3"/>
      <c r="M592" s="3"/>
      <c r="N592" s="3"/>
      <c r="O592" s="3"/>
      <c r="P592" s="3"/>
      <c r="Q592" s="3"/>
      <c r="R592" s="3"/>
      <c r="S592" s="3"/>
      <c r="T592" s="3"/>
      <c r="U592" s="4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4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4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4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</row>
    <row r="593" spans="7:181" ht="15" x14ac:dyDescent="0.25">
      <c r="G593" s="2"/>
      <c r="H593" s="2"/>
      <c r="I593" s="2"/>
      <c r="J593" s="2"/>
      <c r="K593" s="2"/>
      <c r="L593" s="3"/>
      <c r="M593" s="3"/>
      <c r="N593" s="3"/>
      <c r="O593" s="3"/>
      <c r="P593" s="3"/>
      <c r="Q593" s="3"/>
      <c r="R593" s="3"/>
      <c r="S593" s="3"/>
      <c r="T593" s="3"/>
      <c r="U593" s="4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4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4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4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</row>
    <row r="594" spans="7:181" ht="15" x14ac:dyDescent="0.25">
      <c r="G594" s="2"/>
      <c r="H594" s="2"/>
      <c r="I594" s="2"/>
      <c r="J594" s="2"/>
      <c r="K594" s="2"/>
      <c r="L594" s="3"/>
      <c r="M594" s="3"/>
      <c r="N594" s="3"/>
      <c r="O594" s="3"/>
      <c r="P594" s="3"/>
      <c r="Q594" s="3"/>
      <c r="R594" s="3"/>
      <c r="S594" s="3"/>
      <c r="T594" s="3"/>
      <c r="U594" s="4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4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4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4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</row>
    <row r="595" spans="7:181" ht="15" x14ac:dyDescent="0.25">
      <c r="G595" s="2"/>
      <c r="H595" s="2"/>
      <c r="I595" s="2"/>
      <c r="J595" s="2"/>
      <c r="K595" s="2"/>
      <c r="L595" s="3"/>
      <c r="M595" s="3"/>
      <c r="N595" s="3"/>
      <c r="O595" s="3"/>
      <c r="P595" s="3"/>
      <c r="Q595" s="3"/>
      <c r="R595" s="3"/>
      <c r="S595" s="3"/>
      <c r="T595" s="3"/>
      <c r="U595" s="4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4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4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4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</row>
    <row r="596" spans="7:181" ht="15" x14ac:dyDescent="0.25">
      <c r="G596" s="2"/>
      <c r="H596" s="2"/>
      <c r="I596" s="2"/>
      <c r="J596" s="2"/>
      <c r="K596" s="2"/>
      <c r="L596" s="3"/>
      <c r="M596" s="3"/>
      <c r="N596" s="3"/>
      <c r="O596" s="3"/>
      <c r="P596" s="3"/>
      <c r="Q596" s="3"/>
      <c r="R596" s="3"/>
      <c r="S596" s="3"/>
      <c r="T596" s="3"/>
      <c r="U596" s="4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4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4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4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</row>
    <row r="597" spans="7:181" ht="15" x14ac:dyDescent="0.25">
      <c r="G597" s="2"/>
      <c r="H597" s="2"/>
      <c r="I597" s="2"/>
      <c r="J597" s="2"/>
      <c r="K597" s="2"/>
      <c r="L597" s="3"/>
      <c r="M597" s="3"/>
      <c r="N597" s="3"/>
      <c r="O597" s="3"/>
      <c r="P597" s="3"/>
      <c r="Q597" s="3"/>
      <c r="R597" s="3"/>
      <c r="S597" s="3"/>
      <c r="T597" s="3"/>
      <c r="U597" s="4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4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4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4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</row>
    <row r="598" spans="7:181" ht="15" x14ac:dyDescent="0.25">
      <c r="G598" s="2"/>
      <c r="H598" s="2"/>
      <c r="I598" s="2"/>
      <c r="J598" s="2"/>
      <c r="K598" s="2"/>
      <c r="L598" s="3"/>
      <c r="M598" s="3"/>
      <c r="N598" s="3"/>
      <c r="O598" s="3"/>
      <c r="P598" s="3"/>
      <c r="Q598" s="3"/>
      <c r="R598" s="3"/>
      <c r="S598" s="3"/>
      <c r="T598" s="3"/>
      <c r="U598" s="4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4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4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4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</row>
    <row r="599" spans="7:181" ht="15" x14ac:dyDescent="0.25">
      <c r="G599" s="2"/>
      <c r="H599" s="2"/>
      <c r="I599" s="2"/>
      <c r="J599" s="2"/>
      <c r="K599" s="2"/>
      <c r="L599" s="3"/>
      <c r="M599" s="3"/>
      <c r="N599" s="3"/>
      <c r="O599" s="3"/>
      <c r="P599" s="3"/>
      <c r="Q599" s="3"/>
      <c r="R599" s="3"/>
      <c r="S599" s="3"/>
      <c r="T599" s="3"/>
      <c r="U599" s="4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4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4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4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</row>
    <row r="600" spans="7:181" ht="15" x14ac:dyDescent="0.25">
      <c r="G600" s="2"/>
      <c r="H600" s="2"/>
      <c r="I600" s="2"/>
      <c r="J600" s="2"/>
      <c r="K600" s="2"/>
      <c r="L600" s="3"/>
      <c r="M600" s="3"/>
      <c r="N600" s="3"/>
      <c r="O600" s="3"/>
      <c r="P600" s="3"/>
      <c r="Q600" s="3"/>
      <c r="R600" s="3"/>
      <c r="S600" s="3"/>
      <c r="T600" s="3"/>
      <c r="U600" s="4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4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4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4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</row>
    <row r="601" spans="7:181" ht="15" x14ac:dyDescent="0.25">
      <c r="G601" s="2"/>
      <c r="H601" s="2"/>
      <c r="I601" s="2"/>
      <c r="J601" s="2"/>
      <c r="K601" s="2"/>
      <c r="L601" s="3"/>
      <c r="M601" s="3"/>
      <c r="N601" s="3"/>
      <c r="O601" s="3"/>
      <c r="P601" s="3"/>
      <c r="Q601" s="3"/>
      <c r="R601" s="3"/>
      <c r="S601" s="3"/>
      <c r="T601" s="3"/>
      <c r="U601" s="4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4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4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4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</row>
    <row r="602" spans="7:181" ht="15" x14ac:dyDescent="0.25">
      <c r="G602" s="2"/>
      <c r="H602" s="2"/>
      <c r="I602" s="2"/>
      <c r="J602" s="2"/>
      <c r="K602" s="2"/>
      <c r="L602" s="3"/>
      <c r="M602" s="3"/>
      <c r="N602" s="3"/>
      <c r="O602" s="3"/>
      <c r="P602" s="3"/>
      <c r="Q602" s="3"/>
      <c r="R602" s="3"/>
      <c r="S602" s="3"/>
      <c r="T602" s="3"/>
      <c r="U602" s="4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4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4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4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</row>
    <row r="603" spans="7:181" ht="15" x14ac:dyDescent="0.25">
      <c r="G603" s="2"/>
      <c r="H603" s="2"/>
      <c r="I603" s="2"/>
      <c r="J603" s="2"/>
      <c r="K603" s="2"/>
      <c r="L603" s="3"/>
      <c r="M603" s="3"/>
      <c r="N603" s="3"/>
      <c r="O603" s="3"/>
      <c r="P603" s="3"/>
      <c r="Q603" s="3"/>
      <c r="R603" s="3"/>
      <c r="S603" s="3"/>
      <c r="T603" s="3"/>
      <c r="U603" s="4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4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4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4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</row>
    <row r="604" spans="7:181" ht="15" x14ac:dyDescent="0.25">
      <c r="G604" s="2"/>
      <c r="H604" s="2"/>
      <c r="I604" s="2"/>
      <c r="J604" s="2"/>
      <c r="K604" s="2"/>
      <c r="L604" s="3"/>
      <c r="M604" s="3"/>
      <c r="N604" s="3"/>
      <c r="O604" s="3"/>
      <c r="P604" s="3"/>
      <c r="Q604" s="3"/>
      <c r="R604" s="3"/>
      <c r="S604" s="3"/>
      <c r="T604" s="3"/>
      <c r="U604" s="4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4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4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4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</row>
    <row r="605" spans="7:181" ht="15" x14ac:dyDescent="0.25">
      <c r="G605" s="2"/>
      <c r="H605" s="2"/>
      <c r="I605" s="2"/>
      <c r="J605" s="2"/>
      <c r="K605" s="2"/>
      <c r="L605" s="3"/>
      <c r="M605" s="3"/>
      <c r="N605" s="3"/>
      <c r="O605" s="3"/>
      <c r="P605" s="3"/>
      <c r="Q605" s="3"/>
      <c r="R605" s="3"/>
      <c r="S605" s="3"/>
      <c r="T605" s="3"/>
      <c r="U605" s="4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4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4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4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</row>
    <row r="606" spans="7:181" ht="15" x14ac:dyDescent="0.25">
      <c r="G606" s="2"/>
      <c r="H606" s="2"/>
      <c r="I606" s="2"/>
      <c r="J606" s="2"/>
      <c r="K606" s="2"/>
      <c r="L606" s="3"/>
      <c r="M606" s="3"/>
      <c r="N606" s="3"/>
      <c r="O606" s="3"/>
      <c r="P606" s="3"/>
      <c r="Q606" s="3"/>
      <c r="R606" s="3"/>
      <c r="S606" s="3"/>
      <c r="T606" s="3"/>
      <c r="U606" s="4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4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4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4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</row>
    <row r="607" spans="7:181" ht="15" x14ac:dyDescent="0.25">
      <c r="G607" s="2"/>
      <c r="H607" s="2"/>
      <c r="I607" s="2"/>
      <c r="J607" s="2"/>
      <c r="K607" s="2"/>
      <c r="L607" s="3"/>
      <c r="M607" s="3"/>
      <c r="N607" s="3"/>
      <c r="O607" s="3"/>
      <c r="P607" s="3"/>
      <c r="Q607" s="3"/>
      <c r="R607" s="3"/>
      <c r="S607" s="3"/>
      <c r="T607" s="3"/>
      <c r="U607" s="4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4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4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4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</row>
    <row r="608" spans="7:181" ht="15" x14ac:dyDescent="0.25">
      <c r="G608" s="2"/>
      <c r="H608" s="2"/>
      <c r="I608" s="2"/>
      <c r="J608" s="2"/>
      <c r="K608" s="2"/>
      <c r="L608" s="3"/>
      <c r="M608" s="3"/>
      <c r="N608" s="3"/>
      <c r="O608" s="3"/>
      <c r="P608" s="3"/>
      <c r="Q608" s="3"/>
      <c r="R608" s="3"/>
      <c r="S608" s="3"/>
      <c r="T608" s="3"/>
      <c r="U608" s="4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4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4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4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</row>
    <row r="609" spans="7:181" ht="15" x14ac:dyDescent="0.25">
      <c r="G609" s="2"/>
      <c r="H609" s="2"/>
      <c r="I609" s="2"/>
      <c r="J609" s="2"/>
      <c r="K609" s="2"/>
      <c r="L609" s="3"/>
      <c r="M609" s="3"/>
      <c r="N609" s="3"/>
      <c r="O609" s="3"/>
      <c r="P609" s="3"/>
      <c r="Q609" s="3"/>
      <c r="R609" s="3"/>
      <c r="S609" s="3"/>
      <c r="T609" s="3"/>
      <c r="U609" s="4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4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4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4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</row>
    <row r="610" spans="7:181" ht="15" x14ac:dyDescent="0.25">
      <c r="G610" s="2"/>
      <c r="H610" s="2"/>
      <c r="I610" s="2"/>
      <c r="J610" s="2"/>
      <c r="K610" s="2"/>
      <c r="L610" s="3"/>
      <c r="M610" s="3"/>
      <c r="N610" s="3"/>
      <c r="O610" s="3"/>
      <c r="P610" s="3"/>
      <c r="Q610" s="3"/>
      <c r="R610" s="3"/>
      <c r="S610" s="3"/>
      <c r="T610" s="3"/>
      <c r="U610" s="4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4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4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4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</row>
    <row r="611" spans="7:181" ht="15" x14ac:dyDescent="0.25">
      <c r="G611" s="2"/>
      <c r="H611" s="2"/>
      <c r="I611" s="2"/>
      <c r="J611" s="2"/>
      <c r="K611" s="2"/>
      <c r="L611" s="3"/>
      <c r="M611" s="3"/>
      <c r="N611" s="3"/>
      <c r="O611" s="3"/>
      <c r="P611" s="3"/>
      <c r="Q611" s="3"/>
      <c r="R611" s="3"/>
      <c r="S611" s="3"/>
      <c r="T611" s="3"/>
      <c r="U611" s="4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4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4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4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</row>
    <row r="612" spans="7:181" ht="15" x14ac:dyDescent="0.25">
      <c r="G612" s="2"/>
      <c r="H612" s="2"/>
      <c r="I612" s="2"/>
      <c r="J612" s="2"/>
      <c r="K612" s="2"/>
      <c r="L612" s="3"/>
      <c r="M612" s="3"/>
      <c r="N612" s="3"/>
      <c r="O612" s="3"/>
      <c r="P612" s="3"/>
      <c r="Q612" s="3"/>
      <c r="R612" s="3"/>
      <c r="S612" s="3"/>
      <c r="T612" s="3"/>
      <c r="U612" s="4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4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4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4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</row>
    <row r="613" spans="7:181" ht="15" x14ac:dyDescent="0.25">
      <c r="G613" s="2"/>
      <c r="H613" s="2"/>
      <c r="I613" s="2"/>
      <c r="J613" s="2"/>
      <c r="K613" s="2"/>
      <c r="L613" s="3"/>
      <c r="M613" s="3"/>
      <c r="N613" s="3"/>
      <c r="O613" s="3"/>
      <c r="P613" s="3"/>
      <c r="Q613" s="3"/>
      <c r="R613" s="3"/>
      <c r="S613" s="3"/>
      <c r="T613" s="3"/>
      <c r="U613" s="4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4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4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4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</row>
    <row r="614" spans="7:181" ht="15" x14ac:dyDescent="0.25">
      <c r="G614" s="2"/>
      <c r="H614" s="2"/>
      <c r="I614" s="2"/>
      <c r="J614" s="2"/>
      <c r="K614" s="2"/>
      <c r="L614" s="3"/>
      <c r="M614" s="3"/>
      <c r="N614" s="3"/>
      <c r="O614" s="3"/>
      <c r="P614" s="3"/>
      <c r="Q614" s="3"/>
      <c r="R614" s="3"/>
      <c r="S614" s="3"/>
      <c r="T614" s="3"/>
      <c r="U614" s="4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4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4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4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</row>
    <row r="615" spans="7:181" ht="15" x14ac:dyDescent="0.25">
      <c r="G615" s="2"/>
      <c r="H615" s="2"/>
      <c r="I615" s="2"/>
      <c r="J615" s="2"/>
      <c r="K615" s="2"/>
      <c r="L615" s="3"/>
      <c r="M615" s="3"/>
      <c r="N615" s="3"/>
      <c r="O615" s="3"/>
      <c r="P615" s="3"/>
      <c r="Q615" s="3"/>
      <c r="R615" s="3"/>
      <c r="S615" s="3"/>
      <c r="T615" s="3"/>
      <c r="U615" s="4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4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4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4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</row>
    <row r="616" spans="7:181" ht="15" x14ac:dyDescent="0.25">
      <c r="G616" s="2"/>
      <c r="H616" s="2"/>
      <c r="I616" s="2"/>
      <c r="J616" s="2"/>
      <c r="K616" s="2"/>
      <c r="L616" s="3"/>
      <c r="M616" s="3"/>
      <c r="N616" s="3"/>
      <c r="O616" s="3"/>
      <c r="P616" s="3"/>
      <c r="Q616" s="3"/>
      <c r="R616" s="3"/>
      <c r="S616" s="3"/>
      <c r="T616" s="3"/>
      <c r="U616" s="4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4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4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4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</row>
    <row r="617" spans="7:181" ht="15" x14ac:dyDescent="0.25">
      <c r="G617" s="2"/>
      <c r="H617" s="2"/>
      <c r="I617" s="2"/>
      <c r="J617" s="2"/>
      <c r="K617" s="2"/>
      <c r="L617" s="3"/>
      <c r="M617" s="3"/>
      <c r="N617" s="3"/>
      <c r="O617" s="3"/>
      <c r="P617" s="3"/>
      <c r="Q617" s="3"/>
      <c r="R617" s="3"/>
      <c r="S617" s="3"/>
      <c r="T617" s="3"/>
      <c r="U617" s="4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4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4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4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</row>
    <row r="618" spans="7:181" ht="15" x14ac:dyDescent="0.25">
      <c r="G618" s="2"/>
      <c r="H618" s="2"/>
      <c r="I618" s="2"/>
      <c r="J618" s="2"/>
      <c r="K618" s="2"/>
      <c r="L618" s="3"/>
      <c r="M618" s="3"/>
      <c r="N618" s="3"/>
      <c r="O618" s="3"/>
      <c r="P618" s="3"/>
      <c r="Q618" s="3"/>
      <c r="R618" s="3"/>
      <c r="S618" s="3"/>
      <c r="T618" s="3"/>
      <c r="U618" s="4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4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4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4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</row>
    <row r="619" spans="7:181" ht="15" x14ac:dyDescent="0.25">
      <c r="G619" s="2"/>
      <c r="H619" s="2"/>
      <c r="I619" s="2"/>
      <c r="J619" s="2"/>
      <c r="K619" s="2"/>
      <c r="L619" s="3"/>
      <c r="M619" s="3"/>
      <c r="N619" s="3"/>
      <c r="O619" s="3"/>
      <c r="P619" s="3"/>
      <c r="Q619" s="3"/>
      <c r="R619" s="3"/>
      <c r="S619" s="3"/>
      <c r="T619" s="3"/>
      <c r="U619" s="4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4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4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4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</row>
    <row r="620" spans="7:181" ht="15" x14ac:dyDescent="0.25">
      <c r="G620" s="2"/>
      <c r="H620" s="2"/>
      <c r="I620" s="2"/>
      <c r="J620" s="2"/>
      <c r="K620" s="2"/>
      <c r="L620" s="3"/>
      <c r="M620" s="3"/>
      <c r="N620" s="3"/>
      <c r="O620" s="3"/>
      <c r="P620" s="3"/>
      <c r="Q620" s="3"/>
      <c r="R620" s="3"/>
      <c r="S620" s="3"/>
      <c r="T620" s="3"/>
      <c r="U620" s="4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4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4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4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</row>
    <row r="621" spans="7:181" ht="15" x14ac:dyDescent="0.25">
      <c r="G621" s="2"/>
      <c r="H621" s="2"/>
      <c r="I621" s="2"/>
      <c r="J621" s="2"/>
      <c r="K621" s="2"/>
      <c r="L621" s="3"/>
      <c r="M621" s="3"/>
      <c r="N621" s="3"/>
      <c r="O621" s="3"/>
      <c r="P621" s="3"/>
      <c r="Q621" s="3"/>
      <c r="R621" s="3"/>
      <c r="S621" s="3"/>
      <c r="T621" s="3"/>
      <c r="U621" s="4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4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4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4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</row>
    <row r="622" spans="7:181" ht="15" x14ac:dyDescent="0.25">
      <c r="G622" s="2"/>
      <c r="H622" s="2"/>
      <c r="I622" s="2"/>
      <c r="J622" s="2"/>
      <c r="K622" s="2"/>
      <c r="L622" s="3"/>
      <c r="M622" s="3"/>
      <c r="N622" s="3"/>
      <c r="O622" s="3"/>
      <c r="P622" s="3"/>
      <c r="Q622" s="3"/>
      <c r="R622" s="3"/>
      <c r="S622" s="3"/>
      <c r="T622" s="3"/>
      <c r="U622" s="4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4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4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4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</row>
    <row r="623" spans="7:181" ht="15" x14ac:dyDescent="0.25">
      <c r="G623" s="2"/>
      <c r="H623" s="2"/>
      <c r="I623" s="2"/>
      <c r="J623" s="2"/>
      <c r="K623" s="2"/>
      <c r="L623" s="3"/>
      <c r="M623" s="3"/>
      <c r="N623" s="3"/>
      <c r="O623" s="3"/>
      <c r="P623" s="3"/>
      <c r="Q623" s="3"/>
      <c r="R623" s="3"/>
      <c r="S623" s="3"/>
      <c r="T623" s="3"/>
      <c r="U623" s="4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4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4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4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</row>
    <row r="624" spans="7:181" ht="15" x14ac:dyDescent="0.25">
      <c r="G624" s="2"/>
      <c r="H624" s="2"/>
      <c r="I624" s="2"/>
      <c r="J624" s="2"/>
      <c r="K624" s="2"/>
      <c r="L624" s="3"/>
      <c r="M624" s="3"/>
      <c r="N624" s="3"/>
      <c r="O624" s="3"/>
      <c r="P624" s="3"/>
      <c r="Q624" s="3"/>
      <c r="R624" s="3"/>
      <c r="S624" s="3"/>
      <c r="T624" s="3"/>
      <c r="U624" s="4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4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4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4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</row>
    <row r="625" spans="7:181" ht="15" x14ac:dyDescent="0.25">
      <c r="G625" s="2"/>
      <c r="H625" s="2"/>
      <c r="I625" s="2"/>
      <c r="J625" s="2"/>
      <c r="K625" s="2"/>
      <c r="L625" s="3"/>
      <c r="M625" s="3"/>
      <c r="N625" s="3"/>
      <c r="O625" s="3"/>
      <c r="P625" s="3"/>
      <c r="Q625" s="3"/>
      <c r="R625" s="3"/>
      <c r="S625" s="3"/>
      <c r="T625" s="3"/>
      <c r="U625" s="4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4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4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4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</row>
    <row r="626" spans="7:181" ht="15" x14ac:dyDescent="0.25">
      <c r="G626" s="2"/>
      <c r="H626" s="2"/>
      <c r="I626" s="2"/>
      <c r="J626" s="2"/>
      <c r="K626" s="2"/>
      <c r="L626" s="3"/>
      <c r="M626" s="3"/>
      <c r="N626" s="3"/>
      <c r="O626" s="3"/>
      <c r="P626" s="3"/>
      <c r="Q626" s="3"/>
      <c r="R626" s="3"/>
      <c r="S626" s="3"/>
      <c r="T626" s="3"/>
      <c r="U626" s="4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4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4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4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</row>
    <row r="627" spans="7:181" ht="15" x14ac:dyDescent="0.25">
      <c r="G627" s="2"/>
      <c r="H627" s="2"/>
      <c r="I627" s="2"/>
      <c r="J627" s="2"/>
      <c r="K627" s="2"/>
      <c r="L627" s="3"/>
      <c r="M627" s="3"/>
      <c r="N627" s="3"/>
      <c r="O627" s="3"/>
      <c r="P627" s="3"/>
      <c r="Q627" s="3"/>
      <c r="R627" s="3"/>
      <c r="S627" s="3"/>
      <c r="T627" s="3"/>
      <c r="U627" s="4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4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4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4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</row>
    <row r="628" spans="7:181" ht="15" x14ac:dyDescent="0.25">
      <c r="G628" s="2"/>
      <c r="H628" s="2"/>
      <c r="I628" s="2"/>
      <c r="J628" s="2"/>
      <c r="K628" s="2"/>
      <c r="L628" s="3"/>
      <c r="M628" s="3"/>
      <c r="N628" s="3"/>
      <c r="O628" s="3"/>
      <c r="P628" s="3"/>
      <c r="Q628" s="3"/>
      <c r="R628" s="3"/>
      <c r="S628" s="3"/>
      <c r="T628" s="3"/>
      <c r="U628" s="4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4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4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4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</row>
    <row r="629" spans="7:181" ht="15" x14ac:dyDescent="0.25">
      <c r="G629" s="2"/>
      <c r="H629" s="2"/>
      <c r="I629" s="2"/>
      <c r="J629" s="2"/>
      <c r="K629" s="2"/>
      <c r="L629" s="3"/>
      <c r="M629" s="3"/>
      <c r="N629" s="3"/>
      <c r="O629" s="3"/>
      <c r="P629" s="3"/>
      <c r="Q629" s="3"/>
      <c r="R629" s="3"/>
      <c r="S629" s="3"/>
      <c r="T629" s="3"/>
      <c r="U629" s="4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4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4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4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</row>
    <row r="630" spans="7:181" ht="15" x14ac:dyDescent="0.25">
      <c r="G630" s="2"/>
      <c r="H630" s="2"/>
      <c r="I630" s="2"/>
      <c r="J630" s="2"/>
      <c r="K630" s="2"/>
      <c r="L630" s="3"/>
      <c r="M630" s="3"/>
      <c r="N630" s="3"/>
      <c r="O630" s="3"/>
      <c r="P630" s="3"/>
      <c r="Q630" s="3"/>
      <c r="R630" s="3"/>
      <c r="S630" s="3"/>
      <c r="T630" s="3"/>
      <c r="U630" s="4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4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4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4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</row>
    <row r="631" spans="7:181" ht="15" x14ac:dyDescent="0.25">
      <c r="G631" s="2"/>
      <c r="H631" s="2"/>
      <c r="I631" s="2"/>
      <c r="J631" s="2"/>
      <c r="K631" s="2"/>
      <c r="L631" s="3"/>
      <c r="M631" s="3"/>
      <c r="N631" s="3"/>
      <c r="O631" s="3"/>
      <c r="P631" s="3"/>
      <c r="Q631" s="3"/>
      <c r="R631" s="3"/>
      <c r="S631" s="3"/>
      <c r="T631" s="3"/>
      <c r="U631" s="4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4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4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4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</row>
    <row r="632" spans="7:181" ht="15" x14ac:dyDescent="0.25">
      <c r="G632" s="2"/>
      <c r="H632" s="2"/>
      <c r="I632" s="2"/>
      <c r="J632" s="2"/>
      <c r="K632" s="2"/>
      <c r="L632" s="3"/>
      <c r="M632" s="3"/>
      <c r="N632" s="3"/>
      <c r="O632" s="3"/>
      <c r="P632" s="3"/>
      <c r="Q632" s="3"/>
      <c r="R632" s="3"/>
      <c r="S632" s="3"/>
      <c r="T632" s="3"/>
      <c r="U632" s="4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4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4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4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</row>
    <row r="633" spans="7:181" ht="15" x14ac:dyDescent="0.25">
      <c r="G633" s="2"/>
      <c r="H633" s="2"/>
      <c r="I633" s="2"/>
      <c r="J633" s="2"/>
      <c r="K633" s="2"/>
      <c r="L633" s="3"/>
      <c r="M633" s="3"/>
      <c r="N633" s="3"/>
      <c r="O633" s="3"/>
      <c r="P633" s="3"/>
      <c r="Q633" s="3"/>
      <c r="R633" s="3"/>
      <c r="S633" s="3"/>
      <c r="T633" s="3"/>
      <c r="U633" s="4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4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4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4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</row>
    <row r="634" spans="7:181" ht="15" x14ac:dyDescent="0.25">
      <c r="G634" s="2"/>
      <c r="H634" s="2"/>
      <c r="I634" s="2"/>
      <c r="J634" s="2"/>
      <c r="K634" s="2"/>
      <c r="L634" s="3"/>
      <c r="M634" s="3"/>
      <c r="N634" s="3"/>
      <c r="O634" s="3"/>
      <c r="P634" s="3"/>
      <c r="Q634" s="3"/>
      <c r="R634" s="3"/>
      <c r="S634" s="3"/>
      <c r="T634" s="3"/>
      <c r="U634" s="4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4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4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4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</row>
    <row r="635" spans="7:181" ht="15" x14ac:dyDescent="0.25">
      <c r="G635" s="2"/>
      <c r="H635" s="2"/>
      <c r="I635" s="2"/>
      <c r="J635" s="2"/>
      <c r="K635" s="2"/>
      <c r="L635" s="3"/>
      <c r="M635" s="3"/>
      <c r="N635" s="3"/>
      <c r="O635" s="3"/>
      <c r="P635" s="3"/>
      <c r="Q635" s="3"/>
      <c r="R635" s="3"/>
      <c r="S635" s="3"/>
      <c r="T635" s="3"/>
      <c r="U635" s="4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4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4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4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</row>
    <row r="636" spans="7:181" ht="15" x14ac:dyDescent="0.25">
      <c r="G636" s="2"/>
      <c r="H636" s="2"/>
      <c r="I636" s="2"/>
      <c r="J636" s="2"/>
      <c r="K636" s="2"/>
      <c r="L636" s="3"/>
      <c r="M636" s="3"/>
      <c r="N636" s="3"/>
      <c r="O636" s="3"/>
      <c r="P636" s="3"/>
      <c r="Q636" s="3"/>
      <c r="R636" s="3"/>
      <c r="S636" s="3"/>
      <c r="T636" s="3"/>
      <c r="U636" s="4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4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4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4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</row>
    <row r="637" spans="7:181" ht="15" x14ac:dyDescent="0.25">
      <c r="G637" s="2"/>
      <c r="H637" s="2"/>
      <c r="I637" s="2"/>
      <c r="J637" s="2"/>
      <c r="K637" s="2"/>
      <c r="L637" s="3"/>
      <c r="M637" s="3"/>
      <c r="N637" s="3"/>
      <c r="O637" s="3"/>
      <c r="P637" s="3"/>
      <c r="Q637" s="3"/>
      <c r="R637" s="3"/>
      <c r="S637" s="3"/>
      <c r="T637" s="3"/>
      <c r="U637" s="4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4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4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4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</row>
    <row r="638" spans="7:181" ht="15" x14ac:dyDescent="0.25">
      <c r="G638" s="2"/>
      <c r="H638" s="2"/>
      <c r="I638" s="2"/>
      <c r="J638" s="2"/>
      <c r="K638" s="2"/>
      <c r="L638" s="3"/>
      <c r="M638" s="3"/>
      <c r="N638" s="3"/>
      <c r="O638" s="3"/>
      <c r="P638" s="3"/>
      <c r="Q638" s="3"/>
      <c r="R638" s="3"/>
      <c r="S638" s="3"/>
      <c r="T638" s="3"/>
      <c r="U638" s="4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4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4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4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</row>
    <row r="639" spans="7:181" ht="15" x14ac:dyDescent="0.25">
      <c r="G639" s="2"/>
      <c r="H639" s="2"/>
      <c r="I639" s="2"/>
      <c r="J639" s="2"/>
      <c r="K639" s="2"/>
      <c r="L639" s="3"/>
      <c r="M639" s="3"/>
      <c r="N639" s="3"/>
      <c r="O639" s="3"/>
      <c r="P639" s="3"/>
      <c r="Q639" s="3"/>
      <c r="R639" s="3"/>
      <c r="S639" s="3"/>
      <c r="T639" s="3"/>
      <c r="U639" s="4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4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4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4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</row>
    <row r="640" spans="7:181" ht="15" x14ac:dyDescent="0.25">
      <c r="G640" s="2"/>
      <c r="H640" s="2"/>
      <c r="I640" s="2"/>
      <c r="J640" s="2"/>
      <c r="K640" s="2"/>
      <c r="L640" s="3"/>
      <c r="M640" s="3"/>
      <c r="N640" s="3"/>
      <c r="O640" s="3"/>
      <c r="P640" s="3"/>
      <c r="Q640" s="3"/>
      <c r="R640" s="3"/>
      <c r="S640" s="3"/>
      <c r="T640" s="3"/>
      <c r="U640" s="4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4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4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4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</row>
    <row r="641" spans="7:181" ht="15" x14ac:dyDescent="0.25">
      <c r="G641" s="2"/>
      <c r="H641" s="2"/>
      <c r="I641" s="2"/>
      <c r="J641" s="2"/>
      <c r="K641" s="2"/>
      <c r="L641" s="3"/>
      <c r="M641" s="3"/>
      <c r="N641" s="3"/>
      <c r="O641" s="3"/>
      <c r="P641" s="3"/>
      <c r="Q641" s="3"/>
      <c r="R641" s="3"/>
      <c r="S641" s="3"/>
      <c r="T641" s="3"/>
      <c r="U641" s="4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4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4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4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</row>
    <row r="642" spans="7:181" ht="15" x14ac:dyDescent="0.25">
      <c r="G642" s="2"/>
      <c r="H642" s="2"/>
      <c r="I642" s="2"/>
      <c r="J642" s="2"/>
      <c r="K642" s="2"/>
      <c r="L642" s="3"/>
      <c r="M642" s="3"/>
      <c r="N642" s="3"/>
      <c r="O642" s="3"/>
      <c r="P642" s="3"/>
      <c r="Q642" s="3"/>
      <c r="R642" s="3"/>
      <c r="S642" s="3"/>
      <c r="T642" s="3"/>
      <c r="U642" s="4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4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4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4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</row>
    <row r="643" spans="7:181" ht="15" x14ac:dyDescent="0.25">
      <c r="G643" s="2"/>
      <c r="H643" s="2"/>
      <c r="I643" s="2"/>
      <c r="J643" s="2"/>
      <c r="K643" s="2"/>
      <c r="L643" s="3"/>
      <c r="M643" s="3"/>
      <c r="N643" s="3"/>
      <c r="O643" s="3"/>
      <c r="P643" s="3"/>
      <c r="Q643" s="3"/>
      <c r="R643" s="3"/>
      <c r="S643" s="3"/>
      <c r="T643" s="3"/>
      <c r="U643" s="4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4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4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4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</row>
    <row r="644" spans="7:181" ht="15" x14ac:dyDescent="0.25">
      <c r="G644" s="2"/>
      <c r="H644" s="2"/>
      <c r="I644" s="2"/>
      <c r="J644" s="2"/>
      <c r="K644" s="2"/>
      <c r="L644" s="3"/>
      <c r="M644" s="3"/>
      <c r="N644" s="3"/>
      <c r="O644" s="3"/>
      <c r="P644" s="3"/>
      <c r="Q644" s="3"/>
      <c r="R644" s="3"/>
      <c r="S644" s="3"/>
      <c r="T644" s="3"/>
      <c r="U644" s="4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4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4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4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</row>
    <row r="645" spans="7:181" ht="15" x14ac:dyDescent="0.25">
      <c r="G645" s="2"/>
      <c r="H645" s="2"/>
      <c r="I645" s="2"/>
      <c r="J645" s="2"/>
      <c r="K645" s="2"/>
      <c r="L645" s="3"/>
      <c r="M645" s="3"/>
      <c r="N645" s="3"/>
      <c r="O645" s="3"/>
      <c r="P645" s="3"/>
      <c r="Q645" s="3"/>
      <c r="R645" s="3"/>
      <c r="S645" s="3"/>
      <c r="T645" s="3"/>
      <c r="U645" s="4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4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4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4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</row>
    <row r="646" spans="7:181" ht="15" x14ac:dyDescent="0.25">
      <c r="G646" s="2"/>
      <c r="H646" s="2"/>
      <c r="I646" s="2"/>
      <c r="J646" s="2"/>
      <c r="K646" s="2"/>
      <c r="L646" s="3"/>
      <c r="M646" s="3"/>
      <c r="N646" s="3"/>
      <c r="O646" s="3"/>
      <c r="P646" s="3"/>
      <c r="Q646" s="3"/>
      <c r="R646" s="3"/>
      <c r="S646" s="3"/>
      <c r="T646" s="3"/>
      <c r="U646" s="4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4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4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4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</row>
    <row r="647" spans="7:181" ht="15" x14ac:dyDescent="0.25">
      <c r="G647" s="2"/>
      <c r="H647" s="2"/>
      <c r="I647" s="2"/>
      <c r="J647" s="2"/>
      <c r="K647" s="2"/>
      <c r="L647" s="3"/>
      <c r="M647" s="3"/>
      <c r="N647" s="3"/>
      <c r="O647" s="3"/>
      <c r="P647" s="3"/>
      <c r="Q647" s="3"/>
      <c r="R647" s="3"/>
      <c r="S647" s="3"/>
      <c r="T647" s="3"/>
      <c r="U647" s="4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4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4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4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</row>
    <row r="648" spans="7:181" ht="15" x14ac:dyDescent="0.25">
      <c r="G648" s="2"/>
      <c r="H648" s="2"/>
      <c r="I648" s="2"/>
      <c r="J648" s="2"/>
      <c r="K648" s="2"/>
      <c r="L648" s="3"/>
      <c r="M648" s="3"/>
      <c r="N648" s="3"/>
      <c r="O648" s="3"/>
      <c r="P648" s="3"/>
      <c r="Q648" s="3"/>
      <c r="R648" s="3"/>
      <c r="S648" s="3"/>
      <c r="T648" s="3"/>
      <c r="U648" s="4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4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4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4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</row>
    <row r="649" spans="7:181" ht="15" x14ac:dyDescent="0.25">
      <c r="G649" s="2"/>
      <c r="H649" s="2"/>
      <c r="I649" s="2"/>
      <c r="J649" s="2"/>
      <c r="K649" s="2"/>
      <c r="L649" s="3"/>
      <c r="M649" s="3"/>
      <c r="N649" s="3"/>
      <c r="O649" s="3"/>
      <c r="P649" s="3"/>
      <c r="Q649" s="3"/>
      <c r="R649" s="3"/>
      <c r="S649" s="3"/>
      <c r="T649" s="3"/>
      <c r="U649" s="4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4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4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4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</row>
    <row r="650" spans="7:181" ht="15" x14ac:dyDescent="0.25">
      <c r="G650" s="2"/>
      <c r="H650" s="2"/>
      <c r="I650" s="2"/>
      <c r="J650" s="2"/>
      <c r="K650" s="2"/>
      <c r="L650" s="3"/>
      <c r="M650" s="3"/>
      <c r="N650" s="3"/>
      <c r="O650" s="3"/>
      <c r="P650" s="3"/>
      <c r="Q650" s="3"/>
      <c r="R650" s="3"/>
      <c r="S650" s="3"/>
      <c r="T650" s="3"/>
      <c r="U650" s="4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4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4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4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</row>
    <row r="651" spans="7:181" ht="15" x14ac:dyDescent="0.25">
      <c r="G651" s="2"/>
      <c r="H651" s="2"/>
      <c r="I651" s="2"/>
      <c r="J651" s="2"/>
      <c r="K651" s="2"/>
      <c r="L651" s="3"/>
      <c r="M651" s="3"/>
      <c r="N651" s="3"/>
      <c r="O651" s="3"/>
      <c r="P651" s="3"/>
      <c r="Q651" s="3"/>
      <c r="R651" s="3"/>
      <c r="S651" s="3"/>
      <c r="T651" s="3"/>
      <c r="U651" s="4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4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4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4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</row>
    <row r="652" spans="7:181" ht="15" x14ac:dyDescent="0.25">
      <c r="G652" s="2"/>
      <c r="H652" s="2"/>
      <c r="I652" s="2"/>
      <c r="J652" s="2"/>
      <c r="K652" s="2"/>
      <c r="L652" s="3"/>
      <c r="M652" s="3"/>
      <c r="N652" s="3"/>
      <c r="O652" s="3"/>
      <c r="P652" s="3"/>
      <c r="Q652" s="3"/>
      <c r="R652" s="3"/>
      <c r="S652" s="3"/>
      <c r="T652" s="3"/>
      <c r="U652" s="4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4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4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4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</row>
    <row r="653" spans="7:181" ht="15" x14ac:dyDescent="0.25">
      <c r="G653" s="2"/>
      <c r="H653" s="2"/>
      <c r="I653" s="2"/>
      <c r="J653" s="2"/>
      <c r="K653" s="2"/>
      <c r="L653" s="3"/>
      <c r="M653" s="3"/>
      <c r="N653" s="3"/>
      <c r="O653" s="3"/>
      <c r="P653" s="3"/>
      <c r="Q653" s="3"/>
      <c r="R653" s="3"/>
      <c r="S653" s="3"/>
      <c r="T653" s="3"/>
      <c r="U653" s="4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4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4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4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</row>
    <row r="654" spans="7:181" ht="15" x14ac:dyDescent="0.25">
      <c r="G654" s="2"/>
      <c r="H654" s="2"/>
      <c r="I654" s="2"/>
      <c r="J654" s="2"/>
      <c r="K654" s="2"/>
      <c r="L654" s="3"/>
      <c r="M654" s="3"/>
      <c r="N654" s="3"/>
      <c r="O654" s="3"/>
      <c r="P654" s="3"/>
      <c r="Q654" s="3"/>
      <c r="R654" s="3"/>
      <c r="S654" s="3"/>
      <c r="T654" s="3"/>
      <c r="U654" s="4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4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4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4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</row>
    <row r="655" spans="7:181" ht="15" x14ac:dyDescent="0.25">
      <c r="G655" s="2"/>
      <c r="H655" s="2"/>
      <c r="I655" s="2"/>
      <c r="J655" s="2"/>
      <c r="K655" s="2"/>
      <c r="L655" s="3"/>
      <c r="M655" s="3"/>
      <c r="N655" s="3"/>
      <c r="O655" s="3"/>
      <c r="P655" s="3"/>
      <c r="Q655" s="3"/>
      <c r="R655" s="3"/>
      <c r="S655" s="3"/>
      <c r="T655" s="3"/>
      <c r="U655" s="4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4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4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4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</row>
    <row r="656" spans="7:181" ht="15" x14ac:dyDescent="0.25">
      <c r="G656" s="2"/>
      <c r="H656" s="2"/>
      <c r="I656" s="2"/>
      <c r="J656" s="2"/>
      <c r="K656" s="2"/>
      <c r="L656" s="3"/>
      <c r="M656" s="3"/>
      <c r="N656" s="3"/>
      <c r="O656" s="3"/>
      <c r="P656" s="3"/>
      <c r="Q656" s="3"/>
      <c r="R656" s="3"/>
      <c r="S656" s="3"/>
      <c r="T656" s="3"/>
      <c r="U656" s="4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4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4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4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</row>
    <row r="657" spans="7:181" ht="15" x14ac:dyDescent="0.25">
      <c r="G657" s="2"/>
      <c r="H657" s="2"/>
      <c r="I657" s="2"/>
      <c r="J657" s="2"/>
      <c r="K657" s="2"/>
      <c r="L657" s="3"/>
      <c r="M657" s="3"/>
      <c r="N657" s="3"/>
      <c r="O657" s="3"/>
      <c r="P657" s="3"/>
      <c r="Q657" s="3"/>
      <c r="R657" s="3"/>
      <c r="S657" s="3"/>
      <c r="T657" s="3"/>
      <c r="U657" s="4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4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4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4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</row>
    <row r="658" spans="7:181" ht="15" x14ac:dyDescent="0.25">
      <c r="G658" s="2"/>
      <c r="H658" s="2"/>
      <c r="I658" s="2"/>
      <c r="J658" s="2"/>
      <c r="K658" s="2"/>
      <c r="L658" s="3"/>
      <c r="M658" s="3"/>
      <c r="N658" s="3"/>
      <c r="O658" s="3"/>
      <c r="P658" s="3"/>
      <c r="Q658" s="3"/>
      <c r="R658" s="3"/>
      <c r="S658" s="3"/>
      <c r="T658" s="3"/>
      <c r="U658" s="4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4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4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4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</row>
    <row r="659" spans="7:181" ht="15" x14ac:dyDescent="0.25">
      <c r="G659" s="2"/>
      <c r="H659" s="2"/>
      <c r="I659" s="2"/>
      <c r="J659" s="2"/>
      <c r="K659" s="2"/>
      <c r="L659" s="3"/>
      <c r="M659" s="3"/>
      <c r="N659" s="3"/>
      <c r="O659" s="3"/>
      <c r="P659" s="3"/>
      <c r="Q659" s="3"/>
      <c r="R659" s="3"/>
      <c r="S659" s="3"/>
      <c r="T659" s="3"/>
      <c r="U659" s="4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4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4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4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</row>
    <row r="660" spans="7:181" ht="15" x14ac:dyDescent="0.25">
      <c r="G660" s="2"/>
      <c r="H660" s="2"/>
      <c r="I660" s="2"/>
      <c r="J660" s="2"/>
      <c r="K660" s="2"/>
      <c r="L660" s="3"/>
      <c r="M660" s="3"/>
      <c r="N660" s="3"/>
      <c r="O660" s="3"/>
      <c r="P660" s="3"/>
      <c r="Q660" s="3"/>
      <c r="R660" s="3"/>
      <c r="S660" s="3"/>
      <c r="T660" s="3"/>
      <c r="U660" s="4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4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4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4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</row>
    <row r="661" spans="7:181" ht="15" x14ac:dyDescent="0.25">
      <c r="G661" s="2"/>
      <c r="H661" s="2"/>
      <c r="I661" s="2"/>
      <c r="J661" s="2"/>
      <c r="K661" s="2"/>
      <c r="L661" s="3"/>
      <c r="M661" s="3"/>
      <c r="N661" s="3"/>
      <c r="O661" s="3"/>
      <c r="P661" s="3"/>
      <c r="Q661" s="3"/>
      <c r="R661" s="3"/>
      <c r="S661" s="3"/>
      <c r="T661" s="3"/>
      <c r="U661" s="4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4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4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4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</row>
    <row r="662" spans="7:181" ht="15" x14ac:dyDescent="0.25">
      <c r="G662" s="2"/>
      <c r="H662" s="2"/>
      <c r="I662" s="2"/>
      <c r="J662" s="2"/>
      <c r="K662" s="2"/>
      <c r="L662" s="3"/>
      <c r="M662" s="3"/>
      <c r="N662" s="3"/>
      <c r="O662" s="3"/>
      <c r="P662" s="3"/>
      <c r="Q662" s="3"/>
      <c r="R662" s="3"/>
      <c r="S662" s="3"/>
      <c r="T662" s="3"/>
      <c r="U662" s="4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4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4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4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</row>
    <row r="663" spans="7:181" ht="15" x14ac:dyDescent="0.25">
      <c r="G663" s="2"/>
      <c r="H663" s="2"/>
      <c r="I663" s="2"/>
      <c r="J663" s="2"/>
      <c r="K663" s="2"/>
      <c r="L663" s="3"/>
      <c r="M663" s="3"/>
      <c r="N663" s="3"/>
      <c r="O663" s="3"/>
      <c r="P663" s="3"/>
      <c r="Q663" s="3"/>
      <c r="R663" s="3"/>
      <c r="S663" s="3"/>
      <c r="T663" s="3"/>
      <c r="U663" s="4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4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4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4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</row>
    <row r="664" spans="7:181" ht="15" x14ac:dyDescent="0.25">
      <c r="G664" s="2"/>
      <c r="H664" s="2"/>
      <c r="I664" s="2"/>
      <c r="J664" s="2"/>
      <c r="K664" s="2"/>
      <c r="L664" s="3"/>
      <c r="M664" s="3"/>
      <c r="N664" s="3"/>
      <c r="O664" s="3"/>
      <c r="P664" s="3"/>
      <c r="Q664" s="3"/>
      <c r="R664" s="3"/>
      <c r="S664" s="3"/>
      <c r="T664" s="3"/>
      <c r="U664" s="4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4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4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4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</row>
    <row r="665" spans="7:181" ht="15" x14ac:dyDescent="0.25">
      <c r="G665" s="2"/>
      <c r="H665" s="2"/>
      <c r="I665" s="2"/>
      <c r="J665" s="2"/>
      <c r="K665" s="2"/>
      <c r="L665" s="3"/>
      <c r="M665" s="3"/>
      <c r="N665" s="3"/>
      <c r="O665" s="3"/>
      <c r="P665" s="3"/>
      <c r="Q665" s="3"/>
      <c r="R665" s="3"/>
      <c r="S665" s="3"/>
      <c r="T665" s="3"/>
      <c r="U665" s="4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4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4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4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</row>
    <row r="666" spans="7:181" ht="15" x14ac:dyDescent="0.25">
      <c r="G666" s="2"/>
      <c r="H666" s="2"/>
      <c r="I666" s="2"/>
      <c r="J666" s="2"/>
      <c r="K666" s="2"/>
      <c r="L666" s="3"/>
      <c r="M666" s="3"/>
      <c r="N666" s="3"/>
      <c r="O666" s="3"/>
      <c r="P666" s="3"/>
      <c r="Q666" s="3"/>
      <c r="R666" s="3"/>
      <c r="S666" s="3"/>
      <c r="T666" s="3"/>
      <c r="U666" s="4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4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4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4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</row>
    <row r="667" spans="7:181" ht="15" x14ac:dyDescent="0.25">
      <c r="G667" s="2"/>
      <c r="H667" s="2"/>
      <c r="I667" s="2"/>
      <c r="J667" s="2"/>
      <c r="K667" s="2"/>
      <c r="L667" s="3"/>
      <c r="M667" s="3"/>
      <c r="N667" s="3"/>
      <c r="O667" s="3"/>
      <c r="P667" s="3"/>
      <c r="Q667" s="3"/>
      <c r="R667" s="3"/>
      <c r="S667" s="3"/>
      <c r="T667" s="3"/>
      <c r="U667" s="4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4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4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4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</row>
    <row r="668" spans="7:181" ht="15" x14ac:dyDescent="0.25">
      <c r="G668" s="2"/>
      <c r="H668" s="2"/>
      <c r="I668" s="2"/>
      <c r="J668" s="2"/>
      <c r="K668" s="2"/>
      <c r="L668" s="3"/>
      <c r="M668" s="3"/>
      <c r="N668" s="3"/>
      <c r="O668" s="3"/>
      <c r="P668" s="3"/>
      <c r="Q668" s="3"/>
      <c r="R668" s="3"/>
      <c r="S668" s="3"/>
      <c r="T668" s="3"/>
      <c r="U668" s="4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4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4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4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</row>
    <row r="669" spans="7:181" ht="15" x14ac:dyDescent="0.25">
      <c r="G669" s="2"/>
      <c r="H669" s="2"/>
      <c r="I669" s="2"/>
      <c r="J669" s="2"/>
      <c r="K669" s="2"/>
      <c r="L669" s="3"/>
      <c r="M669" s="3"/>
      <c r="N669" s="3"/>
      <c r="O669" s="3"/>
      <c r="P669" s="3"/>
      <c r="Q669" s="3"/>
      <c r="R669" s="3"/>
      <c r="S669" s="3"/>
      <c r="T669" s="3"/>
      <c r="U669" s="4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4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4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4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</row>
    <row r="670" spans="7:181" ht="15" x14ac:dyDescent="0.25">
      <c r="G670" s="2"/>
      <c r="H670" s="2"/>
      <c r="I670" s="2"/>
      <c r="J670" s="2"/>
      <c r="K670" s="2"/>
      <c r="L670" s="3"/>
      <c r="M670" s="3"/>
      <c r="N670" s="3"/>
      <c r="O670" s="3"/>
      <c r="P670" s="3"/>
      <c r="Q670" s="3"/>
      <c r="R670" s="3"/>
      <c r="S670" s="3"/>
      <c r="T670" s="3"/>
      <c r="U670" s="4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4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4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4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</row>
    <row r="671" spans="7:181" ht="15" x14ac:dyDescent="0.25">
      <c r="G671" s="2"/>
      <c r="H671" s="2"/>
      <c r="I671" s="2"/>
      <c r="J671" s="2"/>
      <c r="K671" s="2"/>
      <c r="L671" s="3"/>
      <c r="M671" s="3"/>
      <c r="N671" s="3"/>
      <c r="O671" s="3"/>
      <c r="P671" s="3"/>
      <c r="Q671" s="3"/>
      <c r="R671" s="3"/>
      <c r="S671" s="3"/>
      <c r="T671" s="3"/>
      <c r="U671" s="4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4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4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4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</row>
    <row r="672" spans="7:181" ht="15" x14ac:dyDescent="0.25">
      <c r="G672" s="2"/>
      <c r="H672" s="2"/>
      <c r="I672" s="2"/>
      <c r="J672" s="2"/>
      <c r="K672" s="2"/>
      <c r="L672" s="3"/>
      <c r="M672" s="3"/>
      <c r="N672" s="3"/>
      <c r="O672" s="3"/>
      <c r="P672" s="3"/>
      <c r="Q672" s="3"/>
      <c r="R672" s="3"/>
      <c r="S672" s="3"/>
      <c r="T672" s="3"/>
      <c r="U672" s="4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4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4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4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</row>
    <row r="673" spans="7:181" ht="15" x14ac:dyDescent="0.25">
      <c r="G673" s="2"/>
      <c r="H673" s="2"/>
      <c r="I673" s="2"/>
      <c r="J673" s="2"/>
      <c r="K673" s="2"/>
      <c r="L673" s="3"/>
      <c r="M673" s="3"/>
      <c r="N673" s="3"/>
      <c r="O673" s="3"/>
      <c r="P673" s="3"/>
      <c r="Q673" s="3"/>
      <c r="R673" s="3"/>
      <c r="S673" s="3"/>
      <c r="T673" s="3"/>
      <c r="U673" s="4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4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4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4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</row>
    <row r="674" spans="7:181" ht="15" x14ac:dyDescent="0.25">
      <c r="G674" s="2"/>
      <c r="H674" s="2"/>
      <c r="I674" s="2"/>
      <c r="J674" s="2"/>
      <c r="K674" s="2"/>
      <c r="L674" s="3"/>
      <c r="M674" s="3"/>
      <c r="N674" s="3"/>
      <c r="O674" s="3"/>
      <c r="P674" s="3"/>
      <c r="Q674" s="3"/>
      <c r="R674" s="3"/>
      <c r="S674" s="3"/>
      <c r="T674" s="3"/>
      <c r="U674" s="4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4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4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4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</row>
    <row r="675" spans="7:181" ht="15" x14ac:dyDescent="0.25">
      <c r="G675" s="2"/>
      <c r="H675" s="2"/>
      <c r="I675" s="2"/>
      <c r="J675" s="2"/>
      <c r="K675" s="2"/>
      <c r="L675" s="3"/>
      <c r="M675" s="3"/>
      <c r="N675" s="3"/>
      <c r="O675" s="3"/>
      <c r="P675" s="3"/>
      <c r="Q675" s="3"/>
      <c r="R675" s="3"/>
      <c r="S675" s="3"/>
      <c r="T675" s="3"/>
      <c r="U675" s="4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4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4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4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</row>
    <row r="676" spans="7:181" ht="15" x14ac:dyDescent="0.25">
      <c r="G676" s="2"/>
      <c r="H676" s="2"/>
      <c r="I676" s="2"/>
      <c r="J676" s="2"/>
      <c r="K676" s="2"/>
      <c r="L676" s="3"/>
      <c r="M676" s="3"/>
      <c r="N676" s="3"/>
      <c r="O676" s="3"/>
      <c r="P676" s="3"/>
      <c r="Q676" s="3"/>
      <c r="R676" s="3"/>
      <c r="S676" s="3"/>
      <c r="T676" s="3"/>
      <c r="U676" s="4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4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4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4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</row>
    <row r="677" spans="7:181" ht="15" x14ac:dyDescent="0.25">
      <c r="G677" s="2"/>
      <c r="H677" s="2"/>
      <c r="I677" s="2"/>
      <c r="J677" s="2"/>
      <c r="K677" s="2"/>
      <c r="L677" s="3"/>
      <c r="M677" s="3"/>
      <c r="N677" s="3"/>
      <c r="O677" s="3"/>
      <c r="P677" s="3"/>
      <c r="Q677" s="3"/>
      <c r="R677" s="3"/>
      <c r="S677" s="3"/>
      <c r="T677" s="3"/>
      <c r="U677" s="4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4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4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4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</row>
    <row r="678" spans="7:181" ht="15" x14ac:dyDescent="0.25">
      <c r="G678" s="2"/>
      <c r="H678" s="2"/>
      <c r="I678" s="2"/>
      <c r="J678" s="2"/>
      <c r="K678" s="2"/>
      <c r="L678" s="3"/>
      <c r="M678" s="3"/>
      <c r="N678" s="3"/>
      <c r="O678" s="3"/>
      <c r="P678" s="3"/>
      <c r="Q678" s="3"/>
      <c r="R678" s="3"/>
      <c r="S678" s="3"/>
      <c r="T678" s="3"/>
      <c r="U678" s="4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4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4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4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</row>
    <row r="679" spans="7:181" ht="15" x14ac:dyDescent="0.25">
      <c r="G679" s="2"/>
      <c r="H679" s="2"/>
      <c r="I679" s="2"/>
      <c r="J679" s="2"/>
      <c r="K679" s="2"/>
      <c r="L679" s="3"/>
      <c r="M679" s="3"/>
      <c r="N679" s="3"/>
      <c r="O679" s="3"/>
      <c r="P679" s="3"/>
      <c r="Q679" s="3"/>
      <c r="R679" s="3"/>
      <c r="S679" s="3"/>
      <c r="T679" s="3"/>
      <c r="U679" s="4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4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4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4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</row>
    <row r="680" spans="7:181" ht="15" x14ac:dyDescent="0.25">
      <c r="G680" s="2"/>
      <c r="H680" s="2"/>
      <c r="I680" s="2"/>
      <c r="J680" s="2"/>
      <c r="K680" s="2"/>
      <c r="L680" s="3"/>
      <c r="M680" s="3"/>
      <c r="N680" s="3"/>
      <c r="O680" s="3"/>
      <c r="P680" s="3"/>
      <c r="Q680" s="3"/>
      <c r="R680" s="3"/>
      <c r="S680" s="3"/>
      <c r="T680" s="3"/>
      <c r="U680" s="4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4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4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4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</row>
    <row r="681" spans="7:181" ht="15" x14ac:dyDescent="0.25">
      <c r="G681" s="2"/>
      <c r="H681" s="2"/>
      <c r="I681" s="2"/>
      <c r="J681" s="2"/>
      <c r="K681" s="2"/>
      <c r="L681" s="3"/>
      <c r="M681" s="3"/>
      <c r="N681" s="3"/>
      <c r="O681" s="3"/>
      <c r="P681" s="3"/>
      <c r="Q681" s="3"/>
      <c r="R681" s="3"/>
      <c r="S681" s="3"/>
      <c r="T681" s="3"/>
      <c r="U681" s="4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4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4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4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</row>
    <row r="682" spans="7:181" ht="15" x14ac:dyDescent="0.25">
      <c r="G682" s="2"/>
      <c r="H682" s="2"/>
      <c r="I682" s="2"/>
      <c r="J682" s="2"/>
      <c r="K682" s="2"/>
      <c r="L682" s="3"/>
      <c r="M682" s="3"/>
      <c r="N682" s="3"/>
      <c r="O682" s="3"/>
      <c r="P682" s="3"/>
      <c r="Q682" s="3"/>
      <c r="R682" s="3"/>
      <c r="S682" s="3"/>
      <c r="T682" s="3"/>
      <c r="U682" s="4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4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4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4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</row>
    <row r="683" spans="7:181" ht="15" x14ac:dyDescent="0.25">
      <c r="G683" s="2"/>
      <c r="H683" s="2"/>
      <c r="I683" s="2"/>
      <c r="J683" s="2"/>
      <c r="K683" s="2"/>
      <c r="L683" s="3"/>
      <c r="M683" s="3"/>
      <c r="N683" s="3"/>
      <c r="O683" s="3"/>
      <c r="P683" s="3"/>
      <c r="Q683" s="3"/>
      <c r="R683" s="3"/>
      <c r="S683" s="3"/>
      <c r="T683" s="3"/>
      <c r="U683" s="4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4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4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4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</row>
    <row r="684" spans="7:181" ht="15" x14ac:dyDescent="0.25">
      <c r="G684" s="2"/>
      <c r="H684" s="2"/>
      <c r="I684" s="2"/>
      <c r="J684" s="2"/>
      <c r="K684" s="2"/>
      <c r="L684" s="3"/>
      <c r="M684" s="3"/>
      <c r="N684" s="3"/>
      <c r="O684" s="3"/>
      <c r="P684" s="3"/>
      <c r="Q684" s="3"/>
      <c r="R684" s="3"/>
      <c r="S684" s="3"/>
      <c r="T684" s="3"/>
      <c r="U684" s="4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4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4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4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  <c r="DN684" s="3"/>
      <c r="DO684" s="3"/>
      <c r="DP684" s="3"/>
      <c r="DQ684" s="3"/>
      <c r="DR684" s="3"/>
      <c r="DS684" s="3"/>
      <c r="DT684" s="3"/>
      <c r="DU684" s="3"/>
      <c r="DV684" s="3"/>
      <c r="DW684" s="3"/>
      <c r="DX684" s="3"/>
      <c r="DY684" s="3"/>
      <c r="DZ684" s="3"/>
      <c r="EA684" s="3"/>
      <c r="EB684" s="3"/>
      <c r="EC684" s="3"/>
      <c r="ED684" s="3"/>
      <c r="EE684" s="3"/>
      <c r="EF684" s="3"/>
      <c r="EG684" s="3"/>
      <c r="EH684" s="3"/>
      <c r="EI684" s="3"/>
      <c r="EJ684" s="3"/>
      <c r="EK684" s="3"/>
      <c r="EL684" s="3"/>
      <c r="EM684" s="3"/>
      <c r="EN684" s="3"/>
      <c r="EO684" s="3"/>
      <c r="EP684" s="3"/>
      <c r="EQ684" s="3"/>
      <c r="ER684" s="3"/>
      <c r="ES684" s="3"/>
      <c r="ET684" s="3"/>
      <c r="EU684" s="3"/>
      <c r="EV684" s="3"/>
      <c r="EW684" s="3"/>
      <c r="EX684" s="3"/>
      <c r="EY684" s="3"/>
      <c r="EZ684" s="3"/>
      <c r="FA684" s="3"/>
      <c r="FB684" s="3"/>
      <c r="FC684" s="3"/>
      <c r="FD684" s="3"/>
      <c r="FE684" s="3"/>
      <c r="FF684" s="3"/>
      <c r="FG684" s="3"/>
      <c r="FH684" s="3"/>
      <c r="FI684" s="3"/>
      <c r="FJ684" s="3"/>
      <c r="FK684" s="3"/>
      <c r="FL684" s="3"/>
      <c r="FM684" s="3"/>
      <c r="FN684" s="3"/>
      <c r="FO684" s="3"/>
      <c r="FP684" s="3"/>
      <c r="FQ684" s="3"/>
      <c r="FR684" s="3"/>
      <c r="FS684" s="3"/>
      <c r="FT684" s="3"/>
      <c r="FU684" s="3"/>
      <c r="FV684" s="3"/>
      <c r="FW684" s="3"/>
      <c r="FX684" s="3"/>
      <c r="FY684" s="3"/>
    </row>
    <row r="685" spans="7:181" ht="15" x14ac:dyDescent="0.25">
      <c r="G685" s="2"/>
      <c r="H685" s="2"/>
      <c r="I685" s="2"/>
      <c r="J685" s="2"/>
      <c r="K685" s="2"/>
      <c r="L685" s="3"/>
      <c r="M685" s="3"/>
      <c r="N685" s="3"/>
      <c r="O685" s="3"/>
      <c r="P685" s="3"/>
      <c r="Q685" s="3"/>
      <c r="R685" s="3"/>
      <c r="S685" s="3"/>
      <c r="T685" s="3"/>
      <c r="U685" s="4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4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4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4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  <c r="DN685" s="3"/>
      <c r="DO685" s="3"/>
      <c r="DP685" s="3"/>
      <c r="DQ685" s="3"/>
      <c r="DR685" s="3"/>
      <c r="DS685" s="3"/>
      <c r="DT685" s="3"/>
      <c r="DU685" s="3"/>
      <c r="DV685" s="3"/>
      <c r="DW685" s="3"/>
      <c r="DX685" s="3"/>
      <c r="DY685" s="3"/>
      <c r="DZ685" s="3"/>
      <c r="EA685" s="3"/>
      <c r="EB685" s="3"/>
      <c r="EC685" s="3"/>
      <c r="ED685" s="3"/>
      <c r="EE685" s="3"/>
      <c r="EF685" s="3"/>
      <c r="EG685" s="3"/>
      <c r="EH685" s="3"/>
      <c r="EI685" s="3"/>
      <c r="EJ685" s="3"/>
      <c r="EK685" s="3"/>
      <c r="EL685" s="3"/>
      <c r="EM685" s="3"/>
      <c r="EN685" s="3"/>
      <c r="EO685" s="3"/>
      <c r="EP685" s="3"/>
      <c r="EQ685" s="3"/>
      <c r="ER685" s="3"/>
      <c r="ES685" s="3"/>
      <c r="ET685" s="3"/>
      <c r="EU685" s="3"/>
      <c r="EV685" s="3"/>
      <c r="EW685" s="3"/>
      <c r="EX685" s="3"/>
      <c r="EY685" s="3"/>
      <c r="EZ685" s="3"/>
      <c r="FA685" s="3"/>
      <c r="FB685" s="3"/>
      <c r="FC685" s="3"/>
      <c r="FD685" s="3"/>
      <c r="FE685" s="3"/>
      <c r="FF685" s="3"/>
      <c r="FG685" s="3"/>
      <c r="FH685" s="3"/>
      <c r="FI685" s="3"/>
      <c r="FJ685" s="3"/>
      <c r="FK685" s="3"/>
      <c r="FL685" s="3"/>
      <c r="FM685" s="3"/>
      <c r="FN685" s="3"/>
      <c r="FO685" s="3"/>
      <c r="FP685" s="3"/>
      <c r="FQ685" s="3"/>
      <c r="FR685" s="3"/>
      <c r="FS685" s="3"/>
      <c r="FT685" s="3"/>
      <c r="FU685" s="3"/>
      <c r="FV685" s="3"/>
      <c r="FW685" s="3"/>
      <c r="FX685" s="3"/>
      <c r="FY685" s="3"/>
    </row>
    <row r="686" spans="7:181" ht="15" x14ac:dyDescent="0.25">
      <c r="G686" s="2"/>
      <c r="H686" s="2"/>
      <c r="I686" s="2"/>
      <c r="J686" s="2"/>
      <c r="K686" s="2"/>
      <c r="L686" s="3"/>
      <c r="M686" s="3"/>
      <c r="N686" s="3"/>
      <c r="O686" s="3"/>
      <c r="P686" s="3"/>
      <c r="Q686" s="3"/>
      <c r="R686" s="3"/>
      <c r="S686" s="3"/>
      <c r="T686" s="3"/>
      <c r="U686" s="4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4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4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4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  <c r="DP686" s="3"/>
      <c r="DQ686" s="3"/>
      <c r="DR686" s="3"/>
      <c r="DS686" s="3"/>
      <c r="DT686" s="3"/>
      <c r="DU686" s="3"/>
      <c r="DV686" s="3"/>
      <c r="DW686" s="3"/>
      <c r="DX686" s="3"/>
      <c r="DY686" s="3"/>
      <c r="DZ686" s="3"/>
      <c r="EA686" s="3"/>
      <c r="EB686" s="3"/>
      <c r="EC686" s="3"/>
      <c r="ED686" s="3"/>
      <c r="EE686" s="3"/>
      <c r="EF686" s="3"/>
      <c r="EG686" s="3"/>
      <c r="EH686" s="3"/>
      <c r="EI686" s="3"/>
      <c r="EJ686" s="3"/>
      <c r="EK686" s="3"/>
      <c r="EL686" s="3"/>
      <c r="EM686" s="3"/>
      <c r="EN686" s="3"/>
      <c r="EO686" s="3"/>
      <c r="EP686" s="3"/>
      <c r="EQ686" s="3"/>
      <c r="ER686" s="3"/>
      <c r="ES686" s="3"/>
      <c r="ET686" s="3"/>
      <c r="EU686" s="3"/>
      <c r="EV686" s="3"/>
      <c r="EW686" s="3"/>
      <c r="EX686" s="3"/>
      <c r="EY686" s="3"/>
      <c r="EZ686" s="3"/>
      <c r="FA686" s="3"/>
      <c r="FB686" s="3"/>
      <c r="FC686" s="3"/>
      <c r="FD686" s="3"/>
      <c r="FE686" s="3"/>
      <c r="FF686" s="3"/>
      <c r="FG686" s="3"/>
      <c r="FH686" s="3"/>
      <c r="FI686" s="3"/>
      <c r="FJ686" s="3"/>
      <c r="FK686" s="3"/>
      <c r="FL686" s="3"/>
      <c r="FM686" s="3"/>
      <c r="FN686" s="3"/>
      <c r="FO686" s="3"/>
      <c r="FP686" s="3"/>
      <c r="FQ686" s="3"/>
      <c r="FR686" s="3"/>
      <c r="FS686" s="3"/>
      <c r="FT686" s="3"/>
      <c r="FU686" s="3"/>
      <c r="FV686" s="3"/>
      <c r="FW686" s="3"/>
      <c r="FX686" s="3"/>
      <c r="FY686" s="3"/>
    </row>
    <row r="687" spans="7:181" ht="15" x14ac:dyDescent="0.25">
      <c r="G687" s="2"/>
      <c r="H687" s="2"/>
      <c r="I687" s="2"/>
      <c r="J687" s="2"/>
      <c r="K687" s="2"/>
      <c r="L687" s="3"/>
      <c r="M687" s="3"/>
      <c r="N687" s="3"/>
      <c r="O687" s="3"/>
      <c r="P687" s="3"/>
      <c r="Q687" s="3"/>
      <c r="R687" s="3"/>
      <c r="S687" s="3"/>
      <c r="T687" s="3"/>
      <c r="U687" s="4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4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4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4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  <c r="DP687" s="3"/>
      <c r="DQ687" s="3"/>
      <c r="DR687" s="3"/>
      <c r="DS687" s="3"/>
      <c r="DT687" s="3"/>
      <c r="DU687" s="3"/>
      <c r="DV687" s="3"/>
      <c r="DW687" s="3"/>
      <c r="DX687" s="3"/>
      <c r="DY687" s="3"/>
      <c r="DZ687" s="3"/>
      <c r="EA687" s="3"/>
      <c r="EB687" s="3"/>
      <c r="EC687" s="3"/>
      <c r="ED687" s="3"/>
      <c r="EE687" s="3"/>
      <c r="EF687" s="3"/>
      <c r="EG687" s="3"/>
      <c r="EH687" s="3"/>
      <c r="EI687" s="3"/>
      <c r="EJ687" s="3"/>
      <c r="EK687" s="3"/>
      <c r="EL687" s="3"/>
      <c r="EM687" s="3"/>
      <c r="EN687" s="3"/>
      <c r="EO687" s="3"/>
      <c r="EP687" s="3"/>
      <c r="EQ687" s="3"/>
      <c r="ER687" s="3"/>
      <c r="ES687" s="3"/>
      <c r="ET687" s="3"/>
      <c r="EU687" s="3"/>
      <c r="EV687" s="3"/>
      <c r="EW687" s="3"/>
      <c r="EX687" s="3"/>
      <c r="EY687" s="3"/>
      <c r="EZ687" s="3"/>
      <c r="FA687" s="3"/>
      <c r="FB687" s="3"/>
      <c r="FC687" s="3"/>
      <c r="FD687" s="3"/>
      <c r="FE687" s="3"/>
      <c r="FF687" s="3"/>
      <c r="FG687" s="3"/>
      <c r="FH687" s="3"/>
      <c r="FI687" s="3"/>
      <c r="FJ687" s="3"/>
      <c r="FK687" s="3"/>
      <c r="FL687" s="3"/>
      <c r="FM687" s="3"/>
      <c r="FN687" s="3"/>
      <c r="FO687" s="3"/>
      <c r="FP687" s="3"/>
      <c r="FQ687" s="3"/>
      <c r="FR687" s="3"/>
      <c r="FS687" s="3"/>
      <c r="FT687" s="3"/>
      <c r="FU687" s="3"/>
      <c r="FV687" s="3"/>
      <c r="FW687" s="3"/>
      <c r="FX687" s="3"/>
      <c r="FY687" s="3"/>
    </row>
    <row r="688" spans="7:181" ht="15" x14ac:dyDescent="0.25">
      <c r="G688" s="2"/>
      <c r="H688" s="2"/>
      <c r="I688" s="2"/>
      <c r="J688" s="2"/>
      <c r="K688" s="2"/>
      <c r="L688" s="3"/>
      <c r="M688" s="3"/>
      <c r="N688" s="3"/>
      <c r="O688" s="3"/>
      <c r="P688" s="3"/>
      <c r="Q688" s="3"/>
      <c r="R688" s="3"/>
      <c r="S688" s="3"/>
      <c r="T688" s="3"/>
      <c r="U688" s="4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4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4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4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  <c r="DP688" s="3"/>
      <c r="DQ688" s="3"/>
      <c r="DR688" s="3"/>
      <c r="DS688" s="3"/>
      <c r="DT688" s="3"/>
      <c r="DU688" s="3"/>
      <c r="DV688" s="3"/>
      <c r="DW688" s="3"/>
      <c r="DX688" s="3"/>
      <c r="DY688" s="3"/>
      <c r="DZ688" s="3"/>
      <c r="EA688" s="3"/>
      <c r="EB688" s="3"/>
      <c r="EC688" s="3"/>
      <c r="ED688" s="3"/>
      <c r="EE688" s="3"/>
      <c r="EF688" s="3"/>
      <c r="EG688" s="3"/>
      <c r="EH688" s="3"/>
      <c r="EI688" s="3"/>
      <c r="EJ688" s="3"/>
      <c r="EK688" s="3"/>
      <c r="EL688" s="3"/>
      <c r="EM688" s="3"/>
      <c r="EN688" s="3"/>
      <c r="EO688" s="3"/>
      <c r="EP688" s="3"/>
      <c r="EQ688" s="3"/>
      <c r="ER688" s="3"/>
      <c r="ES688" s="3"/>
      <c r="ET688" s="3"/>
      <c r="EU688" s="3"/>
      <c r="EV688" s="3"/>
      <c r="EW688" s="3"/>
      <c r="EX688" s="3"/>
      <c r="EY688" s="3"/>
      <c r="EZ688" s="3"/>
      <c r="FA688" s="3"/>
      <c r="FB688" s="3"/>
      <c r="FC688" s="3"/>
      <c r="FD688" s="3"/>
      <c r="FE688" s="3"/>
      <c r="FF688" s="3"/>
      <c r="FG688" s="3"/>
      <c r="FH688" s="3"/>
      <c r="FI688" s="3"/>
      <c r="FJ688" s="3"/>
      <c r="FK688" s="3"/>
      <c r="FL688" s="3"/>
      <c r="FM688" s="3"/>
      <c r="FN688" s="3"/>
      <c r="FO688" s="3"/>
      <c r="FP688" s="3"/>
      <c r="FQ688" s="3"/>
      <c r="FR688" s="3"/>
      <c r="FS688" s="3"/>
      <c r="FT688" s="3"/>
      <c r="FU688" s="3"/>
      <c r="FV688" s="3"/>
      <c r="FW688" s="3"/>
      <c r="FX688" s="3"/>
      <c r="FY688" s="3"/>
    </row>
    <row r="689" spans="7:181" ht="15" x14ac:dyDescent="0.25">
      <c r="G689" s="2"/>
      <c r="H689" s="2"/>
      <c r="I689" s="2"/>
      <c r="J689" s="2"/>
      <c r="K689" s="2"/>
      <c r="L689" s="3"/>
      <c r="M689" s="3"/>
      <c r="N689" s="3"/>
      <c r="O689" s="3"/>
      <c r="P689" s="3"/>
      <c r="Q689" s="3"/>
      <c r="R689" s="3"/>
      <c r="S689" s="3"/>
      <c r="T689" s="3"/>
      <c r="U689" s="4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4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4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4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  <c r="DP689" s="3"/>
      <c r="DQ689" s="3"/>
      <c r="DR689" s="3"/>
      <c r="DS689" s="3"/>
      <c r="DT689" s="3"/>
      <c r="DU689" s="3"/>
      <c r="DV689" s="3"/>
      <c r="DW689" s="3"/>
      <c r="DX689" s="3"/>
      <c r="DY689" s="3"/>
      <c r="DZ689" s="3"/>
      <c r="EA689" s="3"/>
      <c r="EB689" s="3"/>
      <c r="EC689" s="3"/>
      <c r="ED689" s="3"/>
      <c r="EE689" s="3"/>
      <c r="EF689" s="3"/>
      <c r="EG689" s="3"/>
      <c r="EH689" s="3"/>
      <c r="EI689" s="3"/>
      <c r="EJ689" s="3"/>
      <c r="EK689" s="3"/>
      <c r="EL689" s="3"/>
      <c r="EM689" s="3"/>
      <c r="EN689" s="3"/>
      <c r="EO689" s="3"/>
      <c r="EP689" s="3"/>
      <c r="EQ689" s="3"/>
      <c r="ER689" s="3"/>
      <c r="ES689" s="3"/>
      <c r="ET689" s="3"/>
      <c r="EU689" s="3"/>
      <c r="EV689" s="3"/>
      <c r="EW689" s="3"/>
      <c r="EX689" s="3"/>
      <c r="EY689" s="3"/>
      <c r="EZ689" s="3"/>
      <c r="FA689" s="3"/>
      <c r="FB689" s="3"/>
      <c r="FC689" s="3"/>
      <c r="FD689" s="3"/>
      <c r="FE689" s="3"/>
      <c r="FF689" s="3"/>
      <c r="FG689" s="3"/>
      <c r="FH689" s="3"/>
      <c r="FI689" s="3"/>
      <c r="FJ689" s="3"/>
      <c r="FK689" s="3"/>
      <c r="FL689" s="3"/>
      <c r="FM689" s="3"/>
      <c r="FN689" s="3"/>
      <c r="FO689" s="3"/>
      <c r="FP689" s="3"/>
      <c r="FQ689" s="3"/>
      <c r="FR689" s="3"/>
      <c r="FS689" s="3"/>
      <c r="FT689" s="3"/>
      <c r="FU689" s="3"/>
      <c r="FV689" s="3"/>
      <c r="FW689" s="3"/>
      <c r="FX689" s="3"/>
      <c r="FY689" s="3"/>
    </row>
    <row r="690" spans="7:181" ht="15" x14ac:dyDescent="0.25">
      <c r="G690" s="2"/>
      <c r="H690" s="2"/>
      <c r="I690" s="2"/>
      <c r="J690" s="2"/>
      <c r="K690" s="2"/>
      <c r="L690" s="3"/>
      <c r="M690" s="3"/>
      <c r="N690" s="3"/>
      <c r="O690" s="3"/>
      <c r="P690" s="3"/>
      <c r="Q690" s="3"/>
      <c r="R690" s="3"/>
      <c r="S690" s="3"/>
      <c r="T690" s="3"/>
      <c r="U690" s="4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4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4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4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  <c r="DN690" s="3"/>
      <c r="DO690" s="3"/>
      <c r="DP690" s="3"/>
      <c r="DQ690" s="3"/>
      <c r="DR690" s="3"/>
      <c r="DS690" s="3"/>
      <c r="DT690" s="3"/>
      <c r="DU690" s="3"/>
      <c r="DV690" s="3"/>
      <c r="DW690" s="3"/>
      <c r="DX690" s="3"/>
      <c r="DY690" s="3"/>
      <c r="DZ690" s="3"/>
      <c r="EA690" s="3"/>
      <c r="EB690" s="3"/>
      <c r="EC690" s="3"/>
      <c r="ED690" s="3"/>
      <c r="EE690" s="3"/>
      <c r="EF690" s="3"/>
      <c r="EG690" s="3"/>
      <c r="EH690" s="3"/>
      <c r="EI690" s="3"/>
      <c r="EJ690" s="3"/>
      <c r="EK690" s="3"/>
      <c r="EL690" s="3"/>
      <c r="EM690" s="3"/>
      <c r="EN690" s="3"/>
      <c r="EO690" s="3"/>
      <c r="EP690" s="3"/>
      <c r="EQ690" s="3"/>
      <c r="ER690" s="3"/>
      <c r="ES690" s="3"/>
      <c r="ET690" s="3"/>
      <c r="EU690" s="3"/>
      <c r="EV690" s="3"/>
      <c r="EW690" s="3"/>
      <c r="EX690" s="3"/>
      <c r="EY690" s="3"/>
      <c r="EZ690" s="3"/>
      <c r="FA690" s="3"/>
      <c r="FB690" s="3"/>
      <c r="FC690" s="3"/>
      <c r="FD690" s="3"/>
      <c r="FE690" s="3"/>
      <c r="FF690" s="3"/>
      <c r="FG690" s="3"/>
      <c r="FH690" s="3"/>
      <c r="FI690" s="3"/>
      <c r="FJ690" s="3"/>
      <c r="FK690" s="3"/>
      <c r="FL690" s="3"/>
      <c r="FM690" s="3"/>
      <c r="FN690" s="3"/>
      <c r="FO690" s="3"/>
      <c r="FP690" s="3"/>
      <c r="FQ690" s="3"/>
      <c r="FR690" s="3"/>
      <c r="FS690" s="3"/>
      <c r="FT690" s="3"/>
      <c r="FU690" s="3"/>
      <c r="FV690" s="3"/>
      <c r="FW690" s="3"/>
      <c r="FX690" s="3"/>
      <c r="FY690" s="3"/>
    </row>
    <row r="691" spans="7:181" ht="15" x14ac:dyDescent="0.25">
      <c r="G691" s="2"/>
      <c r="H691" s="2"/>
      <c r="I691" s="2"/>
      <c r="J691" s="2"/>
      <c r="K691" s="2"/>
      <c r="L691" s="3"/>
      <c r="M691" s="3"/>
      <c r="N691" s="3"/>
      <c r="O691" s="3"/>
      <c r="P691" s="3"/>
      <c r="Q691" s="3"/>
      <c r="R691" s="3"/>
      <c r="S691" s="3"/>
      <c r="T691" s="3"/>
      <c r="U691" s="4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4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4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4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  <c r="DN691" s="3"/>
      <c r="DO691" s="3"/>
      <c r="DP691" s="3"/>
      <c r="DQ691" s="3"/>
      <c r="DR691" s="3"/>
      <c r="DS691" s="3"/>
      <c r="DT691" s="3"/>
      <c r="DU691" s="3"/>
      <c r="DV691" s="3"/>
      <c r="DW691" s="3"/>
      <c r="DX691" s="3"/>
      <c r="DY691" s="3"/>
      <c r="DZ691" s="3"/>
      <c r="EA691" s="3"/>
      <c r="EB691" s="3"/>
      <c r="EC691" s="3"/>
      <c r="ED691" s="3"/>
      <c r="EE691" s="3"/>
      <c r="EF691" s="3"/>
      <c r="EG691" s="3"/>
      <c r="EH691" s="3"/>
      <c r="EI691" s="3"/>
      <c r="EJ691" s="3"/>
      <c r="EK691" s="3"/>
      <c r="EL691" s="3"/>
      <c r="EM691" s="3"/>
      <c r="EN691" s="3"/>
      <c r="EO691" s="3"/>
      <c r="EP691" s="3"/>
      <c r="EQ691" s="3"/>
      <c r="ER691" s="3"/>
      <c r="ES691" s="3"/>
      <c r="ET691" s="3"/>
      <c r="EU691" s="3"/>
      <c r="EV691" s="3"/>
      <c r="EW691" s="3"/>
      <c r="EX691" s="3"/>
      <c r="EY691" s="3"/>
      <c r="EZ691" s="3"/>
      <c r="FA691" s="3"/>
      <c r="FB691" s="3"/>
      <c r="FC691" s="3"/>
      <c r="FD691" s="3"/>
      <c r="FE691" s="3"/>
      <c r="FF691" s="3"/>
      <c r="FG691" s="3"/>
      <c r="FH691" s="3"/>
      <c r="FI691" s="3"/>
      <c r="FJ691" s="3"/>
      <c r="FK691" s="3"/>
      <c r="FL691" s="3"/>
      <c r="FM691" s="3"/>
      <c r="FN691" s="3"/>
      <c r="FO691" s="3"/>
      <c r="FP691" s="3"/>
      <c r="FQ691" s="3"/>
      <c r="FR691" s="3"/>
      <c r="FS691" s="3"/>
      <c r="FT691" s="3"/>
      <c r="FU691" s="3"/>
      <c r="FV691" s="3"/>
      <c r="FW691" s="3"/>
      <c r="FX691" s="3"/>
      <c r="FY691" s="3"/>
    </row>
    <row r="692" spans="7:181" ht="15" x14ac:dyDescent="0.25">
      <c r="G692" s="2"/>
      <c r="H692" s="2"/>
      <c r="I692" s="2"/>
      <c r="J692" s="2"/>
      <c r="K692" s="2"/>
      <c r="L692" s="3"/>
      <c r="M692" s="3"/>
      <c r="N692" s="3"/>
      <c r="O692" s="3"/>
      <c r="P692" s="3"/>
      <c r="Q692" s="3"/>
      <c r="R692" s="3"/>
      <c r="S692" s="3"/>
      <c r="T692" s="3"/>
      <c r="U692" s="4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4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4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4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  <c r="DN692" s="3"/>
      <c r="DO692" s="3"/>
      <c r="DP692" s="3"/>
      <c r="DQ692" s="3"/>
      <c r="DR692" s="3"/>
      <c r="DS692" s="3"/>
      <c r="DT692" s="3"/>
      <c r="DU692" s="3"/>
      <c r="DV692" s="3"/>
      <c r="DW692" s="3"/>
      <c r="DX692" s="3"/>
      <c r="DY692" s="3"/>
      <c r="DZ692" s="3"/>
      <c r="EA692" s="3"/>
      <c r="EB692" s="3"/>
      <c r="EC692" s="3"/>
      <c r="ED692" s="3"/>
      <c r="EE692" s="3"/>
      <c r="EF692" s="3"/>
      <c r="EG692" s="3"/>
      <c r="EH692" s="3"/>
      <c r="EI692" s="3"/>
      <c r="EJ692" s="3"/>
      <c r="EK692" s="3"/>
      <c r="EL692" s="3"/>
      <c r="EM692" s="3"/>
      <c r="EN692" s="3"/>
      <c r="EO692" s="3"/>
      <c r="EP692" s="3"/>
      <c r="EQ692" s="3"/>
      <c r="ER692" s="3"/>
      <c r="ES692" s="3"/>
      <c r="ET692" s="3"/>
      <c r="EU692" s="3"/>
      <c r="EV692" s="3"/>
      <c r="EW692" s="3"/>
      <c r="EX692" s="3"/>
      <c r="EY692" s="3"/>
      <c r="EZ692" s="3"/>
      <c r="FA692" s="3"/>
      <c r="FB692" s="3"/>
      <c r="FC692" s="3"/>
      <c r="FD692" s="3"/>
      <c r="FE692" s="3"/>
      <c r="FF692" s="3"/>
      <c r="FG692" s="3"/>
      <c r="FH692" s="3"/>
      <c r="FI692" s="3"/>
      <c r="FJ692" s="3"/>
      <c r="FK692" s="3"/>
      <c r="FL692" s="3"/>
      <c r="FM692" s="3"/>
      <c r="FN692" s="3"/>
      <c r="FO692" s="3"/>
      <c r="FP692" s="3"/>
      <c r="FQ692" s="3"/>
      <c r="FR692" s="3"/>
      <c r="FS692" s="3"/>
      <c r="FT692" s="3"/>
      <c r="FU692" s="3"/>
      <c r="FV692" s="3"/>
      <c r="FW692" s="3"/>
      <c r="FX692" s="3"/>
      <c r="FY692" s="3"/>
    </row>
    <row r="693" spans="7:181" ht="15" x14ac:dyDescent="0.25">
      <c r="G693" s="2"/>
      <c r="H693" s="2"/>
      <c r="I693" s="2"/>
      <c r="J693" s="2"/>
      <c r="K693" s="2"/>
      <c r="L693" s="3"/>
      <c r="M693" s="3"/>
      <c r="N693" s="3"/>
      <c r="O693" s="3"/>
      <c r="P693" s="3"/>
      <c r="Q693" s="3"/>
      <c r="R693" s="3"/>
      <c r="S693" s="3"/>
      <c r="T693" s="3"/>
      <c r="U693" s="4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4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4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4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  <c r="DN693" s="3"/>
      <c r="DO693" s="3"/>
      <c r="DP693" s="3"/>
      <c r="DQ693" s="3"/>
      <c r="DR693" s="3"/>
      <c r="DS693" s="3"/>
      <c r="DT693" s="3"/>
      <c r="DU693" s="3"/>
      <c r="DV693" s="3"/>
      <c r="DW693" s="3"/>
      <c r="DX693" s="3"/>
      <c r="DY693" s="3"/>
      <c r="DZ693" s="3"/>
      <c r="EA693" s="3"/>
      <c r="EB693" s="3"/>
      <c r="EC693" s="3"/>
      <c r="ED693" s="3"/>
      <c r="EE693" s="3"/>
      <c r="EF693" s="3"/>
      <c r="EG693" s="3"/>
      <c r="EH693" s="3"/>
      <c r="EI693" s="3"/>
      <c r="EJ693" s="3"/>
      <c r="EK693" s="3"/>
      <c r="EL693" s="3"/>
      <c r="EM693" s="3"/>
      <c r="EN693" s="3"/>
      <c r="EO693" s="3"/>
      <c r="EP693" s="3"/>
      <c r="EQ693" s="3"/>
      <c r="ER693" s="3"/>
      <c r="ES693" s="3"/>
      <c r="ET693" s="3"/>
      <c r="EU693" s="3"/>
      <c r="EV693" s="3"/>
      <c r="EW693" s="3"/>
      <c r="EX693" s="3"/>
      <c r="EY693" s="3"/>
      <c r="EZ693" s="3"/>
      <c r="FA693" s="3"/>
      <c r="FB693" s="3"/>
      <c r="FC693" s="3"/>
      <c r="FD693" s="3"/>
      <c r="FE693" s="3"/>
      <c r="FF693" s="3"/>
      <c r="FG693" s="3"/>
      <c r="FH693" s="3"/>
      <c r="FI693" s="3"/>
      <c r="FJ693" s="3"/>
      <c r="FK693" s="3"/>
      <c r="FL693" s="3"/>
      <c r="FM693" s="3"/>
      <c r="FN693" s="3"/>
      <c r="FO693" s="3"/>
      <c r="FP693" s="3"/>
      <c r="FQ693" s="3"/>
      <c r="FR693" s="3"/>
      <c r="FS693" s="3"/>
      <c r="FT693" s="3"/>
      <c r="FU693" s="3"/>
      <c r="FV693" s="3"/>
      <c r="FW693" s="3"/>
      <c r="FX693" s="3"/>
      <c r="FY693" s="3"/>
    </row>
    <row r="694" spans="7:181" ht="15" x14ac:dyDescent="0.25">
      <c r="G694" s="2"/>
      <c r="H694" s="2"/>
      <c r="I694" s="2"/>
      <c r="J694" s="2"/>
      <c r="K694" s="2"/>
      <c r="L694" s="3"/>
      <c r="M694" s="3"/>
      <c r="N694" s="3"/>
      <c r="O694" s="3"/>
      <c r="P694" s="3"/>
      <c r="Q694" s="3"/>
      <c r="R694" s="3"/>
      <c r="S694" s="3"/>
      <c r="T694" s="3"/>
      <c r="U694" s="4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4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4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4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  <c r="DN694" s="3"/>
      <c r="DO694" s="3"/>
      <c r="DP694" s="3"/>
      <c r="DQ694" s="3"/>
      <c r="DR694" s="3"/>
      <c r="DS694" s="3"/>
      <c r="DT694" s="3"/>
      <c r="DU694" s="3"/>
      <c r="DV694" s="3"/>
      <c r="DW694" s="3"/>
      <c r="DX694" s="3"/>
      <c r="DY694" s="3"/>
      <c r="DZ694" s="3"/>
      <c r="EA694" s="3"/>
      <c r="EB694" s="3"/>
      <c r="EC694" s="3"/>
      <c r="ED694" s="3"/>
      <c r="EE694" s="3"/>
      <c r="EF694" s="3"/>
      <c r="EG694" s="3"/>
      <c r="EH694" s="3"/>
      <c r="EI694" s="3"/>
      <c r="EJ694" s="3"/>
      <c r="EK694" s="3"/>
      <c r="EL694" s="3"/>
      <c r="EM694" s="3"/>
      <c r="EN694" s="3"/>
      <c r="EO694" s="3"/>
      <c r="EP694" s="3"/>
      <c r="EQ694" s="3"/>
      <c r="ER694" s="3"/>
      <c r="ES694" s="3"/>
      <c r="ET694" s="3"/>
      <c r="EU694" s="3"/>
      <c r="EV694" s="3"/>
      <c r="EW694" s="3"/>
      <c r="EX694" s="3"/>
      <c r="EY694" s="3"/>
      <c r="EZ694" s="3"/>
      <c r="FA694" s="3"/>
      <c r="FB694" s="3"/>
      <c r="FC694" s="3"/>
      <c r="FD694" s="3"/>
      <c r="FE694" s="3"/>
      <c r="FF694" s="3"/>
      <c r="FG694" s="3"/>
      <c r="FH694" s="3"/>
      <c r="FI694" s="3"/>
      <c r="FJ694" s="3"/>
      <c r="FK694" s="3"/>
      <c r="FL694" s="3"/>
      <c r="FM694" s="3"/>
      <c r="FN694" s="3"/>
      <c r="FO694" s="3"/>
      <c r="FP694" s="3"/>
      <c r="FQ694" s="3"/>
      <c r="FR694" s="3"/>
      <c r="FS694" s="3"/>
      <c r="FT694" s="3"/>
      <c r="FU694" s="3"/>
      <c r="FV694" s="3"/>
      <c r="FW694" s="3"/>
      <c r="FX694" s="3"/>
      <c r="FY694" s="3"/>
    </row>
    <row r="695" spans="7:181" ht="15" x14ac:dyDescent="0.25">
      <c r="G695" s="2"/>
      <c r="H695" s="2"/>
      <c r="I695" s="2"/>
      <c r="J695" s="2"/>
      <c r="K695" s="2"/>
      <c r="L695" s="3"/>
      <c r="M695" s="3"/>
      <c r="N695" s="3"/>
      <c r="O695" s="3"/>
      <c r="P695" s="3"/>
      <c r="Q695" s="3"/>
      <c r="R695" s="3"/>
      <c r="S695" s="3"/>
      <c r="T695" s="3"/>
      <c r="U695" s="4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4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4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4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  <c r="DN695" s="3"/>
      <c r="DO695" s="3"/>
      <c r="DP695" s="3"/>
      <c r="DQ695" s="3"/>
      <c r="DR695" s="3"/>
      <c r="DS695" s="3"/>
      <c r="DT695" s="3"/>
      <c r="DU695" s="3"/>
      <c r="DV695" s="3"/>
      <c r="DW695" s="3"/>
      <c r="DX695" s="3"/>
      <c r="DY695" s="3"/>
      <c r="DZ695" s="3"/>
      <c r="EA695" s="3"/>
      <c r="EB695" s="3"/>
      <c r="EC695" s="3"/>
      <c r="ED695" s="3"/>
      <c r="EE695" s="3"/>
      <c r="EF695" s="3"/>
      <c r="EG695" s="3"/>
      <c r="EH695" s="3"/>
      <c r="EI695" s="3"/>
      <c r="EJ695" s="3"/>
      <c r="EK695" s="3"/>
      <c r="EL695" s="3"/>
      <c r="EM695" s="3"/>
      <c r="EN695" s="3"/>
      <c r="EO695" s="3"/>
      <c r="EP695" s="3"/>
      <c r="EQ695" s="3"/>
      <c r="ER695" s="3"/>
      <c r="ES695" s="3"/>
      <c r="ET695" s="3"/>
      <c r="EU695" s="3"/>
      <c r="EV695" s="3"/>
      <c r="EW695" s="3"/>
      <c r="EX695" s="3"/>
      <c r="EY695" s="3"/>
      <c r="EZ695" s="3"/>
      <c r="FA695" s="3"/>
      <c r="FB695" s="3"/>
      <c r="FC695" s="3"/>
      <c r="FD695" s="3"/>
      <c r="FE695" s="3"/>
      <c r="FF695" s="3"/>
      <c r="FG695" s="3"/>
      <c r="FH695" s="3"/>
      <c r="FI695" s="3"/>
      <c r="FJ695" s="3"/>
      <c r="FK695" s="3"/>
      <c r="FL695" s="3"/>
      <c r="FM695" s="3"/>
      <c r="FN695" s="3"/>
      <c r="FO695" s="3"/>
      <c r="FP695" s="3"/>
      <c r="FQ695" s="3"/>
      <c r="FR695" s="3"/>
      <c r="FS695" s="3"/>
      <c r="FT695" s="3"/>
      <c r="FU695" s="3"/>
      <c r="FV695" s="3"/>
      <c r="FW695" s="3"/>
      <c r="FX695" s="3"/>
      <c r="FY695" s="3"/>
    </row>
    <row r="696" spans="7:181" ht="15" x14ac:dyDescent="0.25">
      <c r="G696" s="2"/>
      <c r="H696" s="2"/>
      <c r="I696" s="2"/>
      <c r="J696" s="2"/>
      <c r="K696" s="2"/>
      <c r="L696" s="3"/>
      <c r="M696" s="3"/>
      <c r="N696" s="3"/>
      <c r="O696" s="3"/>
      <c r="P696" s="3"/>
      <c r="Q696" s="3"/>
      <c r="R696" s="3"/>
      <c r="S696" s="3"/>
      <c r="T696" s="3"/>
      <c r="U696" s="4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4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4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4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  <c r="DN696" s="3"/>
      <c r="DO696" s="3"/>
      <c r="DP696" s="3"/>
      <c r="DQ696" s="3"/>
      <c r="DR696" s="3"/>
      <c r="DS696" s="3"/>
      <c r="DT696" s="3"/>
      <c r="DU696" s="3"/>
      <c r="DV696" s="3"/>
      <c r="DW696" s="3"/>
      <c r="DX696" s="3"/>
      <c r="DY696" s="3"/>
      <c r="DZ696" s="3"/>
      <c r="EA696" s="3"/>
      <c r="EB696" s="3"/>
      <c r="EC696" s="3"/>
      <c r="ED696" s="3"/>
      <c r="EE696" s="3"/>
      <c r="EF696" s="3"/>
      <c r="EG696" s="3"/>
      <c r="EH696" s="3"/>
      <c r="EI696" s="3"/>
      <c r="EJ696" s="3"/>
      <c r="EK696" s="3"/>
      <c r="EL696" s="3"/>
      <c r="EM696" s="3"/>
      <c r="EN696" s="3"/>
      <c r="EO696" s="3"/>
      <c r="EP696" s="3"/>
      <c r="EQ696" s="3"/>
      <c r="ER696" s="3"/>
      <c r="ES696" s="3"/>
      <c r="ET696" s="3"/>
      <c r="EU696" s="3"/>
      <c r="EV696" s="3"/>
      <c r="EW696" s="3"/>
      <c r="EX696" s="3"/>
      <c r="EY696" s="3"/>
      <c r="EZ696" s="3"/>
      <c r="FA696" s="3"/>
      <c r="FB696" s="3"/>
      <c r="FC696" s="3"/>
      <c r="FD696" s="3"/>
      <c r="FE696" s="3"/>
      <c r="FF696" s="3"/>
      <c r="FG696" s="3"/>
      <c r="FH696" s="3"/>
      <c r="FI696" s="3"/>
      <c r="FJ696" s="3"/>
      <c r="FK696" s="3"/>
      <c r="FL696" s="3"/>
      <c r="FM696" s="3"/>
      <c r="FN696" s="3"/>
      <c r="FO696" s="3"/>
      <c r="FP696" s="3"/>
      <c r="FQ696" s="3"/>
      <c r="FR696" s="3"/>
      <c r="FS696" s="3"/>
      <c r="FT696" s="3"/>
      <c r="FU696" s="3"/>
      <c r="FV696" s="3"/>
      <c r="FW696" s="3"/>
      <c r="FX696" s="3"/>
      <c r="FY696" s="3"/>
    </row>
    <row r="697" spans="7:181" ht="15" x14ac:dyDescent="0.25">
      <c r="G697" s="2"/>
      <c r="H697" s="2"/>
      <c r="I697" s="2"/>
      <c r="J697" s="2"/>
      <c r="K697" s="2"/>
      <c r="L697" s="3"/>
      <c r="M697" s="3"/>
      <c r="N697" s="3"/>
      <c r="O697" s="3"/>
      <c r="P697" s="3"/>
      <c r="Q697" s="3"/>
      <c r="R697" s="3"/>
      <c r="S697" s="3"/>
      <c r="T697" s="3"/>
      <c r="U697" s="4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4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4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4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  <c r="DN697" s="3"/>
      <c r="DO697" s="3"/>
      <c r="DP697" s="3"/>
      <c r="DQ697" s="3"/>
      <c r="DR697" s="3"/>
      <c r="DS697" s="3"/>
      <c r="DT697" s="3"/>
      <c r="DU697" s="3"/>
      <c r="DV697" s="3"/>
      <c r="DW697" s="3"/>
      <c r="DX697" s="3"/>
      <c r="DY697" s="3"/>
      <c r="DZ697" s="3"/>
      <c r="EA697" s="3"/>
      <c r="EB697" s="3"/>
      <c r="EC697" s="3"/>
      <c r="ED697" s="3"/>
      <c r="EE697" s="3"/>
      <c r="EF697" s="3"/>
      <c r="EG697" s="3"/>
      <c r="EH697" s="3"/>
      <c r="EI697" s="3"/>
      <c r="EJ697" s="3"/>
      <c r="EK697" s="3"/>
      <c r="EL697" s="3"/>
      <c r="EM697" s="3"/>
      <c r="EN697" s="3"/>
      <c r="EO697" s="3"/>
      <c r="EP697" s="3"/>
      <c r="EQ697" s="3"/>
      <c r="ER697" s="3"/>
      <c r="ES697" s="3"/>
      <c r="ET697" s="3"/>
      <c r="EU697" s="3"/>
      <c r="EV697" s="3"/>
      <c r="EW697" s="3"/>
      <c r="EX697" s="3"/>
      <c r="EY697" s="3"/>
      <c r="EZ697" s="3"/>
      <c r="FA697" s="3"/>
      <c r="FB697" s="3"/>
      <c r="FC697" s="3"/>
      <c r="FD697" s="3"/>
      <c r="FE697" s="3"/>
      <c r="FF697" s="3"/>
      <c r="FG697" s="3"/>
      <c r="FH697" s="3"/>
      <c r="FI697" s="3"/>
      <c r="FJ697" s="3"/>
      <c r="FK697" s="3"/>
      <c r="FL697" s="3"/>
      <c r="FM697" s="3"/>
      <c r="FN697" s="3"/>
      <c r="FO697" s="3"/>
      <c r="FP697" s="3"/>
      <c r="FQ697" s="3"/>
      <c r="FR697" s="3"/>
      <c r="FS697" s="3"/>
      <c r="FT697" s="3"/>
      <c r="FU697" s="3"/>
      <c r="FV697" s="3"/>
      <c r="FW697" s="3"/>
      <c r="FX697" s="3"/>
      <c r="FY697" s="3"/>
    </row>
    <row r="698" spans="7:181" ht="15" x14ac:dyDescent="0.25">
      <c r="G698" s="2"/>
      <c r="H698" s="2"/>
      <c r="I698" s="2"/>
      <c r="J698" s="2"/>
      <c r="K698" s="2"/>
      <c r="L698" s="3"/>
      <c r="M698" s="3"/>
      <c r="N698" s="3"/>
      <c r="O698" s="3"/>
      <c r="P698" s="3"/>
      <c r="Q698" s="3"/>
      <c r="R698" s="3"/>
      <c r="S698" s="3"/>
      <c r="T698" s="3"/>
      <c r="U698" s="4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4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4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4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  <c r="DN698" s="3"/>
      <c r="DO698" s="3"/>
      <c r="DP698" s="3"/>
      <c r="DQ698" s="3"/>
      <c r="DR698" s="3"/>
      <c r="DS698" s="3"/>
      <c r="DT698" s="3"/>
      <c r="DU698" s="3"/>
      <c r="DV698" s="3"/>
      <c r="DW698" s="3"/>
      <c r="DX698" s="3"/>
      <c r="DY698" s="3"/>
      <c r="DZ698" s="3"/>
      <c r="EA698" s="3"/>
      <c r="EB698" s="3"/>
      <c r="EC698" s="3"/>
      <c r="ED698" s="3"/>
      <c r="EE698" s="3"/>
      <c r="EF698" s="3"/>
      <c r="EG698" s="3"/>
      <c r="EH698" s="3"/>
      <c r="EI698" s="3"/>
      <c r="EJ698" s="3"/>
      <c r="EK698" s="3"/>
      <c r="EL698" s="3"/>
      <c r="EM698" s="3"/>
      <c r="EN698" s="3"/>
      <c r="EO698" s="3"/>
      <c r="EP698" s="3"/>
      <c r="EQ698" s="3"/>
      <c r="ER698" s="3"/>
      <c r="ES698" s="3"/>
      <c r="ET698" s="3"/>
      <c r="EU698" s="3"/>
      <c r="EV698" s="3"/>
      <c r="EW698" s="3"/>
      <c r="EX698" s="3"/>
      <c r="EY698" s="3"/>
      <c r="EZ698" s="3"/>
      <c r="FA698" s="3"/>
      <c r="FB698" s="3"/>
      <c r="FC698" s="3"/>
      <c r="FD698" s="3"/>
      <c r="FE698" s="3"/>
      <c r="FF698" s="3"/>
      <c r="FG698" s="3"/>
      <c r="FH698" s="3"/>
      <c r="FI698" s="3"/>
      <c r="FJ698" s="3"/>
      <c r="FK698" s="3"/>
      <c r="FL698" s="3"/>
      <c r="FM698" s="3"/>
      <c r="FN698" s="3"/>
      <c r="FO698" s="3"/>
      <c r="FP698" s="3"/>
      <c r="FQ698" s="3"/>
      <c r="FR698" s="3"/>
      <c r="FS698" s="3"/>
      <c r="FT698" s="3"/>
      <c r="FU698" s="3"/>
      <c r="FV698" s="3"/>
      <c r="FW698" s="3"/>
      <c r="FX698" s="3"/>
      <c r="FY698" s="3"/>
    </row>
    <row r="699" spans="7:181" ht="15" x14ac:dyDescent="0.25">
      <c r="G699" s="2"/>
      <c r="H699" s="2"/>
      <c r="I699" s="2"/>
      <c r="J699" s="2"/>
      <c r="K699" s="2"/>
      <c r="L699" s="3"/>
      <c r="M699" s="3"/>
      <c r="N699" s="3"/>
      <c r="O699" s="3"/>
      <c r="P699" s="3"/>
      <c r="Q699" s="3"/>
      <c r="R699" s="3"/>
      <c r="S699" s="3"/>
      <c r="T699" s="3"/>
      <c r="U699" s="4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4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4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4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  <c r="DN699" s="3"/>
      <c r="DO699" s="3"/>
      <c r="DP699" s="3"/>
      <c r="DQ699" s="3"/>
      <c r="DR699" s="3"/>
      <c r="DS699" s="3"/>
      <c r="DT699" s="3"/>
      <c r="DU699" s="3"/>
      <c r="DV699" s="3"/>
      <c r="DW699" s="3"/>
      <c r="DX699" s="3"/>
      <c r="DY699" s="3"/>
      <c r="DZ699" s="3"/>
      <c r="EA699" s="3"/>
      <c r="EB699" s="3"/>
      <c r="EC699" s="3"/>
      <c r="ED699" s="3"/>
      <c r="EE699" s="3"/>
      <c r="EF699" s="3"/>
      <c r="EG699" s="3"/>
      <c r="EH699" s="3"/>
      <c r="EI699" s="3"/>
      <c r="EJ699" s="3"/>
      <c r="EK699" s="3"/>
      <c r="EL699" s="3"/>
      <c r="EM699" s="3"/>
      <c r="EN699" s="3"/>
      <c r="EO699" s="3"/>
      <c r="EP699" s="3"/>
      <c r="EQ699" s="3"/>
      <c r="ER699" s="3"/>
      <c r="ES699" s="3"/>
      <c r="ET699" s="3"/>
      <c r="EU699" s="3"/>
      <c r="EV699" s="3"/>
      <c r="EW699" s="3"/>
      <c r="EX699" s="3"/>
      <c r="EY699" s="3"/>
      <c r="EZ699" s="3"/>
      <c r="FA699" s="3"/>
      <c r="FB699" s="3"/>
      <c r="FC699" s="3"/>
      <c r="FD699" s="3"/>
      <c r="FE699" s="3"/>
      <c r="FF699" s="3"/>
      <c r="FG699" s="3"/>
      <c r="FH699" s="3"/>
      <c r="FI699" s="3"/>
      <c r="FJ699" s="3"/>
      <c r="FK699" s="3"/>
      <c r="FL699" s="3"/>
      <c r="FM699" s="3"/>
      <c r="FN699" s="3"/>
      <c r="FO699" s="3"/>
      <c r="FP699" s="3"/>
      <c r="FQ699" s="3"/>
      <c r="FR699" s="3"/>
      <c r="FS699" s="3"/>
      <c r="FT699" s="3"/>
      <c r="FU699" s="3"/>
      <c r="FV699" s="3"/>
      <c r="FW699" s="3"/>
      <c r="FX699" s="3"/>
      <c r="FY699" s="3"/>
    </row>
    <row r="700" spans="7:181" ht="15" x14ac:dyDescent="0.25">
      <c r="G700" s="2"/>
      <c r="H700" s="2"/>
      <c r="I700" s="2"/>
      <c r="J700" s="2"/>
      <c r="K700" s="2"/>
      <c r="L700" s="3"/>
      <c r="M700" s="3"/>
      <c r="N700" s="3"/>
      <c r="O700" s="3"/>
      <c r="P700" s="3"/>
      <c r="Q700" s="3"/>
      <c r="R700" s="3"/>
      <c r="S700" s="3"/>
      <c r="T700" s="3"/>
      <c r="U700" s="4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4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4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4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  <c r="DN700" s="3"/>
      <c r="DO700" s="3"/>
      <c r="DP700" s="3"/>
      <c r="DQ700" s="3"/>
      <c r="DR700" s="3"/>
      <c r="DS700" s="3"/>
      <c r="DT700" s="3"/>
      <c r="DU700" s="3"/>
      <c r="DV700" s="3"/>
      <c r="DW700" s="3"/>
      <c r="DX700" s="3"/>
      <c r="DY700" s="3"/>
      <c r="DZ700" s="3"/>
      <c r="EA700" s="3"/>
      <c r="EB700" s="3"/>
      <c r="EC700" s="3"/>
      <c r="ED700" s="3"/>
      <c r="EE700" s="3"/>
      <c r="EF700" s="3"/>
      <c r="EG700" s="3"/>
      <c r="EH700" s="3"/>
      <c r="EI700" s="3"/>
      <c r="EJ700" s="3"/>
      <c r="EK700" s="3"/>
      <c r="EL700" s="3"/>
      <c r="EM700" s="3"/>
      <c r="EN700" s="3"/>
      <c r="EO700" s="3"/>
      <c r="EP700" s="3"/>
      <c r="EQ700" s="3"/>
      <c r="ER700" s="3"/>
      <c r="ES700" s="3"/>
      <c r="ET700" s="3"/>
      <c r="EU700" s="3"/>
      <c r="EV700" s="3"/>
      <c r="EW700" s="3"/>
      <c r="EX700" s="3"/>
      <c r="EY700" s="3"/>
      <c r="EZ700" s="3"/>
      <c r="FA700" s="3"/>
      <c r="FB700" s="3"/>
      <c r="FC700" s="3"/>
      <c r="FD700" s="3"/>
      <c r="FE700" s="3"/>
      <c r="FF700" s="3"/>
      <c r="FG700" s="3"/>
      <c r="FH700" s="3"/>
      <c r="FI700" s="3"/>
      <c r="FJ700" s="3"/>
      <c r="FK700" s="3"/>
      <c r="FL700" s="3"/>
      <c r="FM700" s="3"/>
      <c r="FN700" s="3"/>
      <c r="FO700" s="3"/>
      <c r="FP700" s="3"/>
      <c r="FQ700" s="3"/>
      <c r="FR700" s="3"/>
      <c r="FS700" s="3"/>
      <c r="FT700" s="3"/>
      <c r="FU700" s="3"/>
      <c r="FV700" s="3"/>
      <c r="FW700" s="3"/>
      <c r="FX700" s="3"/>
      <c r="FY700" s="3"/>
    </row>
    <row r="701" spans="7:181" ht="15" x14ac:dyDescent="0.25">
      <c r="G701" s="2"/>
      <c r="H701" s="2"/>
      <c r="I701" s="2"/>
      <c r="J701" s="2"/>
      <c r="K701" s="2"/>
      <c r="L701" s="3"/>
      <c r="M701" s="3"/>
      <c r="N701" s="3"/>
      <c r="O701" s="3"/>
      <c r="P701" s="3"/>
      <c r="Q701" s="3"/>
      <c r="R701" s="3"/>
      <c r="S701" s="3"/>
      <c r="T701" s="3"/>
      <c r="U701" s="4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4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4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4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  <c r="DN701" s="3"/>
      <c r="DO701" s="3"/>
      <c r="DP701" s="3"/>
      <c r="DQ701" s="3"/>
      <c r="DR701" s="3"/>
      <c r="DS701" s="3"/>
      <c r="DT701" s="3"/>
      <c r="DU701" s="3"/>
      <c r="DV701" s="3"/>
      <c r="DW701" s="3"/>
      <c r="DX701" s="3"/>
      <c r="DY701" s="3"/>
      <c r="DZ701" s="3"/>
      <c r="EA701" s="3"/>
      <c r="EB701" s="3"/>
      <c r="EC701" s="3"/>
      <c r="ED701" s="3"/>
      <c r="EE701" s="3"/>
      <c r="EF701" s="3"/>
      <c r="EG701" s="3"/>
      <c r="EH701" s="3"/>
      <c r="EI701" s="3"/>
      <c r="EJ701" s="3"/>
      <c r="EK701" s="3"/>
      <c r="EL701" s="3"/>
      <c r="EM701" s="3"/>
      <c r="EN701" s="3"/>
      <c r="EO701" s="3"/>
      <c r="EP701" s="3"/>
      <c r="EQ701" s="3"/>
      <c r="ER701" s="3"/>
      <c r="ES701" s="3"/>
      <c r="ET701" s="3"/>
      <c r="EU701" s="3"/>
      <c r="EV701" s="3"/>
      <c r="EW701" s="3"/>
      <c r="EX701" s="3"/>
      <c r="EY701" s="3"/>
      <c r="EZ701" s="3"/>
      <c r="FA701" s="3"/>
      <c r="FB701" s="3"/>
      <c r="FC701" s="3"/>
      <c r="FD701" s="3"/>
      <c r="FE701" s="3"/>
      <c r="FF701" s="3"/>
      <c r="FG701" s="3"/>
      <c r="FH701" s="3"/>
      <c r="FI701" s="3"/>
      <c r="FJ701" s="3"/>
      <c r="FK701" s="3"/>
      <c r="FL701" s="3"/>
      <c r="FM701" s="3"/>
      <c r="FN701" s="3"/>
      <c r="FO701" s="3"/>
      <c r="FP701" s="3"/>
      <c r="FQ701" s="3"/>
      <c r="FR701" s="3"/>
      <c r="FS701" s="3"/>
      <c r="FT701" s="3"/>
      <c r="FU701" s="3"/>
      <c r="FV701" s="3"/>
      <c r="FW701" s="3"/>
      <c r="FX701" s="3"/>
      <c r="FY701" s="3"/>
    </row>
    <row r="702" spans="7:181" ht="15" x14ac:dyDescent="0.25">
      <c r="G702" s="2"/>
      <c r="H702" s="2"/>
      <c r="I702" s="2"/>
      <c r="J702" s="2"/>
      <c r="K702" s="2"/>
      <c r="L702" s="3"/>
      <c r="M702" s="3"/>
      <c r="N702" s="3"/>
      <c r="O702" s="3"/>
      <c r="P702" s="3"/>
      <c r="Q702" s="3"/>
      <c r="R702" s="3"/>
      <c r="S702" s="3"/>
      <c r="T702" s="3"/>
      <c r="U702" s="4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4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4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4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  <c r="DI702" s="3"/>
      <c r="DJ702" s="3"/>
      <c r="DK702" s="3"/>
      <c r="DL702" s="3"/>
      <c r="DM702" s="3"/>
      <c r="DN702" s="3"/>
      <c r="DO702" s="3"/>
      <c r="DP702" s="3"/>
      <c r="DQ702" s="3"/>
      <c r="DR702" s="3"/>
      <c r="DS702" s="3"/>
      <c r="DT702" s="3"/>
      <c r="DU702" s="3"/>
      <c r="DV702" s="3"/>
      <c r="DW702" s="3"/>
      <c r="DX702" s="3"/>
      <c r="DY702" s="3"/>
      <c r="DZ702" s="3"/>
      <c r="EA702" s="3"/>
      <c r="EB702" s="3"/>
      <c r="EC702" s="3"/>
      <c r="ED702" s="3"/>
      <c r="EE702" s="3"/>
      <c r="EF702" s="3"/>
      <c r="EG702" s="3"/>
      <c r="EH702" s="3"/>
      <c r="EI702" s="3"/>
      <c r="EJ702" s="3"/>
      <c r="EK702" s="3"/>
      <c r="EL702" s="3"/>
      <c r="EM702" s="3"/>
      <c r="EN702" s="3"/>
      <c r="EO702" s="3"/>
      <c r="EP702" s="3"/>
      <c r="EQ702" s="3"/>
      <c r="ER702" s="3"/>
      <c r="ES702" s="3"/>
      <c r="ET702" s="3"/>
      <c r="EU702" s="3"/>
      <c r="EV702" s="3"/>
      <c r="EW702" s="3"/>
      <c r="EX702" s="3"/>
      <c r="EY702" s="3"/>
      <c r="EZ702" s="3"/>
      <c r="FA702" s="3"/>
      <c r="FB702" s="3"/>
      <c r="FC702" s="3"/>
      <c r="FD702" s="3"/>
      <c r="FE702" s="3"/>
      <c r="FF702" s="3"/>
      <c r="FG702" s="3"/>
      <c r="FH702" s="3"/>
      <c r="FI702" s="3"/>
      <c r="FJ702" s="3"/>
      <c r="FK702" s="3"/>
      <c r="FL702" s="3"/>
      <c r="FM702" s="3"/>
      <c r="FN702" s="3"/>
      <c r="FO702" s="3"/>
      <c r="FP702" s="3"/>
      <c r="FQ702" s="3"/>
      <c r="FR702" s="3"/>
      <c r="FS702" s="3"/>
      <c r="FT702" s="3"/>
      <c r="FU702" s="3"/>
      <c r="FV702" s="3"/>
      <c r="FW702" s="3"/>
      <c r="FX702" s="3"/>
      <c r="FY702" s="3"/>
    </row>
    <row r="703" spans="7:181" ht="15" x14ac:dyDescent="0.25">
      <c r="G703" s="2"/>
      <c r="H703" s="2"/>
      <c r="I703" s="2"/>
      <c r="J703" s="2"/>
      <c r="K703" s="2"/>
      <c r="L703" s="3"/>
      <c r="M703" s="3"/>
      <c r="N703" s="3"/>
      <c r="O703" s="3"/>
      <c r="P703" s="3"/>
      <c r="Q703" s="3"/>
      <c r="R703" s="3"/>
      <c r="S703" s="3"/>
      <c r="T703" s="3"/>
      <c r="U703" s="4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4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4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4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/>
      <c r="BZ703" s="3"/>
      <c r="CA703" s="3"/>
      <c r="CB703" s="3"/>
      <c r="CC703" s="3"/>
      <c r="CD703" s="3"/>
      <c r="CE703" s="3"/>
      <c r="CF703" s="3"/>
      <c r="CG703" s="3"/>
      <c r="CH703" s="3"/>
      <c r="CI703" s="3"/>
      <c r="CJ703" s="3"/>
      <c r="CK703" s="3"/>
      <c r="CL703" s="3"/>
      <c r="CM703" s="3"/>
      <c r="CN703" s="3"/>
      <c r="CO703" s="3"/>
      <c r="CP703" s="3"/>
      <c r="CQ703" s="3"/>
      <c r="CR703" s="3"/>
      <c r="CS703" s="3"/>
      <c r="CT703" s="3"/>
      <c r="CU703" s="3"/>
      <c r="CV703" s="3"/>
      <c r="CW703" s="3"/>
      <c r="CX703" s="3"/>
      <c r="CY703" s="3"/>
      <c r="CZ703" s="3"/>
      <c r="DA703" s="3"/>
      <c r="DB703" s="3"/>
      <c r="DC703" s="3"/>
      <c r="DD703" s="3"/>
      <c r="DE703" s="3"/>
      <c r="DF703" s="3"/>
      <c r="DG703" s="3"/>
      <c r="DH703" s="3"/>
      <c r="DI703" s="3"/>
      <c r="DJ703" s="3"/>
      <c r="DK703" s="3"/>
      <c r="DL703" s="3"/>
      <c r="DM703" s="3"/>
      <c r="DN703" s="3"/>
      <c r="DO703" s="3"/>
      <c r="DP703" s="3"/>
      <c r="DQ703" s="3"/>
      <c r="DR703" s="3"/>
      <c r="DS703" s="3"/>
      <c r="DT703" s="3"/>
      <c r="DU703" s="3"/>
      <c r="DV703" s="3"/>
      <c r="DW703" s="3"/>
      <c r="DX703" s="3"/>
      <c r="DY703" s="3"/>
      <c r="DZ703" s="3"/>
      <c r="EA703" s="3"/>
      <c r="EB703" s="3"/>
      <c r="EC703" s="3"/>
      <c r="ED703" s="3"/>
      <c r="EE703" s="3"/>
      <c r="EF703" s="3"/>
      <c r="EG703" s="3"/>
      <c r="EH703" s="3"/>
      <c r="EI703" s="3"/>
      <c r="EJ703" s="3"/>
      <c r="EK703" s="3"/>
      <c r="EL703" s="3"/>
      <c r="EM703" s="3"/>
      <c r="EN703" s="3"/>
      <c r="EO703" s="3"/>
      <c r="EP703" s="3"/>
      <c r="EQ703" s="3"/>
      <c r="ER703" s="3"/>
      <c r="ES703" s="3"/>
      <c r="ET703" s="3"/>
      <c r="EU703" s="3"/>
      <c r="EV703" s="3"/>
      <c r="EW703" s="3"/>
      <c r="EX703" s="3"/>
      <c r="EY703" s="3"/>
      <c r="EZ703" s="3"/>
      <c r="FA703" s="3"/>
      <c r="FB703" s="3"/>
      <c r="FC703" s="3"/>
      <c r="FD703" s="3"/>
      <c r="FE703" s="3"/>
      <c r="FF703" s="3"/>
      <c r="FG703" s="3"/>
      <c r="FH703" s="3"/>
      <c r="FI703" s="3"/>
      <c r="FJ703" s="3"/>
      <c r="FK703" s="3"/>
      <c r="FL703" s="3"/>
      <c r="FM703" s="3"/>
      <c r="FN703" s="3"/>
      <c r="FO703" s="3"/>
      <c r="FP703" s="3"/>
      <c r="FQ703" s="3"/>
      <c r="FR703" s="3"/>
      <c r="FS703" s="3"/>
      <c r="FT703" s="3"/>
      <c r="FU703" s="3"/>
      <c r="FV703" s="3"/>
      <c r="FW703" s="3"/>
      <c r="FX703" s="3"/>
      <c r="FY703" s="3"/>
    </row>
    <row r="704" spans="7:181" ht="15" x14ac:dyDescent="0.25">
      <c r="G704" s="2"/>
      <c r="H704" s="2"/>
      <c r="I704" s="2"/>
      <c r="J704" s="2"/>
      <c r="K704" s="2"/>
      <c r="L704" s="3"/>
      <c r="M704" s="3"/>
      <c r="N704" s="3"/>
      <c r="O704" s="3"/>
      <c r="P704" s="3"/>
      <c r="Q704" s="3"/>
      <c r="R704" s="3"/>
      <c r="S704" s="3"/>
      <c r="T704" s="3"/>
      <c r="U704" s="4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4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4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4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  <c r="DN704" s="3"/>
      <c r="DO704" s="3"/>
      <c r="DP704" s="3"/>
      <c r="DQ704" s="3"/>
      <c r="DR704" s="3"/>
      <c r="DS704" s="3"/>
      <c r="DT704" s="3"/>
      <c r="DU704" s="3"/>
      <c r="DV704" s="3"/>
      <c r="DW704" s="3"/>
      <c r="DX704" s="3"/>
      <c r="DY704" s="3"/>
      <c r="DZ704" s="3"/>
      <c r="EA704" s="3"/>
      <c r="EB704" s="3"/>
      <c r="EC704" s="3"/>
      <c r="ED704" s="3"/>
      <c r="EE704" s="3"/>
      <c r="EF704" s="3"/>
      <c r="EG704" s="3"/>
      <c r="EH704" s="3"/>
      <c r="EI704" s="3"/>
      <c r="EJ704" s="3"/>
      <c r="EK704" s="3"/>
      <c r="EL704" s="3"/>
      <c r="EM704" s="3"/>
      <c r="EN704" s="3"/>
      <c r="EO704" s="3"/>
      <c r="EP704" s="3"/>
      <c r="EQ704" s="3"/>
      <c r="ER704" s="3"/>
      <c r="ES704" s="3"/>
      <c r="ET704" s="3"/>
      <c r="EU704" s="3"/>
      <c r="EV704" s="3"/>
      <c r="EW704" s="3"/>
      <c r="EX704" s="3"/>
      <c r="EY704" s="3"/>
      <c r="EZ704" s="3"/>
      <c r="FA704" s="3"/>
      <c r="FB704" s="3"/>
      <c r="FC704" s="3"/>
      <c r="FD704" s="3"/>
      <c r="FE704" s="3"/>
      <c r="FF704" s="3"/>
      <c r="FG704" s="3"/>
      <c r="FH704" s="3"/>
      <c r="FI704" s="3"/>
      <c r="FJ704" s="3"/>
      <c r="FK704" s="3"/>
      <c r="FL704" s="3"/>
      <c r="FM704" s="3"/>
      <c r="FN704" s="3"/>
      <c r="FO704" s="3"/>
      <c r="FP704" s="3"/>
      <c r="FQ704" s="3"/>
      <c r="FR704" s="3"/>
      <c r="FS704" s="3"/>
      <c r="FT704" s="3"/>
      <c r="FU704" s="3"/>
      <c r="FV704" s="3"/>
      <c r="FW704" s="3"/>
      <c r="FX704" s="3"/>
      <c r="FY704" s="3"/>
    </row>
    <row r="705" spans="7:181" ht="15" x14ac:dyDescent="0.25">
      <c r="G705" s="2"/>
      <c r="H705" s="2"/>
      <c r="I705" s="2"/>
      <c r="J705" s="2"/>
      <c r="K705" s="2"/>
      <c r="L705" s="3"/>
      <c r="M705" s="3"/>
      <c r="N705" s="3"/>
      <c r="O705" s="3"/>
      <c r="P705" s="3"/>
      <c r="Q705" s="3"/>
      <c r="R705" s="3"/>
      <c r="S705" s="3"/>
      <c r="T705" s="3"/>
      <c r="U705" s="4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4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4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4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  <c r="DN705" s="3"/>
      <c r="DO705" s="3"/>
      <c r="DP705" s="3"/>
      <c r="DQ705" s="3"/>
      <c r="DR705" s="3"/>
      <c r="DS705" s="3"/>
      <c r="DT705" s="3"/>
      <c r="DU705" s="3"/>
      <c r="DV705" s="3"/>
      <c r="DW705" s="3"/>
      <c r="DX705" s="3"/>
      <c r="DY705" s="3"/>
      <c r="DZ705" s="3"/>
      <c r="EA705" s="3"/>
      <c r="EB705" s="3"/>
      <c r="EC705" s="3"/>
      <c r="ED705" s="3"/>
      <c r="EE705" s="3"/>
      <c r="EF705" s="3"/>
      <c r="EG705" s="3"/>
      <c r="EH705" s="3"/>
      <c r="EI705" s="3"/>
      <c r="EJ705" s="3"/>
      <c r="EK705" s="3"/>
      <c r="EL705" s="3"/>
      <c r="EM705" s="3"/>
      <c r="EN705" s="3"/>
      <c r="EO705" s="3"/>
      <c r="EP705" s="3"/>
      <c r="EQ705" s="3"/>
      <c r="ER705" s="3"/>
      <c r="ES705" s="3"/>
      <c r="ET705" s="3"/>
      <c r="EU705" s="3"/>
      <c r="EV705" s="3"/>
      <c r="EW705" s="3"/>
      <c r="EX705" s="3"/>
      <c r="EY705" s="3"/>
      <c r="EZ705" s="3"/>
      <c r="FA705" s="3"/>
      <c r="FB705" s="3"/>
      <c r="FC705" s="3"/>
      <c r="FD705" s="3"/>
      <c r="FE705" s="3"/>
      <c r="FF705" s="3"/>
      <c r="FG705" s="3"/>
      <c r="FH705" s="3"/>
      <c r="FI705" s="3"/>
      <c r="FJ705" s="3"/>
      <c r="FK705" s="3"/>
      <c r="FL705" s="3"/>
      <c r="FM705" s="3"/>
      <c r="FN705" s="3"/>
      <c r="FO705" s="3"/>
      <c r="FP705" s="3"/>
      <c r="FQ705" s="3"/>
      <c r="FR705" s="3"/>
      <c r="FS705" s="3"/>
      <c r="FT705" s="3"/>
      <c r="FU705" s="3"/>
      <c r="FV705" s="3"/>
      <c r="FW705" s="3"/>
      <c r="FX705" s="3"/>
      <c r="FY705" s="3"/>
    </row>
    <row r="706" spans="7:181" ht="15" x14ac:dyDescent="0.25">
      <c r="G706" s="2"/>
      <c r="H706" s="2"/>
      <c r="I706" s="2"/>
      <c r="J706" s="2"/>
      <c r="K706" s="2"/>
      <c r="L706" s="3"/>
      <c r="M706" s="3"/>
      <c r="N706" s="3"/>
      <c r="O706" s="3"/>
      <c r="P706" s="3"/>
      <c r="Q706" s="3"/>
      <c r="R706" s="3"/>
      <c r="S706" s="3"/>
      <c r="T706" s="3"/>
      <c r="U706" s="4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4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4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4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  <c r="DN706" s="3"/>
      <c r="DO706" s="3"/>
      <c r="DP706" s="3"/>
      <c r="DQ706" s="3"/>
      <c r="DR706" s="3"/>
      <c r="DS706" s="3"/>
      <c r="DT706" s="3"/>
      <c r="DU706" s="3"/>
      <c r="DV706" s="3"/>
      <c r="DW706" s="3"/>
      <c r="DX706" s="3"/>
      <c r="DY706" s="3"/>
      <c r="DZ706" s="3"/>
      <c r="EA706" s="3"/>
      <c r="EB706" s="3"/>
      <c r="EC706" s="3"/>
      <c r="ED706" s="3"/>
      <c r="EE706" s="3"/>
      <c r="EF706" s="3"/>
      <c r="EG706" s="3"/>
      <c r="EH706" s="3"/>
      <c r="EI706" s="3"/>
      <c r="EJ706" s="3"/>
      <c r="EK706" s="3"/>
      <c r="EL706" s="3"/>
      <c r="EM706" s="3"/>
      <c r="EN706" s="3"/>
      <c r="EO706" s="3"/>
      <c r="EP706" s="3"/>
      <c r="EQ706" s="3"/>
      <c r="ER706" s="3"/>
      <c r="ES706" s="3"/>
      <c r="ET706" s="3"/>
      <c r="EU706" s="3"/>
      <c r="EV706" s="3"/>
      <c r="EW706" s="3"/>
      <c r="EX706" s="3"/>
      <c r="EY706" s="3"/>
      <c r="EZ706" s="3"/>
      <c r="FA706" s="3"/>
      <c r="FB706" s="3"/>
      <c r="FC706" s="3"/>
      <c r="FD706" s="3"/>
      <c r="FE706" s="3"/>
      <c r="FF706" s="3"/>
      <c r="FG706" s="3"/>
      <c r="FH706" s="3"/>
      <c r="FI706" s="3"/>
      <c r="FJ706" s="3"/>
      <c r="FK706" s="3"/>
      <c r="FL706" s="3"/>
      <c r="FM706" s="3"/>
      <c r="FN706" s="3"/>
      <c r="FO706" s="3"/>
      <c r="FP706" s="3"/>
      <c r="FQ706" s="3"/>
      <c r="FR706" s="3"/>
      <c r="FS706" s="3"/>
      <c r="FT706" s="3"/>
      <c r="FU706" s="3"/>
      <c r="FV706" s="3"/>
      <c r="FW706" s="3"/>
      <c r="FX706" s="3"/>
      <c r="FY706" s="3"/>
    </row>
    <row r="707" spans="7:181" ht="15" x14ac:dyDescent="0.25">
      <c r="G707" s="2"/>
      <c r="H707" s="2"/>
      <c r="I707" s="2"/>
      <c r="J707" s="2"/>
      <c r="K707" s="2"/>
      <c r="L707" s="3"/>
      <c r="M707" s="3"/>
      <c r="N707" s="3"/>
      <c r="O707" s="3"/>
      <c r="P707" s="3"/>
      <c r="Q707" s="3"/>
      <c r="R707" s="3"/>
      <c r="S707" s="3"/>
      <c r="T707" s="3"/>
      <c r="U707" s="4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4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4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4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  <c r="DN707" s="3"/>
      <c r="DO707" s="3"/>
      <c r="DP707" s="3"/>
      <c r="DQ707" s="3"/>
      <c r="DR707" s="3"/>
      <c r="DS707" s="3"/>
      <c r="DT707" s="3"/>
      <c r="DU707" s="3"/>
      <c r="DV707" s="3"/>
      <c r="DW707" s="3"/>
      <c r="DX707" s="3"/>
      <c r="DY707" s="3"/>
      <c r="DZ707" s="3"/>
      <c r="EA707" s="3"/>
      <c r="EB707" s="3"/>
      <c r="EC707" s="3"/>
      <c r="ED707" s="3"/>
      <c r="EE707" s="3"/>
      <c r="EF707" s="3"/>
      <c r="EG707" s="3"/>
      <c r="EH707" s="3"/>
      <c r="EI707" s="3"/>
      <c r="EJ707" s="3"/>
      <c r="EK707" s="3"/>
      <c r="EL707" s="3"/>
      <c r="EM707" s="3"/>
      <c r="EN707" s="3"/>
      <c r="EO707" s="3"/>
      <c r="EP707" s="3"/>
      <c r="EQ707" s="3"/>
      <c r="ER707" s="3"/>
      <c r="ES707" s="3"/>
      <c r="ET707" s="3"/>
      <c r="EU707" s="3"/>
      <c r="EV707" s="3"/>
      <c r="EW707" s="3"/>
      <c r="EX707" s="3"/>
      <c r="EY707" s="3"/>
      <c r="EZ707" s="3"/>
      <c r="FA707" s="3"/>
      <c r="FB707" s="3"/>
      <c r="FC707" s="3"/>
      <c r="FD707" s="3"/>
      <c r="FE707" s="3"/>
      <c r="FF707" s="3"/>
      <c r="FG707" s="3"/>
      <c r="FH707" s="3"/>
      <c r="FI707" s="3"/>
      <c r="FJ707" s="3"/>
      <c r="FK707" s="3"/>
      <c r="FL707" s="3"/>
      <c r="FM707" s="3"/>
      <c r="FN707" s="3"/>
      <c r="FO707" s="3"/>
      <c r="FP707" s="3"/>
      <c r="FQ707" s="3"/>
      <c r="FR707" s="3"/>
      <c r="FS707" s="3"/>
      <c r="FT707" s="3"/>
      <c r="FU707" s="3"/>
      <c r="FV707" s="3"/>
      <c r="FW707" s="3"/>
      <c r="FX707" s="3"/>
      <c r="FY707" s="3"/>
    </row>
    <row r="708" spans="7:181" ht="15" x14ac:dyDescent="0.25">
      <c r="G708" s="2"/>
      <c r="H708" s="2"/>
      <c r="I708" s="2"/>
      <c r="J708" s="2"/>
      <c r="K708" s="2"/>
      <c r="L708" s="3"/>
      <c r="M708" s="3"/>
      <c r="N708" s="3"/>
      <c r="O708" s="3"/>
      <c r="P708" s="3"/>
      <c r="Q708" s="3"/>
      <c r="R708" s="3"/>
      <c r="S708" s="3"/>
      <c r="T708" s="3"/>
      <c r="U708" s="4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4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4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4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  <c r="DN708" s="3"/>
      <c r="DO708" s="3"/>
      <c r="DP708" s="3"/>
      <c r="DQ708" s="3"/>
      <c r="DR708" s="3"/>
      <c r="DS708" s="3"/>
      <c r="DT708" s="3"/>
      <c r="DU708" s="3"/>
      <c r="DV708" s="3"/>
      <c r="DW708" s="3"/>
      <c r="DX708" s="3"/>
      <c r="DY708" s="3"/>
      <c r="DZ708" s="3"/>
      <c r="EA708" s="3"/>
      <c r="EB708" s="3"/>
      <c r="EC708" s="3"/>
      <c r="ED708" s="3"/>
      <c r="EE708" s="3"/>
      <c r="EF708" s="3"/>
      <c r="EG708" s="3"/>
      <c r="EH708" s="3"/>
      <c r="EI708" s="3"/>
      <c r="EJ708" s="3"/>
      <c r="EK708" s="3"/>
      <c r="EL708" s="3"/>
      <c r="EM708" s="3"/>
      <c r="EN708" s="3"/>
      <c r="EO708" s="3"/>
      <c r="EP708" s="3"/>
      <c r="EQ708" s="3"/>
      <c r="ER708" s="3"/>
      <c r="ES708" s="3"/>
      <c r="ET708" s="3"/>
      <c r="EU708" s="3"/>
      <c r="EV708" s="3"/>
      <c r="EW708" s="3"/>
      <c r="EX708" s="3"/>
      <c r="EY708" s="3"/>
      <c r="EZ708" s="3"/>
      <c r="FA708" s="3"/>
      <c r="FB708" s="3"/>
      <c r="FC708" s="3"/>
      <c r="FD708" s="3"/>
      <c r="FE708" s="3"/>
      <c r="FF708" s="3"/>
      <c r="FG708" s="3"/>
      <c r="FH708" s="3"/>
      <c r="FI708" s="3"/>
      <c r="FJ708" s="3"/>
      <c r="FK708" s="3"/>
      <c r="FL708" s="3"/>
      <c r="FM708" s="3"/>
      <c r="FN708" s="3"/>
      <c r="FO708" s="3"/>
      <c r="FP708" s="3"/>
      <c r="FQ708" s="3"/>
      <c r="FR708" s="3"/>
      <c r="FS708" s="3"/>
      <c r="FT708" s="3"/>
      <c r="FU708" s="3"/>
      <c r="FV708" s="3"/>
      <c r="FW708" s="3"/>
      <c r="FX708" s="3"/>
      <c r="FY708" s="3"/>
    </row>
    <row r="709" spans="7:181" ht="15" x14ac:dyDescent="0.25">
      <c r="G709" s="2"/>
      <c r="H709" s="2"/>
      <c r="I709" s="2"/>
      <c r="J709" s="2"/>
      <c r="K709" s="2"/>
      <c r="L709" s="3"/>
      <c r="M709" s="3"/>
      <c r="N709" s="3"/>
      <c r="O709" s="3"/>
      <c r="P709" s="3"/>
      <c r="Q709" s="3"/>
      <c r="R709" s="3"/>
      <c r="S709" s="3"/>
      <c r="T709" s="3"/>
      <c r="U709" s="4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4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4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4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  <c r="DN709" s="3"/>
      <c r="DO709" s="3"/>
      <c r="DP709" s="3"/>
      <c r="DQ709" s="3"/>
      <c r="DR709" s="3"/>
      <c r="DS709" s="3"/>
      <c r="DT709" s="3"/>
      <c r="DU709" s="3"/>
      <c r="DV709" s="3"/>
      <c r="DW709" s="3"/>
      <c r="DX709" s="3"/>
      <c r="DY709" s="3"/>
      <c r="DZ709" s="3"/>
      <c r="EA709" s="3"/>
      <c r="EB709" s="3"/>
      <c r="EC709" s="3"/>
      <c r="ED709" s="3"/>
      <c r="EE709" s="3"/>
      <c r="EF709" s="3"/>
      <c r="EG709" s="3"/>
      <c r="EH709" s="3"/>
      <c r="EI709" s="3"/>
      <c r="EJ709" s="3"/>
      <c r="EK709" s="3"/>
      <c r="EL709" s="3"/>
      <c r="EM709" s="3"/>
      <c r="EN709" s="3"/>
      <c r="EO709" s="3"/>
      <c r="EP709" s="3"/>
      <c r="EQ709" s="3"/>
      <c r="ER709" s="3"/>
      <c r="ES709" s="3"/>
      <c r="ET709" s="3"/>
      <c r="EU709" s="3"/>
      <c r="EV709" s="3"/>
      <c r="EW709" s="3"/>
      <c r="EX709" s="3"/>
      <c r="EY709" s="3"/>
      <c r="EZ709" s="3"/>
      <c r="FA709" s="3"/>
      <c r="FB709" s="3"/>
      <c r="FC709" s="3"/>
      <c r="FD709" s="3"/>
      <c r="FE709" s="3"/>
      <c r="FF709" s="3"/>
      <c r="FG709" s="3"/>
      <c r="FH709" s="3"/>
      <c r="FI709" s="3"/>
      <c r="FJ709" s="3"/>
      <c r="FK709" s="3"/>
      <c r="FL709" s="3"/>
      <c r="FM709" s="3"/>
      <c r="FN709" s="3"/>
      <c r="FO709" s="3"/>
      <c r="FP709" s="3"/>
      <c r="FQ709" s="3"/>
      <c r="FR709" s="3"/>
      <c r="FS709" s="3"/>
      <c r="FT709" s="3"/>
      <c r="FU709" s="3"/>
      <c r="FV709" s="3"/>
      <c r="FW709" s="3"/>
      <c r="FX709" s="3"/>
      <c r="FY709" s="3"/>
    </row>
    <row r="710" spans="7:181" ht="15" x14ac:dyDescent="0.25">
      <c r="G710" s="2"/>
      <c r="H710" s="2"/>
      <c r="I710" s="2"/>
      <c r="J710" s="2"/>
      <c r="K710" s="2"/>
      <c r="L710" s="3"/>
      <c r="M710" s="3"/>
      <c r="N710" s="3"/>
      <c r="O710" s="3"/>
      <c r="P710" s="3"/>
      <c r="Q710" s="3"/>
      <c r="R710" s="3"/>
      <c r="S710" s="3"/>
      <c r="T710" s="3"/>
      <c r="U710" s="4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4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4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4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  <c r="DP710" s="3"/>
      <c r="DQ710" s="3"/>
      <c r="DR710" s="3"/>
      <c r="DS710" s="3"/>
      <c r="DT710" s="3"/>
      <c r="DU710" s="3"/>
      <c r="DV710" s="3"/>
      <c r="DW710" s="3"/>
      <c r="DX710" s="3"/>
      <c r="DY710" s="3"/>
      <c r="DZ710" s="3"/>
      <c r="EA710" s="3"/>
      <c r="EB710" s="3"/>
      <c r="EC710" s="3"/>
      <c r="ED710" s="3"/>
      <c r="EE710" s="3"/>
      <c r="EF710" s="3"/>
      <c r="EG710" s="3"/>
      <c r="EH710" s="3"/>
      <c r="EI710" s="3"/>
      <c r="EJ710" s="3"/>
      <c r="EK710" s="3"/>
      <c r="EL710" s="3"/>
      <c r="EM710" s="3"/>
      <c r="EN710" s="3"/>
      <c r="EO710" s="3"/>
      <c r="EP710" s="3"/>
      <c r="EQ710" s="3"/>
      <c r="ER710" s="3"/>
      <c r="ES710" s="3"/>
      <c r="ET710" s="3"/>
      <c r="EU710" s="3"/>
      <c r="EV710" s="3"/>
      <c r="EW710" s="3"/>
      <c r="EX710" s="3"/>
      <c r="EY710" s="3"/>
      <c r="EZ710" s="3"/>
      <c r="FA710" s="3"/>
      <c r="FB710" s="3"/>
      <c r="FC710" s="3"/>
      <c r="FD710" s="3"/>
      <c r="FE710" s="3"/>
      <c r="FF710" s="3"/>
      <c r="FG710" s="3"/>
      <c r="FH710" s="3"/>
      <c r="FI710" s="3"/>
      <c r="FJ710" s="3"/>
      <c r="FK710" s="3"/>
      <c r="FL710" s="3"/>
      <c r="FM710" s="3"/>
      <c r="FN710" s="3"/>
      <c r="FO710" s="3"/>
      <c r="FP710" s="3"/>
      <c r="FQ710" s="3"/>
      <c r="FR710" s="3"/>
      <c r="FS710" s="3"/>
      <c r="FT710" s="3"/>
      <c r="FU710" s="3"/>
      <c r="FV710" s="3"/>
      <c r="FW710" s="3"/>
      <c r="FX710" s="3"/>
      <c r="FY710" s="3"/>
    </row>
    <row r="711" spans="7:181" ht="15" x14ac:dyDescent="0.25">
      <c r="G711" s="2"/>
      <c r="H711" s="2"/>
      <c r="I711" s="2"/>
      <c r="J711" s="2"/>
      <c r="K711" s="2"/>
      <c r="L711" s="3"/>
      <c r="M711" s="3"/>
      <c r="N711" s="3"/>
      <c r="O711" s="3"/>
      <c r="P711" s="3"/>
      <c r="Q711" s="3"/>
      <c r="R711" s="3"/>
      <c r="S711" s="3"/>
      <c r="T711" s="3"/>
      <c r="U711" s="4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4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4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4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  <c r="DP711" s="3"/>
      <c r="DQ711" s="3"/>
      <c r="DR711" s="3"/>
      <c r="DS711" s="3"/>
      <c r="DT711" s="3"/>
      <c r="DU711" s="3"/>
      <c r="DV711" s="3"/>
      <c r="DW711" s="3"/>
      <c r="DX711" s="3"/>
      <c r="DY711" s="3"/>
      <c r="DZ711" s="3"/>
      <c r="EA711" s="3"/>
      <c r="EB711" s="3"/>
      <c r="EC711" s="3"/>
      <c r="ED711" s="3"/>
      <c r="EE711" s="3"/>
      <c r="EF711" s="3"/>
      <c r="EG711" s="3"/>
      <c r="EH711" s="3"/>
      <c r="EI711" s="3"/>
      <c r="EJ711" s="3"/>
      <c r="EK711" s="3"/>
      <c r="EL711" s="3"/>
      <c r="EM711" s="3"/>
      <c r="EN711" s="3"/>
      <c r="EO711" s="3"/>
      <c r="EP711" s="3"/>
      <c r="EQ711" s="3"/>
      <c r="ER711" s="3"/>
      <c r="ES711" s="3"/>
      <c r="ET711" s="3"/>
      <c r="EU711" s="3"/>
      <c r="EV711" s="3"/>
      <c r="EW711" s="3"/>
      <c r="EX711" s="3"/>
      <c r="EY711" s="3"/>
      <c r="EZ711" s="3"/>
      <c r="FA711" s="3"/>
      <c r="FB711" s="3"/>
      <c r="FC711" s="3"/>
      <c r="FD711" s="3"/>
      <c r="FE711" s="3"/>
      <c r="FF711" s="3"/>
      <c r="FG711" s="3"/>
      <c r="FH711" s="3"/>
      <c r="FI711" s="3"/>
      <c r="FJ711" s="3"/>
      <c r="FK711" s="3"/>
      <c r="FL711" s="3"/>
      <c r="FM711" s="3"/>
      <c r="FN711" s="3"/>
      <c r="FO711" s="3"/>
      <c r="FP711" s="3"/>
      <c r="FQ711" s="3"/>
      <c r="FR711" s="3"/>
      <c r="FS711" s="3"/>
      <c r="FT711" s="3"/>
      <c r="FU711" s="3"/>
      <c r="FV711" s="3"/>
      <c r="FW711" s="3"/>
      <c r="FX711" s="3"/>
      <c r="FY711" s="3"/>
    </row>
    <row r="712" spans="7:181" ht="15" x14ac:dyDescent="0.25">
      <c r="G712" s="2"/>
      <c r="H712" s="2"/>
      <c r="I712" s="2"/>
      <c r="J712" s="2"/>
      <c r="K712" s="2"/>
      <c r="L712" s="3"/>
      <c r="M712" s="3"/>
      <c r="N712" s="3"/>
      <c r="O712" s="3"/>
      <c r="P712" s="3"/>
      <c r="Q712" s="3"/>
      <c r="R712" s="3"/>
      <c r="S712" s="3"/>
      <c r="T712" s="3"/>
      <c r="U712" s="4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4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4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4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  <c r="DP712" s="3"/>
      <c r="DQ712" s="3"/>
      <c r="DR712" s="3"/>
      <c r="DS712" s="3"/>
      <c r="DT712" s="3"/>
      <c r="DU712" s="3"/>
      <c r="DV712" s="3"/>
      <c r="DW712" s="3"/>
      <c r="DX712" s="3"/>
      <c r="DY712" s="3"/>
      <c r="DZ712" s="3"/>
      <c r="EA712" s="3"/>
      <c r="EB712" s="3"/>
      <c r="EC712" s="3"/>
      <c r="ED712" s="3"/>
      <c r="EE712" s="3"/>
      <c r="EF712" s="3"/>
      <c r="EG712" s="3"/>
      <c r="EH712" s="3"/>
      <c r="EI712" s="3"/>
      <c r="EJ712" s="3"/>
      <c r="EK712" s="3"/>
      <c r="EL712" s="3"/>
      <c r="EM712" s="3"/>
      <c r="EN712" s="3"/>
      <c r="EO712" s="3"/>
      <c r="EP712" s="3"/>
      <c r="EQ712" s="3"/>
      <c r="ER712" s="3"/>
      <c r="ES712" s="3"/>
      <c r="ET712" s="3"/>
      <c r="EU712" s="3"/>
      <c r="EV712" s="3"/>
      <c r="EW712" s="3"/>
      <c r="EX712" s="3"/>
      <c r="EY712" s="3"/>
      <c r="EZ712" s="3"/>
      <c r="FA712" s="3"/>
      <c r="FB712" s="3"/>
      <c r="FC712" s="3"/>
      <c r="FD712" s="3"/>
      <c r="FE712" s="3"/>
      <c r="FF712" s="3"/>
      <c r="FG712" s="3"/>
      <c r="FH712" s="3"/>
      <c r="FI712" s="3"/>
      <c r="FJ712" s="3"/>
      <c r="FK712" s="3"/>
      <c r="FL712" s="3"/>
      <c r="FM712" s="3"/>
      <c r="FN712" s="3"/>
      <c r="FO712" s="3"/>
      <c r="FP712" s="3"/>
      <c r="FQ712" s="3"/>
      <c r="FR712" s="3"/>
      <c r="FS712" s="3"/>
      <c r="FT712" s="3"/>
      <c r="FU712" s="3"/>
      <c r="FV712" s="3"/>
      <c r="FW712" s="3"/>
      <c r="FX712" s="3"/>
      <c r="FY712" s="3"/>
    </row>
    <row r="713" spans="7:181" ht="15" x14ac:dyDescent="0.25">
      <c r="G713" s="2"/>
      <c r="H713" s="2"/>
      <c r="I713" s="2"/>
      <c r="J713" s="2"/>
      <c r="K713" s="2"/>
      <c r="L713" s="3"/>
      <c r="M713" s="3"/>
      <c r="N713" s="3"/>
      <c r="O713" s="3"/>
      <c r="P713" s="3"/>
      <c r="Q713" s="3"/>
      <c r="R713" s="3"/>
      <c r="S713" s="3"/>
      <c r="T713" s="3"/>
      <c r="U713" s="4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4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4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4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  <c r="DP713" s="3"/>
      <c r="DQ713" s="3"/>
      <c r="DR713" s="3"/>
      <c r="DS713" s="3"/>
      <c r="DT713" s="3"/>
      <c r="DU713" s="3"/>
      <c r="DV713" s="3"/>
      <c r="DW713" s="3"/>
      <c r="DX713" s="3"/>
      <c r="DY713" s="3"/>
      <c r="DZ713" s="3"/>
      <c r="EA713" s="3"/>
      <c r="EB713" s="3"/>
      <c r="EC713" s="3"/>
      <c r="ED713" s="3"/>
      <c r="EE713" s="3"/>
      <c r="EF713" s="3"/>
      <c r="EG713" s="3"/>
      <c r="EH713" s="3"/>
      <c r="EI713" s="3"/>
      <c r="EJ713" s="3"/>
      <c r="EK713" s="3"/>
      <c r="EL713" s="3"/>
      <c r="EM713" s="3"/>
      <c r="EN713" s="3"/>
      <c r="EO713" s="3"/>
      <c r="EP713" s="3"/>
      <c r="EQ713" s="3"/>
      <c r="ER713" s="3"/>
      <c r="ES713" s="3"/>
      <c r="ET713" s="3"/>
      <c r="EU713" s="3"/>
      <c r="EV713" s="3"/>
      <c r="EW713" s="3"/>
      <c r="EX713" s="3"/>
      <c r="EY713" s="3"/>
      <c r="EZ713" s="3"/>
      <c r="FA713" s="3"/>
      <c r="FB713" s="3"/>
      <c r="FC713" s="3"/>
      <c r="FD713" s="3"/>
      <c r="FE713" s="3"/>
      <c r="FF713" s="3"/>
      <c r="FG713" s="3"/>
      <c r="FH713" s="3"/>
      <c r="FI713" s="3"/>
      <c r="FJ713" s="3"/>
      <c r="FK713" s="3"/>
      <c r="FL713" s="3"/>
      <c r="FM713" s="3"/>
      <c r="FN713" s="3"/>
      <c r="FO713" s="3"/>
      <c r="FP713" s="3"/>
      <c r="FQ713" s="3"/>
      <c r="FR713" s="3"/>
      <c r="FS713" s="3"/>
      <c r="FT713" s="3"/>
      <c r="FU713" s="3"/>
      <c r="FV713" s="3"/>
      <c r="FW713" s="3"/>
      <c r="FX713" s="3"/>
      <c r="FY713" s="3"/>
    </row>
    <row r="714" spans="7:181" ht="15" x14ac:dyDescent="0.25">
      <c r="G714" s="2"/>
      <c r="H714" s="2"/>
      <c r="I714" s="2"/>
      <c r="J714" s="2"/>
      <c r="K714" s="2"/>
      <c r="L714" s="3"/>
      <c r="M714" s="3"/>
      <c r="N714" s="3"/>
      <c r="O714" s="3"/>
      <c r="P714" s="3"/>
      <c r="Q714" s="3"/>
      <c r="R714" s="3"/>
      <c r="S714" s="3"/>
      <c r="T714" s="3"/>
      <c r="U714" s="4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4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4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4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  <c r="DN714" s="3"/>
      <c r="DO714" s="3"/>
      <c r="DP714" s="3"/>
      <c r="DQ714" s="3"/>
      <c r="DR714" s="3"/>
      <c r="DS714" s="3"/>
      <c r="DT714" s="3"/>
      <c r="DU714" s="3"/>
      <c r="DV714" s="3"/>
      <c r="DW714" s="3"/>
      <c r="DX714" s="3"/>
      <c r="DY714" s="3"/>
      <c r="DZ714" s="3"/>
      <c r="EA714" s="3"/>
      <c r="EB714" s="3"/>
      <c r="EC714" s="3"/>
      <c r="ED714" s="3"/>
      <c r="EE714" s="3"/>
      <c r="EF714" s="3"/>
      <c r="EG714" s="3"/>
      <c r="EH714" s="3"/>
      <c r="EI714" s="3"/>
      <c r="EJ714" s="3"/>
      <c r="EK714" s="3"/>
      <c r="EL714" s="3"/>
      <c r="EM714" s="3"/>
      <c r="EN714" s="3"/>
      <c r="EO714" s="3"/>
      <c r="EP714" s="3"/>
      <c r="EQ714" s="3"/>
      <c r="ER714" s="3"/>
      <c r="ES714" s="3"/>
      <c r="ET714" s="3"/>
      <c r="EU714" s="3"/>
      <c r="EV714" s="3"/>
      <c r="EW714" s="3"/>
      <c r="EX714" s="3"/>
      <c r="EY714" s="3"/>
      <c r="EZ714" s="3"/>
      <c r="FA714" s="3"/>
      <c r="FB714" s="3"/>
      <c r="FC714" s="3"/>
      <c r="FD714" s="3"/>
      <c r="FE714" s="3"/>
      <c r="FF714" s="3"/>
      <c r="FG714" s="3"/>
      <c r="FH714" s="3"/>
      <c r="FI714" s="3"/>
      <c r="FJ714" s="3"/>
      <c r="FK714" s="3"/>
      <c r="FL714" s="3"/>
      <c r="FM714" s="3"/>
      <c r="FN714" s="3"/>
      <c r="FO714" s="3"/>
      <c r="FP714" s="3"/>
      <c r="FQ714" s="3"/>
      <c r="FR714" s="3"/>
      <c r="FS714" s="3"/>
      <c r="FT714" s="3"/>
      <c r="FU714" s="3"/>
      <c r="FV714" s="3"/>
      <c r="FW714" s="3"/>
      <c r="FX714" s="3"/>
      <c r="FY714" s="3"/>
    </row>
    <row r="715" spans="7:181" ht="15" x14ac:dyDescent="0.25">
      <c r="G715" s="2"/>
      <c r="H715" s="2"/>
      <c r="I715" s="2"/>
      <c r="J715" s="2"/>
      <c r="K715" s="2"/>
      <c r="L715" s="3"/>
      <c r="M715" s="3"/>
      <c r="N715" s="3"/>
      <c r="O715" s="3"/>
      <c r="P715" s="3"/>
      <c r="Q715" s="3"/>
      <c r="R715" s="3"/>
      <c r="S715" s="3"/>
      <c r="T715" s="3"/>
      <c r="U715" s="4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4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4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4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  <c r="DN715" s="3"/>
      <c r="DO715" s="3"/>
      <c r="DP715" s="3"/>
      <c r="DQ715" s="3"/>
      <c r="DR715" s="3"/>
      <c r="DS715" s="3"/>
      <c r="DT715" s="3"/>
      <c r="DU715" s="3"/>
      <c r="DV715" s="3"/>
      <c r="DW715" s="3"/>
      <c r="DX715" s="3"/>
      <c r="DY715" s="3"/>
      <c r="DZ715" s="3"/>
      <c r="EA715" s="3"/>
      <c r="EB715" s="3"/>
      <c r="EC715" s="3"/>
      <c r="ED715" s="3"/>
      <c r="EE715" s="3"/>
      <c r="EF715" s="3"/>
      <c r="EG715" s="3"/>
      <c r="EH715" s="3"/>
      <c r="EI715" s="3"/>
      <c r="EJ715" s="3"/>
      <c r="EK715" s="3"/>
      <c r="EL715" s="3"/>
      <c r="EM715" s="3"/>
      <c r="EN715" s="3"/>
      <c r="EO715" s="3"/>
      <c r="EP715" s="3"/>
      <c r="EQ715" s="3"/>
      <c r="ER715" s="3"/>
      <c r="ES715" s="3"/>
      <c r="ET715" s="3"/>
      <c r="EU715" s="3"/>
      <c r="EV715" s="3"/>
      <c r="EW715" s="3"/>
      <c r="EX715" s="3"/>
      <c r="EY715" s="3"/>
      <c r="EZ715" s="3"/>
      <c r="FA715" s="3"/>
      <c r="FB715" s="3"/>
      <c r="FC715" s="3"/>
      <c r="FD715" s="3"/>
      <c r="FE715" s="3"/>
      <c r="FF715" s="3"/>
      <c r="FG715" s="3"/>
      <c r="FH715" s="3"/>
      <c r="FI715" s="3"/>
      <c r="FJ715" s="3"/>
      <c r="FK715" s="3"/>
      <c r="FL715" s="3"/>
      <c r="FM715" s="3"/>
      <c r="FN715" s="3"/>
      <c r="FO715" s="3"/>
      <c r="FP715" s="3"/>
      <c r="FQ715" s="3"/>
      <c r="FR715" s="3"/>
      <c r="FS715" s="3"/>
      <c r="FT715" s="3"/>
      <c r="FU715" s="3"/>
      <c r="FV715" s="3"/>
      <c r="FW715" s="3"/>
      <c r="FX715" s="3"/>
      <c r="FY715" s="3"/>
    </row>
    <row r="716" spans="7:181" ht="15" x14ac:dyDescent="0.25">
      <c r="G716" s="2"/>
      <c r="H716" s="2"/>
      <c r="I716" s="2"/>
      <c r="J716" s="2"/>
      <c r="K716" s="2"/>
      <c r="L716" s="3"/>
      <c r="M716" s="3"/>
      <c r="N716" s="3"/>
      <c r="O716" s="3"/>
      <c r="P716" s="3"/>
      <c r="Q716" s="3"/>
      <c r="R716" s="3"/>
      <c r="S716" s="3"/>
      <c r="T716" s="3"/>
      <c r="U716" s="4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4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4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4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  <c r="DN716" s="3"/>
      <c r="DO716" s="3"/>
      <c r="DP716" s="3"/>
      <c r="DQ716" s="3"/>
      <c r="DR716" s="3"/>
      <c r="DS716" s="3"/>
      <c r="DT716" s="3"/>
      <c r="DU716" s="3"/>
      <c r="DV716" s="3"/>
      <c r="DW716" s="3"/>
      <c r="DX716" s="3"/>
      <c r="DY716" s="3"/>
      <c r="DZ716" s="3"/>
      <c r="EA716" s="3"/>
      <c r="EB716" s="3"/>
      <c r="EC716" s="3"/>
      <c r="ED716" s="3"/>
      <c r="EE716" s="3"/>
      <c r="EF716" s="3"/>
      <c r="EG716" s="3"/>
      <c r="EH716" s="3"/>
      <c r="EI716" s="3"/>
      <c r="EJ716" s="3"/>
      <c r="EK716" s="3"/>
      <c r="EL716" s="3"/>
      <c r="EM716" s="3"/>
      <c r="EN716" s="3"/>
      <c r="EO716" s="3"/>
      <c r="EP716" s="3"/>
      <c r="EQ716" s="3"/>
      <c r="ER716" s="3"/>
      <c r="ES716" s="3"/>
      <c r="ET716" s="3"/>
      <c r="EU716" s="3"/>
      <c r="EV716" s="3"/>
      <c r="EW716" s="3"/>
      <c r="EX716" s="3"/>
      <c r="EY716" s="3"/>
      <c r="EZ716" s="3"/>
      <c r="FA716" s="3"/>
      <c r="FB716" s="3"/>
      <c r="FC716" s="3"/>
      <c r="FD716" s="3"/>
      <c r="FE716" s="3"/>
      <c r="FF716" s="3"/>
      <c r="FG716" s="3"/>
      <c r="FH716" s="3"/>
      <c r="FI716" s="3"/>
      <c r="FJ716" s="3"/>
      <c r="FK716" s="3"/>
      <c r="FL716" s="3"/>
      <c r="FM716" s="3"/>
      <c r="FN716" s="3"/>
      <c r="FO716" s="3"/>
      <c r="FP716" s="3"/>
      <c r="FQ716" s="3"/>
      <c r="FR716" s="3"/>
      <c r="FS716" s="3"/>
      <c r="FT716" s="3"/>
      <c r="FU716" s="3"/>
      <c r="FV716" s="3"/>
      <c r="FW716" s="3"/>
      <c r="FX716" s="3"/>
      <c r="FY716" s="3"/>
    </row>
    <row r="717" spans="7:181" ht="15" x14ac:dyDescent="0.25">
      <c r="G717" s="2"/>
      <c r="H717" s="2"/>
      <c r="I717" s="2"/>
      <c r="J717" s="2"/>
      <c r="K717" s="2"/>
      <c r="L717" s="3"/>
      <c r="M717" s="3"/>
      <c r="N717" s="3"/>
      <c r="O717" s="3"/>
      <c r="P717" s="3"/>
      <c r="Q717" s="3"/>
      <c r="R717" s="3"/>
      <c r="S717" s="3"/>
      <c r="T717" s="3"/>
      <c r="U717" s="4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4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4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4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  <c r="DN717" s="3"/>
      <c r="DO717" s="3"/>
      <c r="DP717" s="3"/>
      <c r="DQ717" s="3"/>
      <c r="DR717" s="3"/>
      <c r="DS717" s="3"/>
      <c r="DT717" s="3"/>
      <c r="DU717" s="3"/>
      <c r="DV717" s="3"/>
      <c r="DW717" s="3"/>
      <c r="DX717" s="3"/>
      <c r="DY717" s="3"/>
      <c r="DZ717" s="3"/>
      <c r="EA717" s="3"/>
      <c r="EB717" s="3"/>
      <c r="EC717" s="3"/>
      <c r="ED717" s="3"/>
      <c r="EE717" s="3"/>
      <c r="EF717" s="3"/>
      <c r="EG717" s="3"/>
      <c r="EH717" s="3"/>
      <c r="EI717" s="3"/>
      <c r="EJ717" s="3"/>
      <c r="EK717" s="3"/>
      <c r="EL717" s="3"/>
      <c r="EM717" s="3"/>
      <c r="EN717" s="3"/>
      <c r="EO717" s="3"/>
      <c r="EP717" s="3"/>
      <c r="EQ717" s="3"/>
      <c r="ER717" s="3"/>
      <c r="ES717" s="3"/>
      <c r="ET717" s="3"/>
      <c r="EU717" s="3"/>
      <c r="EV717" s="3"/>
      <c r="EW717" s="3"/>
      <c r="EX717" s="3"/>
      <c r="EY717" s="3"/>
      <c r="EZ717" s="3"/>
      <c r="FA717" s="3"/>
      <c r="FB717" s="3"/>
      <c r="FC717" s="3"/>
      <c r="FD717" s="3"/>
      <c r="FE717" s="3"/>
      <c r="FF717" s="3"/>
      <c r="FG717" s="3"/>
      <c r="FH717" s="3"/>
      <c r="FI717" s="3"/>
      <c r="FJ717" s="3"/>
      <c r="FK717" s="3"/>
      <c r="FL717" s="3"/>
      <c r="FM717" s="3"/>
      <c r="FN717" s="3"/>
      <c r="FO717" s="3"/>
      <c r="FP717" s="3"/>
      <c r="FQ717" s="3"/>
      <c r="FR717" s="3"/>
      <c r="FS717" s="3"/>
      <c r="FT717" s="3"/>
      <c r="FU717" s="3"/>
      <c r="FV717" s="3"/>
      <c r="FW717" s="3"/>
      <c r="FX717" s="3"/>
      <c r="FY717" s="3"/>
    </row>
    <row r="718" spans="7:181" ht="15" x14ac:dyDescent="0.25">
      <c r="G718" s="2"/>
      <c r="H718" s="2"/>
      <c r="I718" s="2"/>
      <c r="J718" s="2"/>
      <c r="K718" s="2"/>
      <c r="L718" s="3"/>
      <c r="M718" s="3"/>
      <c r="N718" s="3"/>
      <c r="O718" s="3"/>
      <c r="P718" s="3"/>
      <c r="Q718" s="3"/>
      <c r="R718" s="3"/>
      <c r="S718" s="3"/>
      <c r="T718" s="3"/>
      <c r="U718" s="4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4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4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4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  <c r="DN718" s="3"/>
      <c r="DO718" s="3"/>
      <c r="DP718" s="3"/>
      <c r="DQ718" s="3"/>
      <c r="DR718" s="3"/>
      <c r="DS718" s="3"/>
      <c r="DT718" s="3"/>
      <c r="DU718" s="3"/>
      <c r="DV718" s="3"/>
      <c r="DW718" s="3"/>
      <c r="DX718" s="3"/>
      <c r="DY718" s="3"/>
      <c r="DZ718" s="3"/>
      <c r="EA718" s="3"/>
      <c r="EB718" s="3"/>
      <c r="EC718" s="3"/>
      <c r="ED718" s="3"/>
      <c r="EE718" s="3"/>
      <c r="EF718" s="3"/>
      <c r="EG718" s="3"/>
      <c r="EH718" s="3"/>
      <c r="EI718" s="3"/>
      <c r="EJ718" s="3"/>
      <c r="EK718" s="3"/>
      <c r="EL718" s="3"/>
      <c r="EM718" s="3"/>
      <c r="EN718" s="3"/>
      <c r="EO718" s="3"/>
      <c r="EP718" s="3"/>
      <c r="EQ718" s="3"/>
      <c r="ER718" s="3"/>
      <c r="ES718" s="3"/>
      <c r="ET718" s="3"/>
      <c r="EU718" s="3"/>
      <c r="EV718" s="3"/>
      <c r="EW718" s="3"/>
      <c r="EX718" s="3"/>
      <c r="EY718" s="3"/>
      <c r="EZ718" s="3"/>
      <c r="FA718" s="3"/>
      <c r="FB718" s="3"/>
      <c r="FC718" s="3"/>
      <c r="FD718" s="3"/>
      <c r="FE718" s="3"/>
      <c r="FF718" s="3"/>
      <c r="FG718" s="3"/>
      <c r="FH718" s="3"/>
      <c r="FI718" s="3"/>
      <c r="FJ718" s="3"/>
      <c r="FK718" s="3"/>
      <c r="FL718" s="3"/>
      <c r="FM718" s="3"/>
      <c r="FN718" s="3"/>
      <c r="FO718" s="3"/>
      <c r="FP718" s="3"/>
      <c r="FQ718" s="3"/>
      <c r="FR718" s="3"/>
      <c r="FS718" s="3"/>
      <c r="FT718" s="3"/>
      <c r="FU718" s="3"/>
      <c r="FV718" s="3"/>
      <c r="FW718" s="3"/>
      <c r="FX718" s="3"/>
      <c r="FY718" s="3"/>
    </row>
    <row r="719" spans="7:181" ht="15" x14ac:dyDescent="0.25">
      <c r="G719" s="2"/>
      <c r="H719" s="2"/>
      <c r="I719" s="2"/>
      <c r="J719" s="2"/>
      <c r="K719" s="2"/>
      <c r="L719" s="3"/>
      <c r="M719" s="3"/>
      <c r="N719" s="3"/>
      <c r="O719" s="3"/>
      <c r="P719" s="3"/>
      <c r="Q719" s="3"/>
      <c r="R719" s="3"/>
      <c r="S719" s="3"/>
      <c r="T719" s="3"/>
      <c r="U719" s="4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4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4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4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  <c r="DN719" s="3"/>
      <c r="DO719" s="3"/>
      <c r="DP719" s="3"/>
      <c r="DQ719" s="3"/>
      <c r="DR719" s="3"/>
      <c r="DS719" s="3"/>
      <c r="DT719" s="3"/>
      <c r="DU719" s="3"/>
      <c r="DV719" s="3"/>
      <c r="DW719" s="3"/>
      <c r="DX719" s="3"/>
      <c r="DY719" s="3"/>
      <c r="DZ719" s="3"/>
      <c r="EA719" s="3"/>
      <c r="EB719" s="3"/>
      <c r="EC719" s="3"/>
      <c r="ED719" s="3"/>
      <c r="EE719" s="3"/>
      <c r="EF719" s="3"/>
      <c r="EG719" s="3"/>
      <c r="EH719" s="3"/>
      <c r="EI719" s="3"/>
      <c r="EJ719" s="3"/>
      <c r="EK719" s="3"/>
      <c r="EL719" s="3"/>
      <c r="EM719" s="3"/>
      <c r="EN719" s="3"/>
      <c r="EO719" s="3"/>
      <c r="EP719" s="3"/>
      <c r="EQ719" s="3"/>
      <c r="ER719" s="3"/>
      <c r="ES719" s="3"/>
      <c r="ET719" s="3"/>
      <c r="EU719" s="3"/>
      <c r="EV719" s="3"/>
      <c r="EW719" s="3"/>
      <c r="EX719" s="3"/>
      <c r="EY719" s="3"/>
      <c r="EZ719" s="3"/>
      <c r="FA719" s="3"/>
      <c r="FB719" s="3"/>
      <c r="FC719" s="3"/>
      <c r="FD719" s="3"/>
      <c r="FE719" s="3"/>
      <c r="FF719" s="3"/>
      <c r="FG719" s="3"/>
      <c r="FH719" s="3"/>
      <c r="FI719" s="3"/>
      <c r="FJ719" s="3"/>
      <c r="FK719" s="3"/>
      <c r="FL719" s="3"/>
      <c r="FM719" s="3"/>
      <c r="FN719" s="3"/>
      <c r="FO719" s="3"/>
      <c r="FP719" s="3"/>
      <c r="FQ719" s="3"/>
      <c r="FR719" s="3"/>
      <c r="FS719" s="3"/>
      <c r="FT719" s="3"/>
      <c r="FU719" s="3"/>
      <c r="FV719" s="3"/>
      <c r="FW719" s="3"/>
      <c r="FX719" s="3"/>
      <c r="FY719" s="3"/>
    </row>
    <row r="720" spans="7:181" ht="15" x14ac:dyDescent="0.25">
      <c r="G720" s="2"/>
      <c r="H720" s="2"/>
      <c r="I720" s="2"/>
      <c r="J720" s="2"/>
      <c r="K720" s="2"/>
      <c r="L720" s="3"/>
      <c r="M720" s="3"/>
      <c r="N720" s="3"/>
      <c r="O720" s="3"/>
      <c r="P720" s="3"/>
      <c r="Q720" s="3"/>
      <c r="R720" s="3"/>
      <c r="S720" s="3"/>
      <c r="T720" s="3"/>
      <c r="U720" s="4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4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4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4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  <c r="DN720" s="3"/>
      <c r="DO720" s="3"/>
      <c r="DP720" s="3"/>
      <c r="DQ720" s="3"/>
      <c r="DR720" s="3"/>
      <c r="DS720" s="3"/>
      <c r="DT720" s="3"/>
      <c r="DU720" s="3"/>
      <c r="DV720" s="3"/>
      <c r="DW720" s="3"/>
      <c r="DX720" s="3"/>
      <c r="DY720" s="3"/>
      <c r="DZ720" s="3"/>
      <c r="EA720" s="3"/>
      <c r="EB720" s="3"/>
      <c r="EC720" s="3"/>
      <c r="ED720" s="3"/>
      <c r="EE720" s="3"/>
      <c r="EF720" s="3"/>
      <c r="EG720" s="3"/>
      <c r="EH720" s="3"/>
      <c r="EI720" s="3"/>
      <c r="EJ720" s="3"/>
      <c r="EK720" s="3"/>
      <c r="EL720" s="3"/>
      <c r="EM720" s="3"/>
      <c r="EN720" s="3"/>
      <c r="EO720" s="3"/>
      <c r="EP720" s="3"/>
      <c r="EQ720" s="3"/>
      <c r="ER720" s="3"/>
      <c r="ES720" s="3"/>
      <c r="ET720" s="3"/>
      <c r="EU720" s="3"/>
      <c r="EV720" s="3"/>
      <c r="EW720" s="3"/>
      <c r="EX720" s="3"/>
      <c r="EY720" s="3"/>
      <c r="EZ720" s="3"/>
      <c r="FA720" s="3"/>
      <c r="FB720" s="3"/>
      <c r="FC720" s="3"/>
      <c r="FD720" s="3"/>
      <c r="FE720" s="3"/>
      <c r="FF720" s="3"/>
      <c r="FG720" s="3"/>
      <c r="FH720" s="3"/>
      <c r="FI720" s="3"/>
      <c r="FJ720" s="3"/>
      <c r="FK720" s="3"/>
      <c r="FL720" s="3"/>
      <c r="FM720" s="3"/>
      <c r="FN720" s="3"/>
      <c r="FO720" s="3"/>
      <c r="FP720" s="3"/>
      <c r="FQ720" s="3"/>
      <c r="FR720" s="3"/>
      <c r="FS720" s="3"/>
      <c r="FT720" s="3"/>
      <c r="FU720" s="3"/>
      <c r="FV720" s="3"/>
      <c r="FW720" s="3"/>
      <c r="FX720" s="3"/>
      <c r="FY720" s="3"/>
    </row>
    <row r="721" spans="7:181" ht="15" x14ac:dyDescent="0.25">
      <c r="G721" s="2"/>
      <c r="H721" s="2"/>
      <c r="I721" s="2"/>
      <c r="J721" s="2"/>
      <c r="K721" s="2"/>
      <c r="L721" s="3"/>
      <c r="M721" s="3"/>
      <c r="N721" s="3"/>
      <c r="O721" s="3"/>
      <c r="P721" s="3"/>
      <c r="Q721" s="3"/>
      <c r="R721" s="3"/>
      <c r="S721" s="3"/>
      <c r="T721" s="3"/>
      <c r="U721" s="4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4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4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4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  <c r="DN721" s="3"/>
      <c r="DO721" s="3"/>
      <c r="DP721" s="3"/>
      <c r="DQ721" s="3"/>
      <c r="DR721" s="3"/>
      <c r="DS721" s="3"/>
      <c r="DT721" s="3"/>
      <c r="DU721" s="3"/>
      <c r="DV721" s="3"/>
      <c r="DW721" s="3"/>
      <c r="DX721" s="3"/>
      <c r="DY721" s="3"/>
      <c r="DZ721" s="3"/>
      <c r="EA721" s="3"/>
      <c r="EB721" s="3"/>
      <c r="EC721" s="3"/>
      <c r="ED721" s="3"/>
      <c r="EE721" s="3"/>
      <c r="EF721" s="3"/>
      <c r="EG721" s="3"/>
      <c r="EH721" s="3"/>
      <c r="EI721" s="3"/>
      <c r="EJ721" s="3"/>
      <c r="EK721" s="3"/>
      <c r="EL721" s="3"/>
      <c r="EM721" s="3"/>
      <c r="EN721" s="3"/>
      <c r="EO721" s="3"/>
      <c r="EP721" s="3"/>
      <c r="EQ721" s="3"/>
      <c r="ER721" s="3"/>
      <c r="ES721" s="3"/>
      <c r="ET721" s="3"/>
      <c r="EU721" s="3"/>
      <c r="EV721" s="3"/>
      <c r="EW721" s="3"/>
      <c r="EX721" s="3"/>
      <c r="EY721" s="3"/>
      <c r="EZ721" s="3"/>
      <c r="FA721" s="3"/>
      <c r="FB721" s="3"/>
      <c r="FC721" s="3"/>
      <c r="FD721" s="3"/>
      <c r="FE721" s="3"/>
      <c r="FF721" s="3"/>
      <c r="FG721" s="3"/>
      <c r="FH721" s="3"/>
      <c r="FI721" s="3"/>
      <c r="FJ721" s="3"/>
      <c r="FK721" s="3"/>
      <c r="FL721" s="3"/>
      <c r="FM721" s="3"/>
      <c r="FN721" s="3"/>
      <c r="FO721" s="3"/>
      <c r="FP721" s="3"/>
      <c r="FQ721" s="3"/>
      <c r="FR721" s="3"/>
      <c r="FS721" s="3"/>
      <c r="FT721" s="3"/>
      <c r="FU721" s="3"/>
      <c r="FV721" s="3"/>
      <c r="FW721" s="3"/>
      <c r="FX721" s="3"/>
      <c r="FY721" s="3"/>
    </row>
    <row r="722" spans="7:181" ht="15" x14ac:dyDescent="0.25">
      <c r="G722" s="2"/>
      <c r="H722" s="2"/>
      <c r="I722" s="2"/>
      <c r="J722" s="2"/>
      <c r="K722" s="2"/>
      <c r="L722" s="3"/>
      <c r="M722" s="3"/>
      <c r="N722" s="3"/>
      <c r="O722" s="3"/>
      <c r="P722" s="3"/>
      <c r="Q722" s="3"/>
      <c r="R722" s="3"/>
      <c r="S722" s="3"/>
      <c r="T722" s="3"/>
      <c r="U722" s="4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4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4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4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/>
      <c r="DS722" s="3"/>
      <c r="DT722" s="3"/>
      <c r="DU722" s="3"/>
      <c r="DV722" s="3"/>
      <c r="DW722" s="3"/>
      <c r="DX722" s="3"/>
      <c r="DY722" s="3"/>
      <c r="DZ722" s="3"/>
      <c r="EA722" s="3"/>
      <c r="EB722" s="3"/>
      <c r="EC722" s="3"/>
      <c r="ED722" s="3"/>
      <c r="EE722" s="3"/>
      <c r="EF722" s="3"/>
      <c r="EG722" s="3"/>
      <c r="EH722" s="3"/>
      <c r="EI722" s="3"/>
      <c r="EJ722" s="3"/>
      <c r="EK722" s="3"/>
      <c r="EL722" s="3"/>
      <c r="EM722" s="3"/>
      <c r="EN722" s="3"/>
      <c r="EO722" s="3"/>
      <c r="EP722" s="3"/>
      <c r="EQ722" s="3"/>
      <c r="ER722" s="3"/>
      <c r="ES722" s="3"/>
      <c r="ET722" s="3"/>
      <c r="EU722" s="3"/>
      <c r="EV722" s="3"/>
      <c r="EW722" s="3"/>
      <c r="EX722" s="3"/>
      <c r="EY722" s="3"/>
      <c r="EZ722" s="3"/>
      <c r="FA722" s="3"/>
      <c r="FB722" s="3"/>
      <c r="FC722" s="3"/>
      <c r="FD722" s="3"/>
      <c r="FE722" s="3"/>
      <c r="FF722" s="3"/>
      <c r="FG722" s="3"/>
      <c r="FH722" s="3"/>
      <c r="FI722" s="3"/>
      <c r="FJ722" s="3"/>
      <c r="FK722" s="3"/>
      <c r="FL722" s="3"/>
      <c r="FM722" s="3"/>
      <c r="FN722" s="3"/>
      <c r="FO722" s="3"/>
      <c r="FP722" s="3"/>
      <c r="FQ722" s="3"/>
      <c r="FR722" s="3"/>
      <c r="FS722" s="3"/>
      <c r="FT722" s="3"/>
      <c r="FU722" s="3"/>
      <c r="FV722" s="3"/>
      <c r="FW722" s="3"/>
      <c r="FX722" s="3"/>
      <c r="FY722" s="3"/>
    </row>
    <row r="723" spans="7:181" ht="15" x14ac:dyDescent="0.25">
      <c r="G723" s="2"/>
      <c r="H723" s="2"/>
      <c r="I723" s="2"/>
      <c r="J723" s="2"/>
      <c r="K723" s="2"/>
      <c r="L723" s="3"/>
      <c r="M723" s="3"/>
      <c r="N723" s="3"/>
      <c r="O723" s="3"/>
      <c r="P723" s="3"/>
      <c r="Q723" s="3"/>
      <c r="R723" s="3"/>
      <c r="S723" s="3"/>
      <c r="T723" s="3"/>
      <c r="U723" s="4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4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4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4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  <c r="DN723" s="3"/>
      <c r="DO723" s="3"/>
      <c r="DP723" s="3"/>
      <c r="DQ723" s="3"/>
      <c r="DR723" s="3"/>
      <c r="DS723" s="3"/>
      <c r="DT723" s="3"/>
      <c r="DU723" s="3"/>
      <c r="DV723" s="3"/>
      <c r="DW723" s="3"/>
      <c r="DX723" s="3"/>
      <c r="DY723" s="3"/>
      <c r="DZ723" s="3"/>
      <c r="EA723" s="3"/>
      <c r="EB723" s="3"/>
      <c r="EC723" s="3"/>
      <c r="ED723" s="3"/>
      <c r="EE723" s="3"/>
      <c r="EF723" s="3"/>
      <c r="EG723" s="3"/>
      <c r="EH723" s="3"/>
      <c r="EI723" s="3"/>
      <c r="EJ723" s="3"/>
      <c r="EK723" s="3"/>
      <c r="EL723" s="3"/>
      <c r="EM723" s="3"/>
      <c r="EN723" s="3"/>
      <c r="EO723" s="3"/>
      <c r="EP723" s="3"/>
      <c r="EQ723" s="3"/>
      <c r="ER723" s="3"/>
      <c r="ES723" s="3"/>
      <c r="ET723" s="3"/>
      <c r="EU723" s="3"/>
      <c r="EV723" s="3"/>
      <c r="EW723" s="3"/>
      <c r="EX723" s="3"/>
      <c r="EY723" s="3"/>
      <c r="EZ723" s="3"/>
      <c r="FA723" s="3"/>
      <c r="FB723" s="3"/>
      <c r="FC723" s="3"/>
      <c r="FD723" s="3"/>
      <c r="FE723" s="3"/>
      <c r="FF723" s="3"/>
      <c r="FG723" s="3"/>
      <c r="FH723" s="3"/>
      <c r="FI723" s="3"/>
      <c r="FJ723" s="3"/>
      <c r="FK723" s="3"/>
      <c r="FL723" s="3"/>
      <c r="FM723" s="3"/>
      <c r="FN723" s="3"/>
      <c r="FO723" s="3"/>
      <c r="FP723" s="3"/>
      <c r="FQ723" s="3"/>
      <c r="FR723" s="3"/>
      <c r="FS723" s="3"/>
      <c r="FT723" s="3"/>
      <c r="FU723" s="3"/>
      <c r="FV723" s="3"/>
      <c r="FW723" s="3"/>
      <c r="FX723" s="3"/>
      <c r="FY723" s="3"/>
    </row>
    <row r="724" spans="7:181" ht="15" x14ac:dyDescent="0.25">
      <c r="G724" s="2"/>
      <c r="H724" s="2"/>
      <c r="I724" s="2"/>
      <c r="J724" s="2"/>
      <c r="K724" s="2"/>
      <c r="L724" s="3"/>
      <c r="M724" s="3"/>
      <c r="N724" s="3"/>
      <c r="O724" s="3"/>
      <c r="P724" s="3"/>
      <c r="Q724" s="3"/>
      <c r="R724" s="3"/>
      <c r="S724" s="3"/>
      <c r="T724" s="3"/>
      <c r="U724" s="4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4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4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4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  <c r="DN724" s="3"/>
      <c r="DO724" s="3"/>
      <c r="DP724" s="3"/>
      <c r="DQ724" s="3"/>
      <c r="DR724" s="3"/>
      <c r="DS724" s="3"/>
      <c r="DT724" s="3"/>
      <c r="DU724" s="3"/>
      <c r="DV724" s="3"/>
      <c r="DW724" s="3"/>
      <c r="DX724" s="3"/>
      <c r="DY724" s="3"/>
      <c r="DZ724" s="3"/>
      <c r="EA724" s="3"/>
      <c r="EB724" s="3"/>
      <c r="EC724" s="3"/>
      <c r="ED724" s="3"/>
      <c r="EE724" s="3"/>
      <c r="EF724" s="3"/>
      <c r="EG724" s="3"/>
      <c r="EH724" s="3"/>
      <c r="EI724" s="3"/>
      <c r="EJ724" s="3"/>
      <c r="EK724" s="3"/>
      <c r="EL724" s="3"/>
      <c r="EM724" s="3"/>
      <c r="EN724" s="3"/>
      <c r="EO724" s="3"/>
      <c r="EP724" s="3"/>
      <c r="EQ724" s="3"/>
      <c r="ER724" s="3"/>
      <c r="ES724" s="3"/>
      <c r="ET724" s="3"/>
      <c r="EU724" s="3"/>
      <c r="EV724" s="3"/>
      <c r="EW724" s="3"/>
      <c r="EX724" s="3"/>
      <c r="EY724" s="3"/>
      <c r="EZ724" s="3"/>
      <c r="FA724" s="3"/>
      <c r="FB724" s="3"/>
      <c r="FC724" s="3"/>
      <c r="FD724" s="3"/>
      <c r="FE724" s="3"/>
      <c r="FF724" s="3"/>
      <c r="FG724" s="3"/>
      <c r="FH724" s="3"/>
      <c r="FI724" s="3"/>
      <c r="FJ724" s="3"/>
      <c r="FK724" s="3"/>
      <c r="FL724" s="3"/>
      <c r="FM724" s="3"/>
      <c r="FN724" s="3"/>
      <c r="FO724" s="3"/>
      <c r="FP724" s="3"/>
      <c r="FQ724" s="3"/>
      <c r="FR724" s="3"/>
      <c r="FS724" s="3"/>
      <c r="FT724" s="3"/>
      <c r="FU724" s="3"/>
      <c r="FV724" s="3"/>
      <c r="FW724" s="3"/>
      <c r="FX724" s="3"/>
      <c r="FY724" s="3"/>
    </row>
    <row r="725" spans="7:181" ht="15" x14ac:dyDescent="0.25">
      <c r="G725" s="2"/>
      <c r="H725" s="2"/>
      <c r="I725" s="2"/>
      <c r="J725" s="2"/>
      <c r="K725" s="2"/>
      <c r="L725" s="3"/>
      <c r="M725" s="3"/>
      <c r="N725" s="3"/>
      <c r="O725" s="3"/>
      <c r="P725" s="3"/>
      <c r="Q725" s="3"/>
      <c r="R725" s="3"/>
      <c r="S725" s="3"/>
      <c r="T725" s="3"/>
      <c r="U725" s="4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4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4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4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  <c r="DN725" s="3"/>
      <c r="DO725" s="3"/>
      <c r="DP725" s="3"/>
      <c r="DQ725" s="3"/>
      <c r="DR725" s="3"/>
      <c r="DS725" s="3"/>
      <c r="DT725" s="3"/>
      <c r="DU725" s="3"/>
      <c r="DV725" s="3"/>
      <c r="DW725" s="3"/>
      <c r="DX725" s="3"/>
      <c r="DY725" s="3"/>
      <c r="DZ725" s="3"/>
      <c r="EA725" s="3"/>
      <c r="EB725" s="3"/>
      <c r="EC725" s="3"/>
      <c r="ED725" s="3"/>
      <c r="EE725" s="3"/>
      <c r="EF725" s="3"/>
      <c r="EG725" s="3"/>
      <c r="EH725" s="3"/>
      <c r="EI725" s="3"/>
      <c r="EJ725" s="3"/>
      <c r="EK725" s="3"/>
      <c r="EL725" s="3"/>
      <c r="EM725" s="3"/>
      <c r="EN725" s="3"/>
      <c r="EO725" s="3"/>
      <c r="EP725" s="3"/>
      <c r="EQ725" s="3"/>
      <c r="ER725" s="3"/>
      <c r="ES725" s="3"/>
      <c r="ET725" s="3"/>
      <c r="EU725" s="3"/>
      <c r="EV725" s="3"/>
      <c r="EW725" s="3"/>
      <c r="EX725" s="3"/>
      <c r="EY725" s="3"/>
      <c r="EZ725" s="3"/>
      <c r="FA725" s="3"/>
      <c r="FB725" s="3"/>
      <c r="FC725" s="3"/>
      <c r="FD725" s="3"/>
      <c r="FE725" s="3"/>
      <c r="FF725" s="3"/>
      <c r="FG725" s="3"/>
      <c r="FH725" s="3"/>
      <c r="FI725" s="3"/>
      <c r="FJ725" s="3"/>
      <c r="FK725" s="3"/>
      <c r="FL725" s="3"/>
      <c r="FM725" s="3"/>
      <c r="FN725" s="3"/>
      <c r="FO725" s="3"/>
      <c r="FP725" s="3"/>
      <c r="FQ725" s="3"/>
      <c r="FR725" s="3"/>
      <c r="FS725" s="3"/>
      <c r="FT725" s="3"/>
      <c r="FU725" s="3"/>
      <c r="FV725" s="3"/>
      <c r="FW725" s="3"/>
      <c r="FX725" s="3"/>
      <c r="FY725" s="3"/>
    </row>
    <row r="726" spans="7:181" ht="15" x14ac:dyDescent="0.25">
      <c r="G726" s="2"/>
      <c r="H726" s="2"/>
      <c r="I726" s="2"/>
      <c r="J726" s="2"/>
      <c r="K726" s="2"/>
      <c r="L726" s="3"/>
      <c r="M726" s="3"/>
      <c r="N726" s="3"/>
      <c r="O726" s="3"/>
      <c r="P726" s="3"/>
      <c r="Q726" s="3"/>
      <c r="R726" s="3"/>
      <c r="S726" s="3"/>
      <c r="T726" s="3"/>
      <c r="U726" s="4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4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4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4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  <c r="DN726" s="3"/>
      <c r="DO726" s="3"/>
      <c r="DP726" s="3"/>
      <c r="DQ726" s="3"/>
      <c r="DR726" s="3"/>
      <c r="DS726" s="3"/>
      <c r="DT726" s="3"/>
      <c r="DU726" s="3"/>
      <c r="DV726" s="3"/>
      <c r="DW726" s="3"/>
      <c r="DX726" s="3"/>
      <c r="DY726" s="3"/>
      <c r="DZ726" s="3"/>
      <c r="EA726" s="3"/>
      <c r="EB726" s="3"/>
      <c r="EC726" s="3"/>
      <c r="ED726" s="3"/>
      <c r="EE726" s="3"/>
      <c r="EF726" s="3"/>
      <c r="EG726" s="3"/>
      <c r="EH726" s="3"/>
      <c r="EI726" s="3"/>
      <c r="EJ726" s="3"/>
      <c r="EK726" s="3"/>
      <c r="EL726" s="3"/>
      <c r="EM726" s="3"/>
      <c r="EN726" s="3"/>
      <c r="EO726" s="3"/>
      <c r="EP726" s="3"/>
      <c r="EQ726" s="3"/>
      <c r="ER726" s="3"/>
      <c r="ES726" s="3"/>
      <c r="ET726" s="3"/>
      <c r="EU726" s="3"/>
      <c r="EV726" s="3"/>
      <c r="EW726" s="3"/>
      <c r="EX726" s="3"/>
      <c r="EY726" s="3"/>
      <c r="EZ726" s="3"/>
      <c r="FA726" s="3"/>
      <c r="FB726" s="3"/>
      <c r="FC726" s="3"/>
      <c r="FD726" s="3"/>
      <c r="FE726" s="3"/>
      <c r="FF726" s="3"/>
      <c r="FG726" s="3"/>
      <c r="FH726" s="3"/>
      <c r="FI726" s="3"/>
      <c r="FJ726" s="3"/>
      <c r="FK726" s="3"/>
      <c r="FL726" s="3"/>
      <c r="FM726" s="3"/>
      <c r="FN726" s="3"/>
      <c r="FO726" s="3"/>
      <c r="FP726" s="3"/>
      <c r="FQ726" s="3"/>
      <c r="FR726" s="3"/>
      <c r="FS726" s="3"/>
      <c r="FT726" s="3"/>
      <c r="FU726" s="3"/>
      <c r="FV726" s="3"/>
      <c r="FW726" s="3"/>
      <c r="FX726" s="3"/>
      <c r="FY726" s="3"/>
    </row>
    <row r="727" spans="7:181" ht="15" x14ac:dyDescent="0.25">
      <c r="G727" s="2"/>
      <c r="H727" s="2"/>
      <c r="I727" s="2"/>
      <c r="J727" s="2"/>
      <c r="K727" s="2"/>
      <c r="L727" s="3"/>
      <c r="M727" s="3"/>
      <c r="N727" s="3"/>
      <c r="O727" s="3"/>
      <c r="P727" s="3"/>
      <c r="Q727" s="3"/>
      <c r="R727" s="3"/>
      <c r="S727" s="3"/>
      <c r="T727" s="3"/>
      <c r="U727" s="4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4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4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4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  <c r="DN727" s="3"/>
      <c r="DO727" s="3"/>
      <c r="DP727" s="3"/>
      <c r="DQ727" s="3"/>
      <c r="DR727" s="3"/>
      <c r="DS727" s="3"/>
      <c r="DT727" s="3"/>
      <c r="DU727" s="3"/>
      <c r="DV727" s="3"/>
      <c r="DW727" s="3"/>
      <c r="DX727" s="3"/>
      <c r="DY727" s="3"/>
      <c r="DZ727" s="3"/>
      <c r="EA727" s="3"/>
      <c r="EB727" s="3"/>
      <c r="EC727" s="3"/>
      <c r="ED727" s="3"/>
      <c r="EE727" s="3"/>
      <c r="EF727" s="3"/>
      <c r="EG727" s="3"/>
      <c r="EH727" s="3"/>
      <c r="EI727" s="3"/>
      <c r="EJ727" s="3"/>
      <c r="EK727" s="3"/>
      <c r="EL727" s="3"/>
      <c r="EM727" s="3"/>
      <c r="EN727" s="3"/>
      <c r="EO727" s="3"/>
      <c r="EP727" s="3"/>
      <c r="EQ727" s="3"/>
      <c r="ER727" s="3"/>
      <c r="ES727" s="3"/>
      <c r="ET727" s="3"/>
      <c r="EU727" s="3"/>
      <c r="EV727" s="3"/>
      <c r="EW727" s="3"/>
      <c r="EX727" s="3"/>
      <c r="EY727" s="3"/>
      <c r="EZ727" s="3"/>
      <c r="FA727" s="3"/>
      <c r="FB727" s="3"/>
      <c r="FC727" s="3"/>
      <c r="FD727" s="3"/>
      <c r="FE727" s="3"/>
      <c r="FF727" s="3"/>
      <c r="FG727" s="3"/>
      <c r="FH727" s="3"/>
      <c r="FI727" s="3"/>
      <c r="FJ727" s="3"/>
      <c r="FK727" s="3"/>
      <c r="FL727" s="3"/>
      <c r="FM727" s="3"/>
      <c r="FN727" s="3"/>
      <c r="FO727" s="3"/>
      <c r="FP727" s="3"/>
      <c r="FQ727" s="3"/>
      <c r="FR727" s="3"/>
      <c r="FS727" s="3"/>
      <c r="FT727" s="3"/>
      <c r="FU727" s="3"/>
      <c r="FV727" s="3"/>
      <c r="FW727" s="3"/>
      <c r="FX727" s="3"/>
      <c r="FY727" s="3"/>
    </row>
    <row r="728" spans="7:181" ht="15" x14ac:dyDescent="0.25">
      <c r="G728" s="2"/>
      <c r="H728" s="2"/>
      <c r="I728" s="2"/>
      <c r="J728" s="2"/>
      <c r="K728" s="2"/>
      <c r="L728" s="3"/>
      <c r="M728" s="3"/>
      <c r="N728" s="3"/>
      <c r="O728" s="3"/>
      <c r="P728" s="3"/>
      <c r="Q728" s="3"/>
      <c r="R728" s="3"/>
      <c r="S728" s="3"/>
      <c r="T728" s="3"/>
      <c r="U728" s="4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4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4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4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  <c r="BT728" s="3"/>
      <c r="BU728" s="3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  <c r="DI728" s="3"/>
      <c r="DJ728" s="3"/>
      <c r="DK728" s="3"/>
      <c r="DL728" s="3"/>
      <c r="DM728" s="3"/>
      <c r="DN728" s="3"/>
      <c r="DO728" s="3"/>
      <c r="DP728" s="3"/>
      <c r="DQ728" s="3"/>
      <c r="DR728" s="3"/>
      <c r="DS728" s="3"/>
      <c r="DT728" s="3"/>
      <c r="DU728" s="3"/>
      <c r="DV728" s="3"/>
      <c r="DW728" s="3"/>
      <c r="DX728" s="3"/>
      <c r="DY728" s="3"/>
      <c r="DZ728" s="3"/>
      <c r="EA728" s="3"/>
      <c r="EB728" s="3"/>
      <c r="EC728" s="3"/>
      <c r="ED728" s="3"/>
      <c r="EE728" s="3"/>
      <c r="EF728" s="3"/>
      <c r="EG728" s="3"/>
      <c r="EH728" s="3"/>
      <c r="EI728" s="3"/>
      <c r="EJ728" s="3"/>
      <c r="EK728" s="3"/>
      <c r="EL728" s="3"/>
      <c r="EM728" s="3"/>
      <c r="EN728" s="3"/>
      <c r="EO728" s="3"/>
      <c r="EP728" s="3"/>
      <c r="EQ728" s="3"/>
      <c r="ER728" s="3"/>
      <c r="ES728" s="3"/>
      <c r="ET728" s="3"/>
      <c r="EU728" s="3"/>
      <c r="EV728" s="3"/>
      <c r="EW728" s="3"/>
      <c r="EX728" s="3"/>
      <c r="EY728" s="3"/>
      <c r="EZ728" s="3"/>
      <c r="FA728" s="3"/>
      <c r="FB728" s="3"/>
      <c r="FC728" s="3"/>
      <c r="FD728" s="3"/>
      <c r="FE728" s="3"/>
      <c r="FF728" s="3"/>
      <c r="FG728" s="3"/>
      <c r="FH728" s="3"/>
      <c r="FI728" s="3"/>
      <c r="FJ728" s="3"/>
      <c r="FK728" s="3"/>
      <c r="FL728" s="3"/>
      <c r="FM728" s="3"/>
      <c r="FN728" s="3"/>
      <c r="FO728" s="3"/>
      <c r="FP728" s="3"/>
      <c r="FQ728" s="3"/>
      <c r="FR728" s="3"/>
      <c r="FS728" s="3"/>
      <c r="FT728" s="3"/>
      <c r="FU728" s="3"/>
      <c r="FV728" s="3"/>
      <c r="FW728" s="3"/>
      <c r="FX728" s="3"/>
      <c r="FY728" s="3"/>
    </row>
    <row r="729" spans="7:181" ht="15" x14ac:dyDescent="0.25">
      <c r="G729" s="2"/>
      <c r="H729" s="2"/>
      <c r="I729" s="2"/>
      <c r="J729" s="2"/>
      <c r="K729" s="2"/>
      <c r="L729" s="3"/>
      <c r="M729" s="3"/>
      <c r="N729" s="3"/>
      <c r="O729" s="3"/>
      <c r="P729" s="3"/>
      <c r="Q729" s="3"/>
      <c r="R729" s="3"/>
      <c r="S729" s="3"/>
      <c r="T729" s="3"/>
      <c r="U729" s="4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4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4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4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  <c r="DI729" s="3"/>
      <c r="DJ729" s="3"/>
      <c r="DK729" s="3"/>
      <c r="DL729" s="3"/>
      <c r="DM729" s="3"/>
      <c r="DN729" s="3"/>
      <c r="DO729" s="3"/>
      <c r="DP729" s="3"/>
      <c r="DQ729" s="3"/>
      <c r="DR729" s="3"/>
      <c r="DS729" s="3"/>
      <c r="DT729" s="3"/>
      <c r="DU729" s="3"/>
      <c r="DV729" s="3"/>
      <c r="DW729" s="3"/>
      <c r="DX729" s="3"/>
      <c r="DY729" s="3"/>
      <c r="DZ729" s="3"/>
      <c r="EA729" s="3"/>
      <c r="EB729" s="3"/>
      <c r="EC729" s="3"/>
      <c r="ED729" s="3"/>
      <c r="EE729" s="3"/>
      <c r="EF729" s="3"/>
      <c r="EG729" s="3"/>
      <c r="EH729" s="3"/>
      <c r="EI729" s="3"/>
      <c r="EJ729" s="3"/>
      <c r="EK729" s="3"/>
      <c r="EL729" s="3"/>
      <c r="EM729" s="3"/>
      <c r="EN729" s="3"/>
      <c r="EO729" s="3"/>
      <c r="EP729" s="3"/>
      <c r="EQ729" s="3"/>
      <c r="ER729" s="3"/>
      <c r="ES729" s="3"/>
      <c r="ET729" s="3"/>
      <c r="EU729" s="3"/>
      <c r="EV729" s="3"/>
      <c r="EW729" s="3"/>
      <c r="EX729" s="3"/>
      <c r="EY729" s="3"/>
      <c r="EZ729" s="3"/>
      <c r="FA729" s="3"/>
      <c r="FB729" s="3"/>
      <c r="FC729" s="3"/>
      <c r="FD729" s="3"/>
      <c r="FE729" s="3"/>
      <c r="FF729" s="3"/>
      <c r="FG729" s="3"/>
      <c r="FH729" s="3"/>
      <c r="FI729" s="3"/>
      <c r="FJ729" s="3"/>
      <c r="FK729" s="3"/>
      <c r="FL729" s="3"/>
      <c r="FM729" s="3"/>
      <c r="FN729" s="3"/>
      <c r="FO729" s="3"/>
      <c r="FP729" s="3"/>
      <c r="FQ729" s="3"/>
      <c r="FR729" s="3"/>
      <c r="FS729" s="3"/>
      <c r="FT729" s="3"/>
      <c r="FU729" s="3"/>
      <c r="FV729" s="3"/>
      <c r="FW729" s="3"/>
      <c r="FX729" s="3"/>
      <c r="FY729" s="3"/>
    </row>
    <row r="730" spans="7:181" ht="15" x14ac:dyDescent="0.25">
      <c r="G730" s="2"/>
      <c r="H730" s="2"/>
      <c r="I730" s="2"/>
      <c r="J730" s="2"/>
      <c r="K730" s="2"/>
      <c r="L730" s="3"/>
      <c r="M730" s="3"/>
      <c r="N730" s="3"/>
      <c r="O730" s="3"/>
      <c r="P730" s="3"/>
      <c r="Q730" s="3"/>
      <c r="R730" s="3"/>
      <c r="S730" s="3"/>
      <c r="T730" s="3"/>
      <c r="U730" s="4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4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4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4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  <c r="DN730" s="3"/>
      <c r="DO730" s="3"/>
      <c r="DP730" s="3"/>
      <c r="DQ730" s="3"/>
      <c r="DR730" s="3"/>
      <c r="DS730" s="3"/>
      <c r="DT730" s="3"/>
      <c r="DU730" s="3"/>
      <c r="DV730" s="3"/>
      <c r="DW730" s="3"/>
      <c r="DX730" s="3"/>
      <c r="DY730" s="3"/>
      <c r="DZ730" s="3"/>
      <c r="EA730" s="3"/>
      <c r="EB730" s="3"/>
      <c r="EC730" s="3"/>
      <c r="ED730" s="3"/>
      <c r="EE730" s="3"/>
      <c r="EF730" s="3"/>
      <c r="EG730" s="3"/>
      <c r="EH730" s="3"/>
      <c r="EI730" s="3"/>
      <c r="EJ730" s="3"/>
      <c r="EK730" s="3"/>
      <c r="EL730" s="3"/>
      <c r="EM730" s="3"/>
      <c r="EN730" s="3"/>
      <c r="EO730" s="3"/>
      <c r="EP730" s="3"/>
      <c r="EQ730" s="3"/>
      <c r="ER730" s="3"/>
      <c r="ES730" s="3"/>
      <c r="ET730" s="3"/>
      <c r="EU730" s="3"/>
      <c r="EV730" s="3"/>
      <c r="EW730" s="3"/>
      <c r="EX730" s="3"/>
      <c r="EY730" s="3"/>
      <c r="EZ730" s="3"/>
      <c r="FA730" s="3"/>
      <c r="FB730" s="3"/>
      <c r="FC730" s="3"/>
      <c r="FD730" s="3"/>
      <c r="FE730" s="3"/>
      <c r="FF730" s="3"/>
      <c r="FG730" s="3"/>
      <c r="FH730" s="3"/>
      <c r="FI730" s="3"/>
      <c r="FJ730" s="3"/>
      <c r="FK730" s="3"/>
      <c r="FL730" s="3"/>
      <c r="FM730" s="3"/>
      <c r="FN730" s="3"/>
      <c r="FO730" s="3"/>
      <c r="FP730" s="3"/>
      <c r="FQ730" s="3"/>
      <c r="FR730" s="3"/>
      <c r="FS730" s="3"/>
      <c r="FT730" s="3"/>
      <c r="FU730" s="3"/>
      <c r="FV730" s="3"/>
      <c r="FW730" s="3"/>
      <c r="FX730" s="3"/>
      <c r="FY730" s="3"/>
    </row>
    <row r="731" spans="7:181" ht="15" x14ac:dyDescent="0.25">
      <c r="G731" s="2"/>
      <c r="H731" s="2"/>
      <c r="I731" s="2"/>
      <c r="J731" s="2"/>
      <c r="K731" s="2"/>
      <c r="L731" s="3"/>
      <c r="M731" s="3"/>
      <c r="N731" s="3"/>
      <c r="O731" s="3"/>
      <c r="P731" s="3"/>
      <c r="Q731" s="3"/>
      <c r="R731" s="3"/>
      <c r="S731" s="3"/>
      <c r="T731" s="3"/>
      <c r="U731" s="4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4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4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4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  <c r="DN731" s="3"/>
      <c r="DO731" s="3"/>
      <c r="DP731" s="3"/>
      <c r="DQ731" s="3"/>
      <c r="DR731" s="3"/>
      <c r="DS731" s="3"/>
      <c r="DT731" s="3"/>
      <c r="DU731" s="3"/>
      <c r="DV731" s="3"/>
      <c r="DW731" s="3"/>
      <c r="DX731" s="3"/>
      <c r="DY731" s="3"/>
      <c r="DZ731" s="3"/>
      <c r="EA731" s="3"/>
      <c r="EB731" s="3"/>
      <c r="EC731" s="3"/>
      <c r="ED731" s="3"/>
      <c r="EE731" s="3"/>
      <c r="EF731" s="3"/>
      <c r="EG731" s="3"/>
      <c r="EH731" s="3"/>
      <c r="EI731" s="3"/>
      <c r="EJ731" s="3"/>
      <c r="EK731" s="3"/>
      <c r="EL731" s="3"/>
      <c r="EM731" s="3"/>
      <c r="EN731" s="3"/>
      <c r="EO731" s="3"/>
      <c r="EP731" s="3"/>
      <c r="EQ731" s="3"/>
      <c r="ER731" s="3"/>
      <c r="ES731" s="3"/>
      <c r="ET731" s="3"/>
      <c r="EU731" s="3"/>
      <c r="EV731" s="3"/>
      <c r="EW731" s="3"/>
      <c r="EX731" s="3"/>
      <c r="EY731" s="3"/>
      <c r="EZ731" s="3"/>
      <c r="FA731" s="3"/>
      <c r="FB731" s="3"/>
      <c r="FC731" s="3"/>
      <c r="FD731" s="3"/>
      <c r="FE731" s="3"/>
      <c r="FF731" s="3"/>
      <c r="FG731" s="3"/>
      <c r="FH731" s="3"/>
      <c r="FI731" s="3"/>
      <c r="FJ731" s="3"/>
      <c r="FK731" s="3"/>
      <c r="FL731" s="3"/>
      <c r="FM731" s="3"/>
      <c r="FN731" s="3"/>
      <c r="FO731" s="3"/>
      <c r="FP731" s="3"/>
      <c r="FQ731" s="3"/>
      <c r="FR731" s="3"/>
      <c r="FS731" s="3"/>
      <c r="FT731" s="3"/>
      <c r="FU731" s="3"/>
      <c r="FV731" s="3"/>
      <c r="FW731" s="3"/>
      <c r="FX731" s="3"/>
      <c r="FY731" s="3"/>
    </row>
    <row r="732" spans="7:181" ht="15" x14ac:dyDescent="0.25">
      <c r="G732" s="2"/>
      <c r="H732" s="2"/>
      <c r="I732" s="2"/>
      <c r="J732" s="2"/>
      <c r="K732" s="2"/>
      <c r="L732" s="3"/>
      <c r="M732" s="3"/>
      <c r="N732" s="3"/>
      <c r="O732" s="3"/>
      <c r="P732" s="3"/>
      <c r="Q732" s="3"/>
      <c r="R732" s="3"/>
      <c r="S732" s="3"/>
      <c r="T732" s="3"/>
      <c r="U732" s="4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4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4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4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  <c r="DN732" s="3"/>
      <c r="DO732" s="3"/>
      <c r="DP732" s="3"/>
      <c r="DQ732" s="3"/>
      <c r="DR732" s="3"/>
      <c r="DS732" s="3"/>
      <c r="DT732" s="3"/>
      <c r="DU732" s="3"/>
      <c r="DV732" s="3"/>
      <c r="DW732" s="3"/>
      <c r="DX732" s="3"/>
      <c r="DY732" s="3"/>
      <c r="DZ732" s="3"/>
      <c r="EA732" s="3"/>
      <c r="EB732" s="3"/>
      <c r="EC732" s="3"/>
      <c r="ED732" s="3"/>
      <c r="EE732" s="3"/>
      <c r="EF732" s="3"/>
      <c r="EG732" s="3"/>
      <c r="EH732" s="3"/>
      <c r="EI732" s="3"/>
      <c r="EJ732" s="3"/>
      <c r="EK732" s="3"/>
      <c r="EL732" s="3"/>
      <c r="EM732" s="3"/>
      <c r="EN732" s="3"/>
      <c r="EO732" s="3"/>
      <c r="EP732" s="3"/>
      <c r="EQ732" s="3"/>
      <c r="ER732" s="3"/>
      <c r="ES732" s="3"/>
      <c r="ET732" s="3"/>
      <c r="EU732" s="3"/>
      <c r="EV732" s="3"/>
      <c r="EW732" s="3"/>
      <c r="EX732" s="3"/>
      <c r="EY732" s="3"/>
      <c r="EZ732" s="3"/>
      <c r="FA732" s="3"/>
      <c r="FB732" s="3"/>
      <c r="FC732" s="3"/>
      <c r="FD732" s="3"/>
      <c r="FE732" s="3"/>
      <c r="FF732" s="3"/>
      <c r="FG732" s="3"/>
      <c r="FH732" s="3"/>
      <c r="FI732" s="3"/>
      <c r="FJ732" s="3"/>
      <c r="FK732" s="3"/>
      <c r="FL732" s="3"/>
      <c r="FM732" s="3"/>
      <c r="FN732" s="3"/>
      <c r="FO732" s="3"/>
      <c r="FP732" s="3"/>
      <c r="FQ732" s="3"/>
      <c r="FR732" s="3"/>
      <c r="FS732" s="3"/>
      <c r="FT732" s="3"/>
      <c r="FU732" s="3"/>
      <c r="FV732" s="3"/>
      <c r="FW732" s="3"/>
      <c r="FX732" s="3"/>
      <c r="FY732" s="3"/>
    </row>
    <row r="733" spans="7:181" ht="15" x14ac:dyDescent="0.25">
      <c r="G733" s="2"/>
      <c r="H733" s="2"/>
      <c r="I733" s="2"/>
      <c r="J733" s="2"/>
      <c r="K733" s="2"/>
      <c r="L733" s="3"/>
      <c r="M733" s="3"/>
      <c r="N733" s="3"/>
      <c r="O733" s="3"/>
      <c r="P733" s="3"/>
      <c r="Q733" s="3"/>
      <c r="R733" s="3"/>
      <c r="S733" s="3"/>
      <c r="T733" s="3"/>
      <c r="U733" s="4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4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4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4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  <c r="DN733" s="3"/>
      <c r="DO733" s="3"/>
      <c r="DP733" s="3"/>
      <c r="DQ733" s="3"/>
      <c r="DR733" s="3"/>
      <c r="DS733" s="3"/>
      <c r="DT733" s="3"/>
      <c r="DU733" s="3"/>
      <c r="DV733" s="3"/>
      <c r="DW733" s="3"/>
      <c r="DX733" s="3"/>
      <c r="DY733" s="3"/>
      <c r="DZ733" s="3"/>
      <c r="EA733" s="3"/>
      <c r="EB733" s="3"/>
      <c r="EC733" s="3"/>
      <c r="ED733" s="3"/>
      <c r="EE733" s="3"/>
      <c r="EF733" s="3"/>
      <c r="EG733" s="3"/>
      <c r="EH733" s="3"/>
      <c r="EI733" s="3"/>
      <c r="EJ733" s="3"/>
      <c r="EK733" s="3"/>
      <c r="EL733" s="3"/>
      <c r="EM733" s="3"/>
      <c r="EN733" s="3"/>
      <c r="EO733" s="3"/>
      <c r="EP733" s="3"/>
      <c r="EQ733" s="3"/>
      <c r="ER733" s="3"/>
      <c r="ES733" s="3"/>
      <c r="ET733" s="3"/>
      <c r="EU733" s="3"/>
      <c r="EV733" s="3"/>
      <c r="EW733" s="3"/>
      <c r="EX733" s="3"/>
      <c r="EY733" s="3"/>
      <c r="EZ733" s="3"/>
      <c r="FA733" s="3"/>
      <c r="FB733" s="3"/>
      <c r="FC733" s="3"/>
      <c r="FD733" s="3"/>
      <c r="FE733" s="3"/>
      <c r="FF733" s="3"/>
      <c r="FG733" s="3"/>
      <c r="FH733" s="3"/>
      <c r="FI733" s="3"/>
      <c r="FJ733" s="3"/>
      <c r="FK733" s="3"/>
      <c r="FL733" s="3"/>
      <c r="FM733" s="3"/>
      <c r="FN733" s="3"/>
      <c r="FO733" s="3"/>
      <c r="FP733" s="3"/>
      <c r="FQ733" s="3"/>
      <c r="FR733" s="3"/>
      <c r="FS733" s="3"/>
      <c r="FT733" s="3"/>
      <c r="FU733" s="3"/>
      <c r="FV733" s="3"/>
      <c r="FW733" s="3"/>
      <c r="FX733" s="3"/>
      <c r="FY733" s="3"/>
    </row>
    <row r="734" spans="7:181" ht="15" x14ac:dyDescent="0.25">
      <c r="G734" s="2"/>
      <c r="H734" s="2"/>
      <c r="I734" s="2"/>
      <c r="J734" s="2"/>
      <c r="K734" s="2"/>
      <c r="L734" s="3"/>
      <c r="M734" s="3"/>
      <c r="N734" s="3"/>
      <c r="O734" s="3"/>
      <c r="P734" s="3"/>
      <c r="Q734" s="3"/>
      <c r="R734" s="3"/>
      <c r="S734" s="3"/>
      <c r="T734" s="3"/>
      <c r="U734" s="4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4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4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4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  <c r="DP734" s="3"/>
      <c r="DQ734" s="3"/>
      <c r="DR734" s="3"/>
      <c r="DS734" s="3"/>
      <c r="DT734" s="3"/>
      <c r="DU734" s="3"/>
      <c r="DV734" s="3"/>
      <c r="DW734" s="3"/>
      <c r="DX734" s="3"/>
      <c r="DY734" s="3"/>
      <c r="DZ734" s="3"/>
      <c r="EA734" s="3"/>
      <c r="EB734" s="3"/>
      <c r="EC734" s="3"/>
      <c r="ED734" s="3"/>
      <c r="EE734" s="3"/>
      <c r="EF734" s="3"/>
      <c r="EG734" s="3"/>
      <c r="EH734" s="3"/>
      <c r="EI734" s="3"/>
      <c r="EJ734" s="3"/>
      <c r="EK734" s="3"/>
      <c r="EL734" s="3"/>
      <c r="EM734" s="3"/>
      <c r="EN734" s="3"/>
      <c r="EO734" s="3"/>
      <c r="EP734" s="3"/>
      <c r="EQ734" s="3"/>
      <c r="ER734" s="3"/>
      <c r="ES734" s="3"/>
      <c r="ET734" s="3"/>
      <c r="EU734" s="3"/>
      <c r="EV734" s="3"/>
      <c r="EW734" s="3"/>
      <c r="EX734" s="3"/>
      <c r="EY734" s="3"/>
      <c r="EZ734" s="3"/>
      <c r="FA734" s="3"/>
      <c r="FB734" s="3"/>
      <c r="FC734" s="3"/>
      <c r="FD734" s="3"/>
      <c r="FE734" s="3"/>
      <c r="FF734" s="3"/>
      <c r="FG734" s="3"/>
      <c r="FH734" s="3"/>
      <c r="FI734" s="3"/>
      <c r="FJ734" s="3"/>
      <c r="FK734" s="3"/>
      <c r="FL734" s="3"/>
      <c r="FM734" s="3"/>
      <c r="FN734" s="3"/>
      <c r="FO734" s="3"/>
      <c r="FP734" s="3"/>
      <c r="FQ734" s="3"/>
      <c r="FR734" s="3"/>
      <c r="FS734" s="3"/>
      <c r="FT734" s="3"/>
      <c r="FU734" s="3"/>
      <c r="FV734" s="3"/>
      <c r="FW734" s="3"/>
      <c r="FX734" s="3"/>
      <c r="FY734" s="3"/>
    </row>
    <row r="735" spans="7:181" ht="15" x14ac:dyDescent="0.25">
      <c r="G735" s="2"/>
      <c r="H735" s="2"/>
      <c r="I735" s="2"/>
      <c r="J735" s="2"/>
      <c r="K735" s="2"/>
      <c r="L735" s="3"/>
      <c r="M735" s="3"/>
      <c r="N735" s="3"/>
      <c r="O735" s="3"/>
      <c r="P735" s="3"/>
      <c r="Q735" s="3"/>
      <c r="R735" s="3"/>
      <c r="S735" s="3"/>
      <c r="T735" s="3"/>
      <c r="U735" s="4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4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4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4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  <c r="DP735" s="3"/>
      <c r="DQ735" s="3"/>
      <c r="DR735" s="3"/>
      <c r="DS735" s="3"/>
      <c r="DT735" s="3"/>
      <c r="DU735" s="3"/>
      <c r="DV735" s="3"/>
      <c r="DW735" s="3"/>
      <c r="DX735" s="3"/>
      <c r="DY735" s="3"/>
      <c r="DZ735" s="3"/>
      <c r="EA735" s="3"/>
      <c r="EB735" s="3"/>
      <c r="EC735" s="3"/>
      <c r="ED735" s="3"/>
      <c r="EE735" s="3"/>
      <c r="EF735" s="3"/>
      <c r="EG735" s="3"/>
      <c r="EH735" s="3"/>
      <c r="EI735" s="3"/>
      <c r="EJ735" s="3"/>
      <c r="EK735" s="3"/>
      <c r="EL735" s="3"/>
      <c r="EM735" s="3"/>
      <c r="EN735" s="3"/>
      <c r="EO735" s="3"/>
      <c r="EP735" s="3"/>
      <c r="EQ735" s="3"/>
      <c r="ER735" s="3"/>
      <c r="ES735" s="3"/>
      <c r="ET735" s="3"/>
      <c r="EU735" s="3"/>
      <c r="EV735" s="3"/>
      <c r="EW735" s="3"/>
      <c r="EX735" s="3"/>
      <c r="EY735" s="3"/>
      <c r="EZ735" s="3"/>
      <c r="FA735" s="3"/>
      <c r="FB735" s="3"/>
      <c r="FC735" s="3"/>
      <c r="FD735" s="3"/>
      <c r="FE735" s="3"/>
      <c r="FF735" s="3"/>
      <c r="FG735" s="3"/>
      <c r="FH735" s="3"/>
      <c r="FI735" s="3"/>
      <c r="FJ735" s="3"/>
      <c r="FK735" s="3"/>
      <c r="FL735" s="3"/>
      <c r="FM735" s="3"/>
      <c r="FN735" s="3"/>
      <c r="FO735" s="3"/>
      <c r="FP735" s="3"/>
      <c r="FQ735" s="3"/>
      <c r="FR735" s="3"/>
      <c r="FS735" s="3"/>
      <c r="FT735" s="3"/>
      <c r="FU735" s="3"/>
      <c r="FV735" s="3"/>
      <c r="FW735" s="3"/>
      <c r="FX735" s="3"/>
      <c r="FY735" s="3"/>
    </row>
    <row r="736" spans="7:181" ht="15" x14ac:dyDescent="0.25">
      <c r="G736" s="2"/>
      <c r="H736" s="2"/>
      <c r="I736" s="2"/>
      <c r="J736" s="2"/>
      <c r="K736" s="2"/>
      <c r="L736" s="3"/>
      <c r="M736" s="3"/>
      <c r="N736" s="3"/>
      <c r="O736" s="3"/>
      <c r="P736" s="3"/>
      <c r="Q736" s="3"/>
      <c r="R736" s="3"/>
      <c r="S736" s="3"/>
      <c r="T736" s="3"/>
      <c r="U736" s="4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4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4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4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  <c r="DP736" s="3"/>
      <c r="DQ736" s="3"/>
      <c r="DR736" s="3"/>
      <c r="DS736" s="3"/>
      <c r="DT736" s="3"/>
      <c r="DU736" s="3"/>
      <c r="DV736" s="3"/>
      <c r="DW736" s="3"/>
      <c r="DX736" s="3"/>
      <c r="DY736" s="3"/>
      <c r="DZ736" s="3"/>
      <c r="EA736" s="3"/>
      <c r="EB736" s="3"/>
      <c r="EC736" s="3"/>
      <c r="ED736" s="3"/>
      <c r="EE736" s="3"/>
      <c r="EF736" s="3"/>
      <c r="EG736" s="3"/>
      <c r="EH736" s="3"/>
      <c r="EI736" s="3"/>
      <c r="EJ736" s="3"/>
      <c r="EK736" s="3"/>
      <c r="EL736" s="3"/>
      <c r="EM736" s="3"/>
      <c r="EN736" s="3"/>
      <c r="EO736" s="3"/>
      <c r="EP736" s="3"/>
      <c r="EQ736" s="3"/>
      <c r="ER736" s="3"/>
      <c r="ES736" s="3"/>
      <c r="ET736" s="3"/>
      <c r="EU736" s="3"/>
      <c r="EV736" s="3"/>
      <c r="EW736" s="3"/>
      <c r="EX736" s="3"/>
      <c r="EY736" s="3"/>
      <c r="EZ736" s="3"/>
      <c r="FA736" s="3"/>
      <c r="FB736" s="3"/>
      <c r="FC736" s="3"/>
      <c r="FD736" s="3"/>
      <c r="FE736" s="3"/>
      <c r="FF736" s="3"/>
      <c r="FG736" s="3"/>
      <c r="FH736" s="3"/>
      <c r="FI736" s="3"/>
      <c r="FJ736" s="3"/>
      <c r="FK736" s="3"/>
      <c r="FL736" s="3"/>
      <c r="FM736" s="3"/>
      <c r="FN736" s="3"/>
      <c r="FO736" s="3"/>
      <c r="FP736" s="3"/>
      <c r="FQ736" s="3"/>
      <c r="FR736" s="3"/>
      <c r="FS736" s="3"/>
      <c r="FT736" s="3"/>
      <c r="FU736" s="3"/>
      <c r="FV736" s="3"/>
      <c r="FW736" s="3"/>
      <c r="FX736" s="3"/>
      <c r="FY736" s="3"/>
    </row>
    <row r="737" spans="7:181" ht="15" x14ac:dyDescent="0.25">
      <c r="G737" s="2"/>
      <c r="H737" s="2"/>
      <c r="I737" s="2"/>
      <c r="J737" s="2"/>
      <c r="K737" s="2"/>
      <c r="L737" s="3"/>
      <c r="M737" s="3"/>
      <c r="N737" s="3"/>
      <c r="O737" s="3"/>
      <c r="P737" s="3"/>
      <c r="Q737" s="3"/>
      <c r="R737" s="3"/>
      <c r="S737" s="3"/>
      <c r="T737" s="3"/>
      <c r="U737" s="4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4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4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4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  <c r="DP737" s="3"/>
      <c r="DQ737" s="3"/>
      <c r="DR737" s="3"/>
      <c r="DS737" s="3"/>
      <c r="DT737" s="3"/>
      <c r="DU737" s="3"/>
      <c r="DV737" s="3"/>
      <c r="DW737" s="3"/>
      <c r="DX737" s="3"/>
      <c r="DY737" s="3"/>
      <c r="DZ737" s="3"/>
      <c r="EA737" s="3"/>
      <c r="EB737" s="3"/>
      <c r="EC737" s="3"/>
      <c r="ED737" s="3"/>
      <c r="EE737" s="3"/>
      <c r="EF737" s="3"/>
      <c r="EG737" s="3"/>
      <c r="EH737" s="3"/>
      <c r="EI737" s="3"/>
      <c r="EJ737" s="3"/>
      <c r="EK737" s="3"/>
      <c r="EL737" s="3"/>
      <c r="EM737" s="3"/>
      <c r="EN737" s="3"/>
      <c r="EO737" s="3"/>
      <c r="EP737" s="3"/>
      <c r="EQ737" s="3"/>
      <c r="ER737" s="3"/>
      <c r="ES737" s="3"/>
      <c r="ET737" s="3"/>
      <c r="EU737" s="3"/>
      <c r="EV737" s="3"/>
      <c r="EW737" s="3"/>
      <c r="EX737" s="3"/>
      <c r="EY737" s="3"/>
      <c r="EZ737" s="3"/>
      <c r="FA737" s="3"/>
      <c r="FB737" s="3"/>
      <c r="FC737" s="3"/>
      <c r="FD737" s="3"/>
      <c r="FE737" s="3"/>
      <c r="FF737" s="3"/>
      <c r="FG737" s="3"/>
      <c r="FH737" s="3"/>
      <c r="FI737" s="3"/>
      <c r="FJ737" s="3"/>
      <c r="FK737" s="3"/>
      <c r="FL737" s="3"/>
      <c r="FM737" s="3"/>
      <c r="FN737" s="3"/>
      <c r="FO737" s="3"/>
      <c r="FP737" s="3"/>
      <c r="FQ737" s="3"/>
      <c r="FR737" s="3"/>
      <c r="FS737" s="3"/>
      <c r="FT737" s="3"/>
      <c r="FU737" s="3"/>
      <c r="FV737" s="3"/>
      <c r="FW737" s="3"/>
      <c r="FX737" s="3"/>
      <c r="FY737" s="3"/>
    </row>
    <row r="738" spans="7:181" ht="15" x14ac:dyDescent="0.25">
      <c r="G738" s="2"/>
      <c r="H738" s="2"/>
      <c r="I738" s="2"/>
      <c r="J738" s="2"/>
      <c r="K738" s="2"/>
      <c r="L738" s="3"/>
      <c r="M738" s="3"/>
      <c r="N738" s="3"/>
      <c r="O738" s="3"/>
      <c r="P738" s="3"/>
      <c r="Q738" s="3"/>
      <c r="R738" s="3"/>
      <c r="S738" s="3"/>
      <c r="T738" s="3"/>
      <c r="U738" s="4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4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4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4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  <c r="DN738" s="3"/>
      <c r="DO738" s="3"/>
      <c r="DP738" s="3"/>
      <c r="DQ738" s="3"/>
      <c r="DR738" s="3"/>
      <c r="DS738" s="3"/>
      <c r="DT738" s="3"/>
      <c r="DU738" s="3"/>
      <c r="DV738" s="3"/>
      <c r="DW738" s="3"/>
      <c r="DX738" s="3"/>
      <c r="DY738" s="3"/>
      <c r="DZ738" s="3"/>
      <c r="EA738" s="3"/>
      <c r="EB738" s="3"/>
      <c r="EC738" s="3"/>
      <c r="ED738" s="3"/>
      <c r="EE738" s="3"/>
      <c r="EF738" s="3"/>
      <c r="EG738" s="3"/>
      <c r="EH738" s="3"/>
      <c r="EI738" s="3"/>
      <c r="EJ738" s="3"/>
      <c r="EK738" s="3"/>
      <c r="EL738" s="3"/>
      <c r="EM738" s="3"/>
      <c r="EN738" s="3"/>
      <c r="EO738" s="3"/>
      <c r="EP738" s="3"/>
      <c r="EQ738" s="3"/>
      <c r="ER738" s="3"/>
      <c r="ES738" s="3"/>
      <c r="ET738" s="3"/>
      <c r="EU738" s="3"/>
      <c r="EV738" s="3"/>
      <c r="EW738" s="3"/>
      <c r="EX738" s="3"/>
      <c r="EY738" s="3"/>
      <c r="EZ738" s="3"/>
      <c r="FA738" s="3"/>
      <c r="FB738" s="3"/>
      <c r="FC738" s="3"/>
      <c r="FD738" s="3"/>
      <c r="FE738" s="3"/>
      <c r="FF738" s="3"/>
      <c r="FG738" s="3"/>
      <c r="FH738" s="3"/>
      <c r="FI738" s="3"/>
      <c r="FJ738" s="3"/>
      <c r="FK738" s="3"/>
      <c r="FL738" s="3"/>
      <c r="FM738" s="3"/>
      <c r="FN738" s="3"/>
      <c r="FO738" s="3"/>
      <c r="FP738" s="3"/>
      <c r="FQ738" s="3"/>
      <c r="FR738" s="3"/>
      <c r="FS738" s="3"/>
      <c r="FT738" s="3"/>
      <c r="FU738" s="3"/>
      <c r="FV738" s="3"/>
      <c r="FW738" s="3"/>
      <c r="FX738" s="3"/>
      <c r="FY738" s="3"/>
    </row>
    <row r="739" spans="7:181" ht="15" x14ac:dyDescent="0.25">
      <c r="G739" s="2"/>
      <c r="H739" s="2"/>
      <c r="I739" s="2"/>
      <c r="J739" s="2"/>
      <c r="K739" s="2"/>
      <c r="L739" s="3"/>
      <c r="M739" s="3"/>
      <c r="N739" s="3"/>
      <c r="O739" s="3"/>
      <c r="P739" s="3"/>
      <c r="Q739" s="3"/>
      <c r="R739" s="3"/>
      <c r="S739" s="3"/>
      <c r="T739" s="3"/>
      <c r="U739" s="4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4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4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4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  <c r="DN739" s="3"/>
      <c r="DO739" s="3"/>
      <c r="DP739" s="3"/>
      <c r="DQ739" s="3"/>
      <c r="DR739" s="3"/>
      <c r="DS739" s="3"/>
      <c r="DT739" s="3"/>
      <c r="DU739" s="3"/>
      <c r="DV739" s="3"/>
      <c r="DW739" s="3"/>
      <c r="DX739" s="3"/>
      <c r="DY739" s="3"/>
      <c r="DZ739" s="3"/>
      <c r="EA739" s="3"/>
      <c r="EB739" s="3"/>
      <c r="EC739" s="3"/>
      <c r="ED739" s="3"/>
      <c r="EE739" s="3"/>
      <c r="EF739" s="3"/>
      <c r="EG739" s="3"/>
      <c r="EH739" s="3"/>
      <c r="EI739" s="3"/>
      <c r="EJ739" s="3"/>
      <c r="EK739" s="3"/>
      <c r="EL739" s="3"/>
      <c r="EM739" s="3"/>
      <c r="EN739" s="3"/>
      <c r="EO739" s="3"/>
      <c r="EP739" s="3"/>
      <c r="EQ739" s="3"/>
      <c r="ER739" s="3"/>
      <c r="ES739" s="3"/>
      <c r="ET739" s="3"/>
      <c r="EU739" s="3"/>
      <c r="EV739" s="3"/>
      <c r="EW739" s="3"/>
      <c r="EX739" s="3"/>
      <c r="EY739" s="3"/>
      <c r="EZ739" s="3"/>
      <c r="FA739" s="3"/>
      <c r="FB739" s="3"/>
      <c r="FC739" s="3"/>
      <c r="FD739" s="3"/>
      <c r="FE739" s="3"/>
      <c r="FF739" s="3"/>
      <c r="FG739" s="3"/>
      <c r="FH739" s="3"/>
      <c r="FI739" s="3"/>
      <c r="FJ739" s="3"/>
      <c r="FK739" s="3"/>
      <c r="FL739" s="3"/>
      <c r="FM739" s="3"/>
      <c r="FN739" s="3"/>
      <c r="FO739" s="3"/>
      <c r="FP739" s="3"/>
      <c r="FQ739" s="3"/>
      <c r="FR739" s="3"/>
      <c r="FS739" s="3"/>
      <c r="FT739" s="3"/>
      <c r="FU739" s="3"/>
      <c r="FV739" s="3"/>
      <c r="FW739" s="3"/>
      <c r="FX739" s="3"/>
      <c r="FY739" s="3"/>
    </row>
    <row r="740" spans="7:181" ht="15" x14ac:dyDescent="0.25">
      <c r="G740" s="2"/>
      <c r="H740" s="2"/>
      <c r="I740" s="2"/>
      <c r="J740" s="2"/>
      <c r="K740" s="2"/>
      <c r="L740" s="3"/>
      <c r="M740" s="3"/>
      <c r="N740" s="3"/>
      <c r="O740" s="3"/>
      <c r="P740" s="3"/>
      <c r="Q740" s="3"/>
      <c r="R740" s="3"/>
      <c r="S740" s="3"/>
      <c r="T740" s="3"/>
      <c r="U740" s="4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4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4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4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  <c r="DN740" s="3"/>
      <c r="DO740" s="3"/>
      <c r="DP740" s="3"/>
      <c r="DQ740" s="3"/>
      <c r="DR740" s="3"/>
      <c r="DS740" s="3"/>
      <c r="DT740" s="3"/>
      <c r="DU740" s="3"/>
      <c r="DV740" s="3"/>
      <c r="DW740" s="3"/>
      <c r="DX740" s="3"/>
      <c r="DY740" s="3"/>
      <c r="DZ740" s="3"/>
      <c r="EA740" s="3"/>
      <c r="EB740" s="3"/>
      <c r="EC740" s="3"/>
      <c r="ED740" s="3"/>
      <c r="EE740" s="3"/>
      <c r="EF740" s="3"/>
      <c r="EG740" s="3"/>
      <c r="EH740" s="3"/>
      <c r="EI740" s="3"/>
      <c r="EJ740" s="3"/>
      <c r="EK740" s="3"/>
      <c r="EL740" s="3"/>
      <c r="EM740" s="3"/>
      <c r="EN740" s="3"/>
      <c r="EO740" s="3"/>
      <c r="EP740" s="3"/>
      <c r="EQ740" s="3"/>
      <c r="ER740" s="3"/>
      <c r="ES740" s="3"/>
      <c r="ET740" s="3"/>
      <c r="EU740" s="3"/>
      <c r="EV740" s="3"/>
      <c r="EW740" s="3"/>
      <c r="EX740" s="3"/>
      <c r="EY740" s="3"/>
      <c r="EZ740" s="3"/>
      <c r="FA740" s="3"/>
      <c r="FB740" s="3"/>
      <c r="FC740" s="3"/>
      <c r="FD740" s="3"/>
      <c r="FE740" s="3"/>
      <c r="FF740" s="3"/>
      <c r="FG740" s="3"/>
      <c r="FH740" s="3"/>
      <c r="FI740" s="3"/>
      <c r="FJ740" s="3"/>
      <c r="FK740" s="3"/>
      <c r="FL740" s="3"/>
      <c r="FM740" s="3"/>
      <c r="FN740" s="3"/>
      <c r="FO740" s="3"/>
      <c r="FP740" s="3"/>
      <c r="FQ740" s="3"/>
      <c r="FR740" s="3"/>
      <c r="FS740" s="3"/>
      <c r="FT740" s="3"/>
      <c r="FU740" s="3"/>
      <c r="FV740" s="3"/>
      <c r="FW740" s="3"/>
      <c r="FX740" s="3"/>
      <c r="FY740" s="3"/>
    </row>
    <row r="741" spans="7:181" ht="15" x14ac:dyDescent="0.25">
      <c r="G741" s="2"/>
      <c r="H741" s="2"/>
      <c r="I741" s="2"/>
      <c r="J741" s="2"/>
      <c r="K741" s="2"/>
      <c r="L741" s="3"/>
      <c r="M741" s="3"/>
      <c r="N741" s="3"/>
      <c r="O741" s="3"/>
      <c r="P741" s="3"/>
      <c r="Q741" s="3"/>
      <c r="R741" s="3"/>
      <c r="S741" s="3"/>
      <c r="T741" s="3"/>
      <c r="U741" s="4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4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4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4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  <c r="DN741" s="3"/>
      <c r="DO741" s="3"/>
      <c r="DP741" s="3"/>
      <c r="DQ741" s="3"/>
      <c r="DR741" s="3"/>
      <c r="DS741" s="3"/>
      <c r="DT741" s="3"/>
      <c r="DU741" s="3"/>
      <c r="DV741" s="3"/>
      <c r="DW741" s="3"/>
      <c r="DX741" s="3"/>
      <c r="DY741" s="3"/>
      <c r="DZ741" s="3"/>
      <c r="EA741" s="3"/>
      <c r="EB741" s="3"/>
      <c r="EC741" s="3"/>
      <c r="ED741" s="3"/>
      <c r="EE741" s="3"/>
      <c r="EF741" s="3"/>
      <c r="EG741" s="3"/>
      <c r="EH741" s="3"/>
      <c r="EI741" s="3"/>
      <c r="EJ741" s="3"/>
      <c r="EK741" s="3"/>
      <c r="EL741" s="3"/>
      <c r="EM741" s="3"/>
      <c r="EN741" s="3"/>
      <c r="EO741" s="3"/>
      <c r="EP741" s="3"/>
      <c r="EQ741" s="3"/>
      <c r="ER741" s="3"/>
      <c r="ES741" s="3"/>
      <c r="ET741" s="3"/>
      <c r="EU741" s="3"/>
      <c r="EV741" s="3"/>
      <c r="EW741" s="3"/>
      <c r="EX741" s="3"/>
      <c r="EY741" s="3"/>
      <c r="EZ741" s="3"/>
      <c r="FA741" s="3"/>
      <c r="FB741" s="3"/>
      <c r="FC741" s="3"/>
      <c r="FD741" s="3"/>
      <c r="FE741" s="3"/>
      <c r="FF741" s="3"/>
      <c r="FG741" s="3"/>
      <c r="FH741" s="3"/>
      <c r="FI741" s="3"/>
      <c r="FJ741" s="3"/>
      <c r="FK741" s="3"/>
      <c r="FL741" s="3"/>
      <c r="FM741" s="3"/>
      <c r="FN741" s="3"/>
      <c r="FO741" s="3"/>
      <c r="FP741" s="3"/>
      <c r="FQ741" s="3"/>
      <c r="FR741" s="3"/>
      <c r="FS741" s="3"/>
      <c r="FT741" s="3"/>
      <c r="FU741" s="3"/>
      <c r="FV741" s="3"/>
      <c r="FW741" s="3"/>
      <c r="FX741" s="3"/>
      <c r="FY741" s="3"/>
    </row>
    <row r="742" spans="7:181" ht="15" x14ac:dyDescent="0.25">
      <c r="G742" s="2"/>
      <c r="H742" s="2"/>
      <c r="I742" s="2"/>
      <c r="J742" s="2"/>
      <c r="K742" s="2"/>
      <c r="L742" s="3"/>
      <c r="M742" s="3"/>
      <c r="N742" s="3"/>
      <c r="O742" s="3"/>
      <c r="P742" s="3"/>
      <c r="Q742" s="3"/>
      <c r="R742" s="3"/>
      <c r="S742" s="3"/>
      <c r="T742" s="3"/>
      <c r="U742" s="4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4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4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4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  <c r="DN742" s="3"/>
      <c r="DO742" s="3"/>
      <c r="DP742" s="3"/>
      <c r="DQ742" s="3"/>
      <c r="DR742" s="3"/>
      <c r="DS742" s="3"/>
      <c r="DT742" s="3"/>
      <c r="DU742" s="3"/>
      <c r="DV742" s="3"/>
      <c r="DW742" s="3"/>
      <c r="DX742" s="3"/>
      <c r="DY742" s="3"/>
      <c r="DZ742" s="3"/>
      <c r="EA742" s="3"/>
      <c r="EB742" s="3"/>
      <c r="EC742" s="3"/>
      <c r="ED742" s="3"/>
      <c r="EE742" s="3"/>
      <c r="EF742" s="3"/>
      <c r="EG742" s="3"/>
      <c r="EH742" s="3"/>
      <c r="EI742" s="3"/>
      <c r="EJ742" s="3"/>
      <c r="EK742" s="3"/>
      <c r="EL742" s="3"/>
      <c r="EM742" s="3"/>
      <c r="EN742" s="3"/>
      <c r="EO742" s="3"/>
      <c r="EP742" s="3"/>
      <c r="EQ742" s="3"/>
      <c r="ER742" s="3"/>
      <c r="ES742" s="3"/>
      <c r="ET742" s="3"/>
      <c r="EU742" s="3"/>
      <c r="EV742" s="3"/>
      <c r="EW742" s="3"/>
      <c r="EX742" s="3"/>
      <c r="EY742" s="3"/>
      <c r="EZ742" s="3"/>
      <c r="FA742" s="3"/>
      <c r="FB742" s="3"/>
      <c r="FC742" s="3"/>
      <c r="FD742" s="3"/>
      <c r="FE742" s="3"/>
      <c r="FF742" s="3"/>
      <c r="FG742" s="3"/>
      <c r="FH742" s="3"/>
      <c r="FI742" s="3"/>
      <c r="FJ742" s="3"/>
      <c r="FK742" s="3"/>
      <c r="FL742" s="3"/>
      <c r="FM742" s="3"/>
      <c r="FN742" s="3"/>
      <c r="FO742" s="3"/>
      <c r="FP742" s="3"/>
      <c r="FQ742" s="3"/>
      <c r="FR742" s="3"/>
      <c r="FS742" s="3"/>
      <c r="FT742" s="3"/>
      <c r="FU742" s="3"/>
      <c r="FV742" s="3"/>
      <c r="FW742" s="3"/>
      <c r="FX742" s="3"/>
      <c r="FY742" s="3"/>
    </row>
    <row r="743" spans="7:181" ht="15" x14ac:dyDescent="0.25">
      <c r="G743" s="2"/>
      <c r="H743" s="2"/>
      <c r="I743" s="2"/>
      <c r="J743" s="2"/>
      <c r="K743" s="2"/>
      <c r="L743" s="3"/>
      <c r="M743" s="3"/>
      <c r="N743" s="3"/>
      <c r="O743" s="3"/>
      <c r="P743" s="3"/>
      <c r="Q743" s="3"/>
      <c r="R743" s="3"/>
      <c r="S743" s="3"/>
      <c r="T743" s="3"/>
      <c r="U743" s="4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4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4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4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  <c r="DN743" s="3"/>
      <c r="DO743" s="3"/>
      <c r="DP743" s="3"/>
      <c r="DQ743" s="3"/>
      <c r="DR743" s="3"/>
      <c r="DS743" s="3"/>
      <c r="DT743" s="3"/>
      <c r="DU743" s="3"/>
      <c r="DV743" s="3"/>
      <c r="DW743" s="3"/>
      <c r="DX743" s="3"/>
      <c r="DY743" s="3"/>
      <c r="DZ743" s="3"/>
      <c r="EA743" s="3"/>
      <c r="EB743" s="3"/>
      <c r="EC743" s="3"/>
      <c r="ED743" s="3"/>
      <c r="EE743" s="3"/>
      <c r="EF743" s="3"/>
      <c r="EG743" s="3"/>
      <c r="EH743" s="3"/>
      <c r="EI743" s="3"/>
      <c r="EJ743" s="3"/>
      <c r="EK743" s="3"/>
      <c r="EL743" s="3"/>
      <c r="EM743" s="3"/>
      <c r="EN743" s="3"/>
      <c r="EO743" s="3"/>
      <c r="EP743" s="3"/>
      <c r="EQ743" s="3"/>
      <c r="ER743" s="3"/>
      <c r="ES743" s="3"/>
      <c r="ET743" s="3"/>
      <c r="EU743" s="3"/>
      <c r="EV743" s="3"/>
      <c r="EW743" s="3"/>
      <c r="EX743" s="3"/>
      <c r="EY743" s="3"/>
      <c r="EZ743" s="3"/>
      <c r="FA743" s="3"/>
      <c r="FB743" s="3"/>
      <c r="FC743" s="3"/>
      <c r="FD743" s="3"/>
      <c r="FE743" s="3"/>
      <c r="FF743" s="3"/>
      <c r="FG743" s="3"/>
      <c r="FH743" s="3"/>
      <c r="FI743" s="3"/>
      <c r="FJ743" s="3"/>
      <c r="FK743" s="3"/>
      <c r="FL743" s="3"/>
      <c r="FM743" s="3"/>
      <c r="FN743" s="3"/>
      <c r="FO743" s="3"/>
      <c r="FP743" s="3"/>
      <c r="FQ743" s="3"/>
      <c r="FR743" s="3"/>
      <c r="FS743" s="3"/>
      <c r="FT743" s="3"/>
      <c r="FU743" s="3"/>
      <c r="FV743" s="3"/>
      <c r="FW743" s="3"/>
      <c r="FX743" s="3"/>
      <c r="FY743" s="3"/>
    </row>
    <row r="744" spans="7:181" ht="15" x14ac:dyDescent="0.25">
      <c r="G744" s="2"/>
      <c r="H744" s="2"/>
      <c r="I744" s="2"/>
      <c r="J744" s="2"/>
      <c r="K744" s="2"/>
      <c r="L744" s="3"/>
      <c r="M744" s="3"/>
      <c r="N744" s="3"/>
      <c r="O744" s="3"/>
      <c r="P744" s="3"/>
      <c r="Q744" s="3"/>
      <c r="R744" s="3"/>
      <c r="S744" s="3"/>
      <c r="T744" s="3"/>
      <c r="U744" s="4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4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4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4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  <c r="DN744" s="3"/>
      <c r="DO744" s="3"/>
      <c r="DP744" s="3"/>
      <c r="DQ744" s="3"/>
      <c r="DR744" s="3"/>
      <c r="DS744" s="3"/>
      <c r="DT744" s="3"/>
      <c r="DU744" s="3"/>
      <c r="DV744" s="3"/>
      <c r="DW744" s="3"/>
      <c r="DX744" s="3"/>
      <c r="DY744" s="3"/>
      <c r="DZ744" s="3"/>
      <c r="EA744" s="3"/>
      <c r="EB744" s="3"/>
      <c r="EC744" s="3"/>
      <c r="ED744" s="3"/>
      <c r="EE744" s="3"/>
      <c r="EF744" s="3"/>
      <c r="EG744" s="3"/>
      <c r="EH744" s="3"/>
      <c r="EI744" s="3"/>
      <c r="EJ744" s="3"/>
      <c r="EK744" s="3"/>
      <c r="EL744" s="3"/>
      <c r="EM744" s="3"/>
      <c r="EN744" s="3"/>
      <c r="EO744" s="3"/>
      <c r="EP744" s="3"/>
      <c r="EQ744" s="3"/>
      <c r="ER744" s="3"/>
      <c r="ES744" s="3"/>
      <c r="ET744" s="3"/>
      <c r="EU744" s="3"/>
      <c r="EV744" s="3"/>
      <c r="EW744" s="3"/>
      <c r="EX744" s="3"/>
      <c r="EY744" s="3"/>
      <c r="EZ744" s="3"/>
      <c r="FA744" s="3"/>
      <c r="FB744" s="3"/>
      <c r="FC744" s="3"/>
      <c r="FD744" s="3"/>
      <c r="FE744" s="3"/>
      <c r="FF744" s="3"/>
      <c r="FG744" s="3"/>
      <c r="FH744" s="3"/>
      <c r="FI744" s="3"/>
      <c r="FJ744" s="3"/>
      <c r="FK744" s="3"/>
      <c r="FL744" s="3"/>
      <c r="FM744" s="3"/>
      <c r="FN744" s="3"/>
      <c r="FO744" s="3"/>
      <c r="FP744" s="3"/>
      <c r="FQ744" s="3"/>
      <c r="FR744" s="3"/>
      <c r="FS744" s="3"/>
      <c r="FT744" s="3"/>
      <c r="FU744" s="3"/>
      <c r="FV744" s="3"/>
      <c r="FW744" s="3"/>
      <c r="FX744" s="3"/>
      <c r="FY744" s="3"/>
    </row>
    <row r="745" spans="7:181" ht="15" x14ac:dyDescent="0.25">
      <c r="G745" s="2"/>
      <c r="H745" s="2"/>
      <c r="I745" s="2"/>
      <c r="J745" s="2"/>
      <c r="K745" s="2"/>
      <c r="L745" s="3"/>
      <c r="M745" s="3"/>
      <c r="N745" s="3"/>
      <c r="O745" s="3"/>
      <c r="P745" s="3"/>
      <c r="Q745" s="3"/>
      <c r="R745" s="3"/>
      <c r="S745" s="3"/>
      <c r="T745" s="3"/>
      <c r="U745" s="4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4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4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4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  <c r="DN745" s="3"/>
      <c r="DO745" s="3"/>
      <c r="DP745" s="3"/>
      <c r="DQ745" s="3"/>
      <c r="DR745" s="3"/>
      <c r="DS745" s="3"/>
      <c r="DT745" s="3"/>
      <c r="DU745" s="3"/>
      <c r="DV745" s="3"/>
      <c r="DW745" s="3"/>
      <c r="DX745" s="3"/>
      <c r="DY745" s="3"/>
      <c r="DZ745" s="3"/>
      <c r="EA745" s="3"/>
      <c r="EB745" s="3"/>
      <c r="EC745" s="3"/>
      <c r="ED745" s="3"/>
      <c r="EE745" s="3"/>
      <c r="EF745" s="3"/>
      <c r="EG745" s="3"/>
      <c r="EH745" s="3"/>
      <c r="EI745" s="3"/>
      <c r="EJ745" s="3"/>
      <c r="EK745" s="3"/>
      <c r="EL745" s="3"/>
      <c r="EM745" s="3"/>
      <c r="EN745" s="3"/>
      <c r="EO745" s="3"/>
      <c r="EP745" s="3"/>
      <c r="EQ745" s="3"/>
      <c r="ER745" s="3"/>
      <c r="ES745" s="3"/>
      <c r="ET745" s="3"/>
      <c r="EU745" s="3"/>
      <c r="EV745" s="3"/>
      <c r="EW745" s="3"/>
      <c r="EX745" s="3"/>
      <c r="EY745" s="3"/>
      <c r="EZ745" s="3"/>
      <c r="FA745" s="3"/>
      <c r="FB745" s="3"/>
      <c r="FC745" s="3"/>
      <c r="FD745" s="3"/>
      <c r="FE745" s="3"/>
      <c r="FF745" s="3"/>
      <c r="FG745" s="3"/>
      <c r="FH745" s="3"/>
      <c r="FI745" s="3"/>
      <c r="FJ745" s="3"/>
      <c r="FK745" s="3"/>
      <c r="FL745" s="3"/>
      <c r="FM745" s="3"/>
      <c r="FN745" s="3"/>
      <c r="FO745" s="3"/>
      <c r="FP745" s="3"/>
      <c r="FQ745" s="3"/>
      <c r="FR745" s="3"/>
      <c r="FS745" s="3"/>
      <c r="FT745" s="3"/>
      <c r="FU745" s="3"/>
      <c r="FV745" s="3"/>
      <c r="FW745" s="3"/>
      <c r="FX745" s="3"/>
      <c r="FY745" s="3"/>
    </row>
    <row r="746" spans="7:181" ht="15" x14ac:dyDescent="0.25">
      <c r="G746" s="2"/>
      <c r="H746" s="2"/>
      <c r="I746" s="2"/>
      <c r="J746" s="2"/>
      <c r="K746" s="2"/>
      <c r="L746" s="3"/>
      <c r="M746" s="3"/>
      <c r="N746" s="3"/>
      <c r="O746" s="3"/>
      <c r="P746" s="3"/>
      <c r="Q746" s="3"/>
      <c r="R746" s="3"/>
      <c r="S746" s="3"/>
      <c r="T746" s="3"/>
      <c r="U746" s="4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4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4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4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  <c r="DN746" s="3"/>
      <c r="DO746" s="3"/>
      <c r="DP746" s="3"/>
      <c r="DQ746" s="3"/>
      <c r="DR746" s="3"/>
      <c r="DS746" s="3"/>
      <c r="DT746" s="3"/>
      <c r="DU746" s="3"/>
      <c r="DV746" s="3"/>
      <c r="DW746" s="3"/>
      <c r="DX746" s="3"/>
      <c r="DY746" s="3"/>
      <c r="DZ746" s="3"/>
      <c r="EA746" s="3"/>
      <c r="EB746" s="3"/>
      <c r="EC746" s="3"/>
      <c r="ED746" s="3"/>
      <c r="EE746" s="3"/>
      <c r="EF746" s="3"/>
      <c r="EG746" s="3"/>
      <c r="EH746" s="3"/>
      <c r="EI746" s="3"/>
      <c r="EJ746" s="3"/>
      <c r="EK746" s="3"/>
      <c r="EL746" s="3"/>
      <c r="EM746" s="3"/>
      <c r="EN746" s="3"/>
      <c r="EO746" s="3"/>
      <c r="EP746" s="3"/>
      <c r="EQ746" s="3"/>
      <c r="ER746" s="3"/>
      <c r="ES746" s="3"/>
      <c r="ET746" s="3"/>
      <c r="EU746" s="3"/>
      <c r="EV746" s="3"/>
      <c r="EW746" s="3"/>
      <c r="EX746" s="3"/>
      <c r="EY746" s="3"/>
      <c r="EZ746" s="3"/>
      <c r="FA746" s="3"/>
      <c r="FB746" s="3"/>
      <c r="FC746" s="3"/>
      <c r="FD746" s="3"/>
      <c r="FE746" s="3"/>
      <c r="FF746" s="3"/>
      <c r="FG746" s="3"/>
      <c r="FH746" s="3"/>
      <c r="FI746" s="3"/>
      <c r="FJ746" s="3"/>
      <c r="FK746" s="3"/>
      <c r="FL746" s="3"/>
      <c r="FM746" s="3"/>
      <c r="FN746" s="3"/>
      <c r="FO746" s="3"/>
      <c r="FP746" s="3"/>
      <c r="FQ746" s="3"/>
      <c r="FR746" s="3"/>
      <c r="FS746" s="3"/>
      <c r="FT746" s="3"/>
      <c r="FU746" s="3"/>
      <c r="FV746" s="3"/>
      <c r="FW746" s="3"/>
      <c r="FX746" s="3"/>
      <c r="FY746" s="3"/>
    </row>
    <row r="747" spans="7:181" ht="15" x14ac:dyDescent="0.25">
      <c r="G747" s="2"/>
      <c r="H747" s="2"/>
      <c r="I747" s="2"/>
      <c r="J747" s="2"/>
      <c r="K747" s="2"/>
      <c r="L747" s="3"/>
      <c r="M747" s="3"/>
      <c r="N747" s="3"/>
      <c r="O747" s="3"/>
      <c r="P747" s="3"/>
      <c r="Q747" s="3"/>
      <c r="R747" s="3"/>
      <c r="S747" s="3"/>
      <c r="T747" s="3"/>
      <c r="U747" s="4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4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4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4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  <c r="DN747" s="3"/>
      <c r="DO747" s="3"/>
      <c r="DP747" s="3"/>
      <c r="DQ747" s="3"/>
      <c r="DR747" s="3"/>
      <c r="DS747" s="3"/>
      <c r="DT747" s="3"/>
      <c r="DU747" s="3"/>
      <c r="DV747" s="3"/>
      <c r="DW747" s="3"/>
      <c r="DX747" s="3"/>
      <c r="DY747" s="3"/>
      <c r="DZ747" s="3"/>
      <c r="EA747" s="3"/>
      <c r="EB747" s="3"/>
      <c r="EC747" s="3"/>
      <c r="ED747" s="3"/>
      <c r="EE747" s="3"/>
      <c r="EF747" s="3"/>
      <c r="EG747" s="3"/>
      <c r="EH747" s="3"/>
      <c r="EI747" s="3"/>
      <c r="EJ747" s="3"/>
      <c r="EK747" s="3"/>
      <c r="EL747" s="3"/>
      <c r="EM747" s="3"/>
      <c r="EN747" s="3"/>
      <c r="EO747" s="3"/>
      <c r="EP747" s="3"/>
      <c r="EQ747" s="3"/>
      <c r="ER747" s="3"/>
      <c r="ES747" s="3"/>
      <c r="ET747" s="3"/>
      <c r="EU747" s="3"/>
      <c r="EV747" s="3"/>
      <c r="EW747" s="3"/>
      <c r="EX747" s="3"/>
      <c r="EY747" s="3"/>
      <c r="EZ747" s="3"/>
      <c r="FA747" s="3"/>
      <c r="FB747" s="3"/>
      <c r="FC747" s="3"/>
      <c r="FD747" s="3"/>
      <c r="FE747" s="3"/>
      <c r="FF747" s="3"/>
      <c r="FG747" s="3"/>
      <c r="FH747" s="3"/>
      <c r="FI747" s="3"/>
      <c r="FJ747" s="3"/>
      <c r="FK747" s="3"/>
      <c r="FL747" s="3"/>
      <c r="FM747" s="3"/>
      <c r="FN747" s="3"/>
      <c r="FO747" s="3"/>
      <c r="FP747" s="3"/>
      <c r="FQ747" s="3"/>
      <c r="FR747" s="3"/>
      <c r="FS747" s="3"/>
      <c r="FT747" s="3"/>
      <c r="FU747" s="3"/>
      <c r="FV747" s="3"/>
      <c r="FW747" s="3"/>
      <c r="FX747" s="3"/>
      <c r="FY747" s="3"/>
    </row>
    <row r="748" spans="7:181" ht="15" x14ac:dyDescent="0.25">
      <c r="G748" s="2"/>
      <c r="H748" s="2"/>
      <c r="I748" s="2"/>
      <c r="J748" s="2"/>
      <c r="K748" s="2"/>
      <c r="L748" s="3"/>
      <c r="M748" s="3"/>
      <c r="N748" s="3"/>
      <c r="O748" s="3"/>
      <c r="P748" s="3"/>
      <c r="Q748" s="3"/>
      <c r="R748" s="3"/>
      <c r="S748" s="3"/>
      <c r="T748" s="3"/>
      <c r="U748" s="4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4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4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4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/>
      <c r="DY748" s="3"/>
      <c r="DZ748" s="3"/>
      <c r="EA748" s="3"/>
      <c r="EB748" s="3"/>
      <c r="EC748" s="3"/>
      <c r="ED748" s="3"/>
      <c r="EE748" s="3"/>
      <c r="EF748" s="3"/>
      <c r="EG748" s="3"/>
      <c r="EH748" s="3"/>
      <c r="EI748" s="3"/>
      <c r="EJ748" s="3"/>
      <c r="EK748" s="3"/>
      <c r="EL748" s="3"/>
      <c r="EM748" s="3"/>
      <c r="EN748" s="3"/>
      <c r="EO748" s="3"/>
      <c r="EP748" s="3"/>
      <c r="EQ748" s="3"/>
      <c r="ER748" s="3"/>
      <c r="ES748" s="3"/>
      <c r="ET748" s="3"/>
      <c r="EU748" s="3"/>
      <c r="EV748" s="3"/>
      <c r="EW748" s="3"/>
      <c r="EX748" s="3"/>
      <c r="EY748" s="3"/>
      <c r="EZ748" s="3"/>
      <c r="FA748" s="3"/>
      <c r="FB748" s="3"/>
      <c r="FC748" s="3"/>
      <c r="FD748" s="3"/>
      <c r="FE748" s="3"/>
      <c r="FF748" s="3"/>
      <c r="FG748" s="3"/>
      <c r="FH748" s="3"/>
      <c r="FI748" s="3"/>
      <c r="FJ748" s="3"/>
      <c r="FK748" s="3"/>
      <c r="FL748" s="3"/>
      <c r="FM748" s="3"/>
      <c r="FN748" s="3"/>
      <c r="FO748" s="3"/>
      <c r="FP748" s="3"/>
      <c r="FQ748" s="3"/>
      <c r="FR748" s="3"/>
      <c r="FS748" s="3"/>
      <c r="FT748" s="3"/>
      <c r="FU748" s="3"/>
      <c r="FV748" s="3"/>
      <c r="FW748" s="3"/>
      <c r="FX748" s="3"/>
      <c r="FY748" s="3"/>
    </row>
    <row r="749" spans="7:181" ht="15" x14ac:dyDescent="0.25">
      <c r="G749" s="2"/>
      <c r="H749" s="2"/>
      <c r="I749" s="2"/>
      <c r="J749" s="2"/>
      <c r="K749" s="2"/>
      <c r="L749" s="3"/>
      <c r="M749" s="3"/>
      <c r="N749" s="3"/>
      <c r="O749" s="3"/>
      <c r="P749" s="3"/>
      <c r="Q749" s="3"/>
      <c r="R749" s="3"/>
      <c r="S749" s="3"/>
      <c r="T749" s="3"/>
      <c r="U749" s="4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4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4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4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/>
      <c r="DY749" s="3"/>
      <c r="DZ749" s="3"/>
      <c r="EA749" s="3"/>
      <c r="EB749" s="3"/>
      <c r="EC749" s="3"/>
      <c r="ED749" s="3"/>
      <c r="EE749" s="3"/>
      <c r="EF749" s="3"/>
      <c r="EG749" s="3"/>
      <c r="EH749" s="3"/>
      <c r="EI749" s="3"/>
      <c r="EJ749" s="3"/>
      <c r="EK749" s="3"/>
      <c r="EL749" s="3"/>
      <c r="EM749" s="3"/>
      <c r="EN749" s="3"/>
      <c r="EO749" s="3"/>
      <c r="EP749" s="3"/>
      <c r="EQ749" s="3"/>
      <c r="ER749" s="3"/>
      <c r="ES749" s="3"/>
      <c r="ET749" s="3"/>
      <c r="EU749" s="3"/>
      <c r="EV749" s="3"/>
      <c r="EW749" s="3"/>
      <c r="EX749" s="3"/>
      <c r="EY749" s="3"/>
      <c r="EZ749" s="3"/>
      <c r="FA749" s="3"/>
      <c r="FB749" s="3"/>
      <c r="FC749" s="3"/>
      <c r="FD749" s="3"/>
      <c r="FE749" s="3"/>
      <c r="FF749" s="3"/>
      <c r="FG749" s="3"/>
      <c r="FH749" s="3"/>
      <c r="FI749" s="3"/>
      <c r="FJ749" s="3"/>
      <c r="FK749" s="3"/>
      <c r="FL749" s="3"/>
      <c r="FM749" s="3"/>
      <c r="FN749" s="3"/>
      <c r="FO749" s="3"/>
      <c r="FP749" s="3"/>
      <c r="FQ749" s="3"/>
      <c r="FR749" s="3"/>
      <c r="FS749" s="3"/>
      <c r="FT749" s="3"/>
      <c r="FU749" s="3"/>
      <c r="FV749" s="3"/>
      <c r="FW749" s="3"/>
      <c r="FX749" s="3"/>
      <c r="FY749" s="3"/>
    </row>
    <row r="750" spans="7:181" ht="15" x14ac:dyDescent="0.25">
      <c r="G750" s="2"/>
      <c r="H750" s="2"/>
      <c r="I750" s="2"/>
      <c r="J750" s="2"/>
      <c r="K750" s="2"/>
      <c r="L750" s="3"/>
      <c r="M750" s="3"/>
      <c r="N750" s="3"/>
      <c r="O750" s="3"/>
      <c r="P750" s="3"/>
      <c r="Q750" s="3"/>
      <c r="R750" s="3"/>
      <c r="S750" s="3"/>
      <c r="T750" s="3"/>
      <c r="U750" s="4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4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4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4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  <c r="DN750" s="3"/>
      <c r="DO750" s="3"/>
      <c r="DP750" s="3"/>
      <c r="DQ750" s="3"/>
      <c r="DR750" s="3"/>
      <c r="DS750" s="3"/>
      <c r="DT750" s="3"/>
      <c r="DU750" s="3"/>
      <c r="DV750" s="3"/>
      <c r="DW750" s="3"/>
      <c r="DX750" s="3"/>
      <c r="DY750" s="3"/>
      <c r="DZ750" s="3"/>
      <c r="EA750" s="3"/>
      <c r="EB750" s="3"/>
      <c r="EC750" s="3"/>
      <c r="ED750" s="3"/>
      <c r="EE750" s="3"/>
      <c r="EF750" s="3"/>
      <c r="EG750" s="3"/>
      <c r="EH750" s="3"/>
      <c r="EI750" s="3"/>
      <c r="EJ750" s="3"/>
      <c r="EK750" s="3"/>
      <c r="EL750" s="3"/>
      <c r="EM750" s="3"/>
      <c r="EN750" s="3"/>
      <c r="EO750" s="3"/>
      <c r="EP750" s="3"/>
      <c r="EQ750" s="3"/>
      <c r="ER750" s="3"/>
      <c r="ES750" s="3"/>
      <c r="ET750" s="3"/>
      <c r="EU750" s="3"/>
      <c r="EV750" s="3"/>
      <c r="EW750" s="3"/>
      <c r="EX750" s="3"/>
      <c r="EY750" s="3"/>
      <c r="EZ750" s="3"/>
      <c r="FA750" s="3"/>
      <c r="FB750" s="3"/>
      <c r="FC750" s="3"/>
      <c r="FD750" s="3"/>
      <c r="FE750" s="3"/>
      <c r="FF750" s="3"/>
      <c r="FG750" s="3"/>
      <c r="FH750" s="3"/>
      <c r="FI750" s="3"/>
      <c r="FJ750" s="3"/>
      <c r="FK750" s="3"/>
      <c r="FL750" s="3"/>
      <c r="FM750" s="3"/>
      <c r="FN750" s="3"/>
      <c r="FO750" s="3"/>
      <c r="FP750" s="3"/>
      <c r="FQ750" s="3"/>
      <c r="FR750" s="3"/>
      <c r="FS750" s="3"/>
      <c r="FT750" s="3"/>
      <c r="FU750" s="3"/>
      <c r="FV750" s="3"/>
      <c r="FW750" s="3"/>
      <c r="FX750" s="3"/>
      <c r="FY750" s="3"/>
    </row>
    <row r="751" spans="7:181" ht="15" x14ac:dyDescent="0.25">
      <c r="G751" s="2"/>
      <c r="H751" s="2"/>
      <c r="I751" s="2"/>
      <c r="J751" s="2"/>
      <c r="K751" s="2"/>
      <c r="L751" s="3"/>
      <c r="M751" s="3"/>
      <c r="N751" s="3"/>
      <c r="O751" s="3"/>
      <c r="P751" s="3"/>
      <c r="Q751" s="3"/>
      <c r="R751" s="3"/>
      <c r="S751" s="3"/>
      <c r="T751" s="3"/>
      <c r="U751" s="4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4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4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4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  <c r="DN751" s="3"/>
      <c r="DO751" s="3"/>
      <c r="DP751" s="3"/>
      <c r="DQ751" s="3"/>
      <c r="DR751" s="3"/>
      <c r="DS751" s="3"/>
      <c r="DT751" s="3"/>
      <c r="DU751" s="3"/>
      <c r="DV751" s="3"/>
      <c r="DW751" s="3"/>
      <c r="DX751" s="3"/>
      <c r="DY751" s="3"/>
      <c r="DZ751" s="3"/>
      <c r="EA751" s="3"/>
      <c r="EB751" s="3"/>
      <c r="EC751" s="3"/>
      <c r="ED751" s="3"/>
      <c r="EE751" s="3"/>
      <c r="EF751" s="3"/>
      <c r="EG751" s="3"/>
      <c r="EH751" s="3"/>
      <c r="EI751" s="3"/>
      <c r="EJ751" s="3"/>
      <c r="EK751" s="3"/>
      <c r="EL751" s="3"/>
      <c r="EM751" s="3"/>
      <c r="EN751" s="3"/>
      <c r="EO751" s="3"/>
      <c r="EP751" s="3"/>
      <c r="EQ751" s="3"/>
      <c r="ER751" s="3"/>
      <c r="ES751" s="3"/>
      <c r="ET751" s="3"/>
      <c r="EU751" s="3"/>
      <c r="EV751" s="3"/>
      <c r="EW751" s="3"/>
      <c r="EX751" s="3"/>
      <c r="EY751" s="3"/>
      <c r="EZ751" s="3"/>
      <c r="FA751" s="3"/>
      <c r="FB751" s="3"/>
      <c r="FC751" s="3"/>
      <c r="FD751" s="3"/>
      <c r="FE751" s="3"/>
      <c r="FF751" s="3"/>
      <c r="FG751" s="3"/>
      <c r="FH751" s="3"/>
      <c r="FI751" s="3"/>
      <c r="FJ751" s="3"/>
      <c r="FK751" s="3"/>
      <c r="FL751" s="3"/>
      <c r="FM751" s="3"/>
      <c r="FN751" s="3"/>
      <c r="FO751" s="3"/>
      <c r="FP751" s="3"/>
      <c r="FQ751" s="3"/>
      <c r="FR751" s="3"/>
      <c r="FS751" s="3"/>
      <c r="FT751" s="3"/>
      <c r="FU751" s="3"/>
      <c r="FV751" s="3"/>
      <c r="FW751" s="3"/>
      <c r="FX751" s="3"/>
      <c r="FY751" s="3"/>
    </row>
    <row r="752" spans="7:181" ht="15" x14ac:dyDescent="0.25">
      <c r="G752" s="2"/>
      <c r="H752" s="2"/>
      <c r="I752" s="2"/>
      <c r="J752" s="2"/>
      <c r="K752" s="2"/>
      <c r="L752" s="3"/>
      <c r="M752" s="3"/>
      <c r="N752" s="3"/>
      <c r="O752" s="3"/>
      <c r="P752" s="3"/>
      <c r="Q752" s="3"/>
      <c r="R752" s="3"/>
      <c r="S752" s="3"/>
      <c r="T752" s="3"/>
      <c r="U752" s="4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4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4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4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  <c r="DN752" s="3"/>
      <c r="DO752" s="3"/>
      <c r="DP752" s="3"/>
      <c r="DQ752" s="3"/>
      <c r="DR752" s="3"/>
      <c r="DS752" s="3"/>
      <c r="DT752" s="3"/>
      <c r="DU752" s="3"/>
      <c r="DV752" s="3"/>
      <c r="DW752" s="3"/>
      <c r="DX752" s="3"/>
      <c r="DY752" s="3"/>
      <c r="DZ752" s="3"/>
      <c r="EA752" s="3"/>
      <c r="EB752" s="3"/>
      <c r="EC752" s="3"/>
      <c r="ED752" s="3"/>
      <c r="EE752" s="3"/>
      <c r="EF752" s="3"/>
      <c r="EG752" s="3"/>
      <c r="EH752" s="3"/>
      <c r="EI752" s="3"/>
      <c r="EJ752" s="3"/>
      <c r="EK752" s="3"/>
      <c r="EL752" s="3"/>
      <c r="EM752" s="3"/>
      <c r="EN752" s="3"/>
      <c r="EO752" s="3"/>
      <c r="EP752" s="3"/>
      <c r="EQ752" s="3"/>
      <c r="ER752" s="3"/>
      <c r="ES752" s="3"/>
      <c r="ET752" s="3"/>
      <c r="EU752" s="3"/>
      <c r="EV752" s="3"/>
      <c r="EW752" s="3"/>
      <c r="EX752" s="3"/>
      <c r="EY752" s="3"/>
      <c r="EZ752" s="3"/>
      <c r="FA752" s="3"/>
      <c r="FB752" s="3"/>
      <c r="FC752" s="3"/>
      <c r="FD752" s="3"/>
      <c r="FE752" s="3"/>
      <c r="FF752" s="3"/>
      <c r="FG752" s="3"/>
      <c r="FH752" s="3"/>
      <c r="FI752" s="3"/>
      <c r="FJ752" s="3"/>
      <c r="FK752" s="3"/>
      <c r="FL752" s="3"/>
      <c r="FM752" s="3"/>
      <c r="FN752" s="3"/>
      <c r="FO752" s="3"/>
      <c r="FP752" s="3"/>
      <c r="FQ752" s="3"/>
      <c r="FR752" s="3"/>
      <c r="FS752" s="3"/>
      <c r="FT752" s="3"/>
      <c r="FU752" s="3"/>
      <c r="FV752" s="3"/>
      <c r="FW752" s="3"/>
      <c r="FX752" s="3"/>
      <c r="FY752" s="3"/>
    </row>
    <row r="753" spans="7:181" ht="15" x14ac:dyDescent="0.25">
      <c r="G753" s="2"/>
      <c r="H753" s="2"/>
      <c r="I753" s="2"/>
      <c r="J753" s="2"/>
      <c r="K753" s="2"/>
      <c r="L753" s="3"/>
      <c r="M753" s="3"/>
      <c r="N753" s="3"/>
      <c r="O753" s="3"/>
      <c r="P753" s="3"/>
      <c r="Q753" s="3"/>
      <c r="R753" s="3"/>
      <c r="S753" s="3"/>
      <c r="T753" s="3"/>
      <c r="U753" s="4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4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4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4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  <c r="DN753" s="3"/>
      <c r="DO753" s="3"/>
      <c r="DP753" s="3"/>
      <c r="DQ753" s="3"/>
      <c r="DR753" s="3"/>
      <c r="DS753" s="3"/>
      <c r="DT753" s="3"/>
      <c r="DU753" s="3"/>
      <c r="DV753" s="3"/>
      <c r="DW753" s="3"/>
      <c r="DX753" s="3"/>
      <c r="DY753" s="3"/>
      <c r="DZ753" s="3"/>
      <c r="EA753" s="3"/>
      <c r="EB753" s="3"/>
      <c r="EC753" s="3"/>
      <c r="ED753" s="3"/>
      <c r="EE753" s="3"/>
      <c r="EF753" s="3"/>
      <c r="EG753" s="3"/>
      <c r="EH753" s="3"/>
      <c r="EI753" s="3"/>
      <c r="EJ753" s="3"/>
      <c r="EK753" s="3"/>
      <c r="EL753" s="3"/>
      <c r="EM753" s="3"/>
      <c r="EN753" s="3"/>
      <c r="EO753" s="3"/>
      <c r="EP753" s="3"/>
      <c r="EQ753" s="3"/>
      <c r="ER753" s="3"/>
      <c r="ES753" s="3"/>
      <c r="ET753" s="3"/>
      <c r="EU753" s="3"/>
      <c r="EV753" s="3"/>
      <c r="EW753" s="3"/>
      <c r="EX753" s="3"/>
      <c r="EY753" s="3"/>
      <c r="EZ753" s="3"/>
      <c r="FA753" s="3"/>
      <c r="FB753" s="3"/>
      <c r="FC753" s="3"/>
      <c r="FD753" s="3"/>
      <c r="FE753" s="3"/>
      <c r="FF753" s="3"/>
      <c r="FG753" s="3"/>
      <c r="FH753" s="3"/>
      <c r="FI753" s="3"/>
      <c r="FJ753" s="3"/>
      <c r="FK753" s="3"/>
      <c r="FL753" s="3"/>
      <c r="FM753" s="3"/>
      <c r="FN753" s="3"/>
      <c r="FO753" s="3"/>
      <c r="FP753" s="3"/>
      <c r="FQ753" s="3"/>
      <c r="FR753" s="3"/>
      <c r="FS753" s="3"/>
      <c r="FT753" s="3"/>
      <c r="FU753" s="3"/>
      <c r="FV753" s="3"/>
      <c r="FW753" s="3"/>
      <c r="FX753" s="3"/>
      <c r="FY753" s="3"/>
    </row>
    <row r="754" spans="7:181" ht="15" x14ac:dyDescent="0.25">
      <c r="G754" s="2"/>
      <c r="H754" s="2"/>
      <c r="I754" s="2"/>
      <c r="J754" s="2"/>
      <c r="K754" s="2"/>
      <c r="L754" s="3"/>
      <c r="M754" s="3"/>
      <c r="N754" s="3"/>
      <c r="O754" s="3"/>
      <c r="P754" s="3"/>
      <c r="Q754" s="3"/>
      <c r="R754" s="3"/>
      <c r="S754" s="3"/>
      <c r="T754" s="3"/>
      <c r="U754" s="4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4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4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4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  <c r="BT754" s="3"/>
      <c r="BU754" s="3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  <c r="DI754" s="3"/>
      <c r="DJ754" s="3"/>
      <c r="DK754" s="3"/>
      <c r="DL754" s="3"/>
      <c r="DM754" s="3"/>
      <c r="DN754" s="3"/>
      <c r="DO754" s="3"/>
      <c r="DP754" s="3"/>
      <c r="DQ754" s="3"/>
      <c r="DR754" s="3"/>
      <c r="DS754" s="3"/>
      <c r="DT754" s="3"/>
      <c r="DU754" s="3"/>
      <c r="DV754" s="3"/>
      <c r="DW754" s="3"/>
      <c r="DX754" s="3"/>
      <c r="DY754" s="3"/>
      <c r="DZ754" s="3"/>
      <c r="EA754" s="3"/>
      <c r="EB754" s="3"/>
      <c r="EC754" s="3"/>
      <c r="ED754" s="3"/>
      <c r="EE754" s="3"/>
      <c r="EF754" s="3"/>
      <c r="EG754" s="3"/>
      <c r="EH754" s="3"/>
      <c r="EI754" s="3"/>
      <c r="EJ754" s="3"/>
      <c r="EK754" s="3"/>
      <c r="EL754" s="3"/>
      <c r="EM754" s="3"/>
      <c r="EN754" s="3"/>
      <c r="EO754" s="3"/>
      <c r="EP754" s="3"/>
      <c r="EQ754" s="3"/>
      <c r="ER754" s="3"/>
      <c r="ES754" s="3"/>
      <c r="ET754" s="3"/>
      <c r="EU754" s="3"/>
      <c r="EV754" s="3"/>
      <c r="EW754" s="3"/>
      <c r="EX754" s="3"/>
      <c r="EY754" s="3"/>
      <c r="EZ754" s="3"/>
      <c r="FA754" s="3"/>
      <c r="FB754" s="3"/>
      <c r="FC754" s="3"/>
      <c r="FD754" s="3"/>
      <c r="FE754" s="3"/>
      <c r="FF754" s="3"/>
      <c r="FG754" s="3"/>
      <c r="FH754" s="3"/>
      <c r="FI754" s="3"/>
      <c r="FJ754" s="3"/>
      <c r="FK754" s="3"/>
      <c r="FL754" s="3"/>
      <c r="FM754" s="3"/>
      <c r="FN754" s="3"/>
      <c r="FO754" s="3"/>
      <c r="FP754" s="3"/>
      <c r="FQ754" s="3"/>
      <c r="FR754" s="3"/>
      <c r="FS754" s="3"/>
      <c r="FT754" s="3"/>
      <c r="FU754" s="3"/>
      <c r="FV754" s="3"/>
      <c r="FW754" s="3"/>
      <c r="FX754" s="3"/>
      <c r="FY754" s="3"/>
    </row>
    <row r="755" spans="7:181" ht="15" x14ac:dyDescent="0.25">
      <c r="G755" s="2"/>
      <c r="H755" s="2"/>
      <c r="I755" s="2"/>
      <c r="J755" s="2"/>
      <c r="K755" s="2"/>
      <c r="L755" s="3"/>
      <c r="M755" s="3"/>
      <c r="N755" s="3"/>
      <c r="O755" s="3"/>
      <c r="P755" s="3"/>
      <c r="Q755" s="3"/>
      <c r="R755" s="3"/>
      <c r="S755" s="3"/>
      <c r="T755" s="3"/>
      <c r="U755" s="4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4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4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4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  <c r="BT755" s="3"/>
      <c r="BU755" s="3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  <c r="DI755" s="3"/>
      <c r="DJ755" s="3"/>
      <c r="DK755" s="3"/>
      <c r="DL755" s="3"/>
      <c r="DM755" s="3"/>
      <c r="DN755" s="3"/>
      <c r="DO755" s="3"/>
      <c r="DP755" s="3"/>
      <c r="DQ755" s="3"/>
      <c r="DR755" s="3"/>
      <c r="DS755" s="3"/>
      <c r="DT755" s="3"/>
      <c r="DU755" s="3"/>
      <c r="DV755" s="3"/>
      <c r="DW755" s="3"/>
      <c r="DX755" s="3"/>
      <c r="DY755" s="3"/>
      <c r="DZ755" s="3"/>
      <c r="EA755" s="3"/>
      <c r="EB755" s="3"/>
      <c r="EC755" s="3"/>
      <c r="ED755" s="3"/>
      <c r="EE755" s="3"/>
      <c r="EF755" s="3"/>
      <c r="EG755" s="3"/>
      <c r="EH755" s="3"/>
      <c r="EI755" s="3"/>
      <c r="EJ755" s="3"/>
      <c r="EK755" s="3"/>
      <c r="EL755" s="3"/>
      <c r="EM755" s="3"/>
      <c r="EN755" s="3"/>
      <c r="EO755" s="3"/>
      <c r="EP755" s="3"/>
      <c r="EQ755" s="3"/>
      <c r="ER755" s="3"/>
      <c r="ES755" s="3"/>
      <c r="ET755" s="3"/>
      <c r="EU755" s="3"/>
      <c r="EV755" s="3"/>
      <c r="EW755" s="3"/>
      <c r="EX755" s="3"/>
      <c r="EY755" s="3"/>
      <c r="EZ755" s="3"/>
      <c r="FA755" s="3"/>
      <c r="FB755" s="3"/>
      <c r="FC755" s="3"/>
      <c r="FD755" s="3"/>
      <c r="FE755" s="3"/>
      <c r="FF755" s="3"/>
      <c r="FG755" s="3"/>
      <c r="FH755" s="3"/>
      <c r="FI755" s="3"/>
      <c r="FJ755" s="3"/>
      <c r="FK755" s="3"/>
      <c r="FL755" s="3"/>
      <c r="FM755" s="3"/>
      <c r="FN755" s="3"/>
      <c r="FO755" s="3"/>
      <c r="FP755" s="3"/>
      <c r="FQ755" s="3"/>
      <c r="FR755" s="3"/>
      <c r="FS755" s="3"/>
      <c r="FT755" s="3"/>
      <c r="FU755" s="3"/>
      <c r="FV755" s="3"/>
      <c r="FW755" s="3"/>
      <c r="FX755" s="3"/>
      <c r="FY755" s="3"/>
    </row>
    <row r="756" spans="7:181" ht="15" x14ac:dyDescent="0.25">
      <c r="G756" s="2"/>
      <c r="H756" s="2"/>
      <c r="I756" s="2"/>
      <c r="J756" s="2"/>
      <c r="K756" s="2"/>
      <c r="L756" s="3"/>
      <c r="M756" s="3"/>
      <c r="N756" s="3"/>
      <c r="O756" s="3"/>
      <c r="P756" s="3"/>
      <c r="Q756" s="3"/>
      <c r="R756" s="3"/>
      <c r="S756" s="3"/>
      <c r="T756" s="3"/>
      <c r="U756" s="4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4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4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4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  <c r="DN756" s="3"/>
      <c r="DO756" s="3"/>
      <c r="DP756" s="3"/>
      <c r="DQ756" s="3"/>
      <c r="DR756" s="3"/>
      <c r="DS756" s="3"/>
      <c r="DT756" s="3"/>
      <c r="DU756" s="3"/>
      <c r="DV756" s="3"/>
      <c r="DW756" s="3"/>
      <c r="DX756" s="3"/>
      <c r="DY756" s="3"/>
      <c r="DZ756" s="3"/>
      <c r="EA756" s="3"/>
      <c r="EB756" s="3"/>
      <c r="EC756" s="3"/>
      <c r="ED756" s="3"/>
      <c r="EE756" s="3"/>
      <c r="EF756" s="3"/>
      <c r="EG756" s="3"/>
      <c r="EH756" s="3"/>
      <c r="EI756" s="3"/>
      <c r="EJ756" s="3"/>
      <c r="EK756" s="3"/>
      <c r="EL756" s="3"/>
      <c r="EM756" s="3"/>
      <c r="EN756" s="3"/>
      <c r="EO756" s="3"/>
      <c r="EP756" s="3"/>
      <c r="EQ756" s="3"/>
      <c r="ER756" s="3"/>
      <c r="ES756" s="3"/>
      <c r="ET756" s="3"/>
      <c r="EU756" s="3"/>
      <c r="EV756" s="3"/>
      <c r="EW756" s="3"/>
      <c r="EX756" s="3"/>
      <c r="EY756" s="3"/>
      <c r="EZ756" s="3"/>
      <c r="FA756" s="3"/>
      <c r="FB756" s="3"/>
      <c r="FC756" s="3"/>
      <c r="FD756" s="3"/>
      <c r="FE756" s="3"/>
      <c r="FF756" s="3"/>
      <c r="FG756" s="3"/>
      <c r="FH756" s="3"/>
      <c r="FI756" s="3"/>
      <c r="FJ756" s="3"/>
      <c r="FK756" s="3"/>
      <c r="FL756" s="3"/>
      <c r="FM756" s="3"/>
      <c r="FN756" s="3"/>
      <c r="FO756" s="3"/>
      <c r="FP756" s="3"/>
      <c r="FQ756" s="3"/>
      <c r="FR756" s="3"/>
      <c r="FS756" s="3"/>
      <c r="FT756" s="3"/>
      <c r="FU756" s="3"/>
      <c r="FV756" s="3"/>
      <c r="FW756" s="3"/>
      <c r="FX756" s="3"/>
      <c r="FY756" s="3"/>
    </row>
    <row r="757" spans="7:181" ht="15" x14ac:dyDescent="0.25">
      <c r="G757" s="2"/>
      <c r="H757" s="2"/>
      <c r="I757" s="2"/>
      <c r="J757" s="2"/>
      <c r="K757" s="2"/>
      <c r="L757" s="3"/>
      <c r="M757" s="3"/>
      <c r="N757" s="3"/>
      <c r="O757" s="3"/>
      <c r="P757" s="3"/>
      <c r="Q757" s="3"/>
      <c r="R757" s="3"/>
      <c r="S757" s="3"/>
      <c r="T757" s="3"/>
      <c r="U757" s="4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4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4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4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  <c r="DN757" s="3"/>
      <c r="DO757" s="3"/>
      <c r="DP757" s="3"/>
      <c r="DQ757" s="3"/>
      <c r="DR757" s="3"/>
      <c r="DS757" s="3"/>
      <c r="DT757" s="3"/>
      <c r="DU757" s="3"/>
      <c r="DV757" s="3"/>
      <c r="DW757" s="3"/>
      <c r="DX757" s="3"/>
      <c r="DY757" s="3"/>
      <c r="DZ757" s="3"/>
      <c r="EA757" s="3"/>
      <c r="EB757" s="3"/>
      <c r="EC757" s="3"/>
      <c r="ED757" s="3"/>
      <c r="EE757" s="3"/>
      <c r="EF757" s="3"/>
      <c r="EG757" s="3"/>
      <c r="EH757" s="3"/>
      <c r="EI757" s="3"/>
      <c r="EJ757" s="3"/>
      <c r="EK757" s="3"/>
      <c r="EL757" s="3"/>
      <c r="EM757" s="3"/>
      <c r="EN757" s="3"/>
      <c r="EO757" s="3"/>
      <c r="EP757" s="3"/>
      <c r="EQ757" s="3"/>
      <c r="ER757" s="3"/>
      <c r="ES757" s="3"/>
      <c r="ET757" s="3"/>
      <c r="EU757" s="3"/>
      <c r="EV757" s="3"/>
      <c r="EW757" s="3"/>
      <c r="EX757" s="3"/>
      <c r="EY757" s="3"/>
      <c r="EZ757" s="3"/>
      <c r="FA757" s="3"/>
      <c r="FB757" s="3"/>
      <c r="FC757" s="3"/>
      <c r="FD757" s="3"/>
      <c r="FE757" s="3"/>
      <c r="FF757" s="3"/>
      <c r="FG757" s="3"/>
      <c r="FH757" s="3"/>
      <c r="FI757" s="3"/>
      <c r="FJ757" s="3"/>
      <c r="FK757" s="3"/>
      <c r="FL757" s="3"/>
      <c r="FM757" s="3"/>
      <c r="FN757" s="3"/>
      <c r="FO757" s="3"/>
      <c r="FP757" s="3"/>
      <c r="FQ757" s="3"/>
      <c r="FR757" s="3"/>
      <c r="FS757" s="3"/>
      <c r="FT757" s="3"/>
      <c r="FU757" s="3"/>
      <c r="FV757" s="3"/>
      <c r="FW757" s="3"/>
      <c r="FX757" s="3"/>
      <c r="FY757" s="3"/>
    </row>
    <row r="758" spans="7:181" ht="15" x14ac:dyDescent="0.25">
      <c r="G758" s="2"/>
      <c r="H758" s="2"/>
      <c r="I758" s="2"/>
      <c r="J758" s="2"/>
      <c r="K758" s="2"/>
      <c r="L758" s="3"/>
      <c r="M758" s="3"/>
      <c r="N758" s="3"/>
      <c r="O758" s="3"/>
      <c r="P758" s="3"/>
      <c r="Q758" s="3"/>
      <c r="R758" s="3"/>
      <c r="S758" s="3"/>
      <c r="T758" s="3"/>
      <c r="U758" s="4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4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4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4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  <c r="DP758" s="3"/>
      <c r="DQ758" s="3"/>
      <c r="DR758" s="3"/>
      <c r="DS758" s="3"/>
      <c r="DT758" s="3"/>
      <c r="DU758" s="3"/>
      <c r="DV758" s="3"/>
      <c r="DW758" s="3"/>
      <c r="DX758" s="3"/>
      <c r="DY758" s="3"/>
      <c r="DZ758" s="3"/>
      <c r="EA758" s="3"/>
      <c r="EB758" s="3"/>
      <c r="EC758" s="3"/>
      <c r="ED758" s="3"/>
      <c r="EE758" s="3"/>
      <c r="EF758" s="3"/>
      <c r="EG758" s="3"/>
      <c r="EH758" s="3"/>
      <c r="EI758" s="3"/>
      <c r="EJ758" s="3"/>
      <c r="EK758" s="3"/>
      <c r="EL758" s="3"/>
      <c r="EM758" s="3"/>
      <c r="EN758" s="3"/>
      <c r="EO758" s="3"/>
      <c r="EP758" s="3"/>
      <c r="EQ758" s="3"/>
      <c r="ER758" s="3"/>
      <c r="ES758" s="3"/>
      <c r="ET758" s="3"/>
      <c r="EU758" s="3"/>
      <c r="EV758" s="3"/>
      <c r="EW758" s="3"/>
      <c r="EX758" s="3"/>
      <c r="EY758" s="3"/>
      <c r="EZ758" s="3"/>
      <c r="FA758" s="3"/>
      <c r="FB758" s="3"/>
      <c r="FC758" s="3"/>
      <c r="FD758" s="3"/>
      <c r="FE758" s="3"/>
      <c r="FF758" s="3"/>
      <c r="FG758" s="3"/>
      <c r="FH758" s="3"/>
      <c r="FI758" s="3"/>
      <c r="FJ758" s="3"/>
      <c r="FK758" s="3"/>
      <c r="FL758" s="3"/>
      <c r="FM758" s="3"/>
      <c r="FN758" s="3"/>
      <c r="FO758" s="3"/>
      <c r="FP758" s="3"/>
      <c r="FQ758" s="3"/>
      <c r="FR758" s="3"/>
      <c r="FS758" s="3"/>
      <c r="FT758" s="3"/>
      <c r="FU758" s="3"/>
      <c r="FV758" s="3"/>
      <c r="FW758" s="3"/>
      <c r="FX758" s="3"/>
      <c r="FY758" s="3"/>
    </row>
    <row r="759" spans="7:181" ht="15" x14ac:dyDescent="0.25">
      <c r="G759" s="2"/>
      <c r="H759" s="2"/>
      <c r="I759" s="2"/>
      <c r="J759" s="2"/>
      <c r="K759" s="2"/>
      <c r="L759" s="3"/>
      <c r="M759" s="3"/>
      <c r="N759" s="3"/>
      <c r="O759" s="3"/>
      <c r="P759" s="3"/>
      <c r="Q759" s="3"/>
      <c r="R759" s="3"/>
      <c r="S759" s="3"/>
      <c r="T759" s="3"/>
      <c r="U759" s="4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4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4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4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  <c r="DP759" s="3"/>
      <c r="DQ759" s="3"/>
      <c r="DR759" s="3"/>
      <c r="DS759" s="3"/>
      <c r="DT759" s="3"/>
      <c r="DU759" s="3"/>
      <c r="DV759" s="3"/>
      <c r="DW759" s="3"/>
      <c r="DX759" s="3"/>
      <c r="DY759" s="3"/>
      <c r="DZ759" s="3"/>
      <c r="EA759" s="3"/>
      <c r="EB759" s="3"/>
      <c r="EC759" s="3"/>
      <c r="ED759" s="3"/>
      <c r="EE759" s="3"/>
      <c r="EF759" s="3"/>
      <c r="EG759" s="3"/>
      <c r="EH759" s="3"/>
      <c r="EI759" s="3"/>
      <c r="EJ759" s="3"/>
      <c r="EK759" s="3"/>
      <c r="EL759" s="3"/>
      <c r="EM759" s="3"/>
      <c r="EN759" s="3"/>
      <c r="EO759" s="3"/>
      <c r="EP759" s="3"/>
      <c r="EQ759" s="3"/>
      <c r="ER759" s="3"/>
      <c r="ES759" s="3"/>
      <c r="ET759" s="3"/>
      <c r="EU759" s="3"/>
      <c r="EV759" s="3"/>
      <c r="EW759" s="3"/>
      <c r="EX759" s="3"/>
      <c r="EY759" s="3"/>
      <c r="EZ759" s="3"/>
      <c r="FA759" s="3"/>
      <c r="FB759" s="3"/>
      <c r="FC759" s="3"/>
      <c r="FD759" s="3"/>
      <c r="FE759" s="3"/>
      <c r="FF759" s="3"/>
      <c r="FG759" s="3"/>
      <c r="FH759" s="3"/>
      <c r="FI759" s="3"/>
      <c r="FJ759" s="3"/>
      <c r="FK759" s="3"/>
      <c r="FL759" s="3"/>
      <c r="FM759" s="3"/>
      <c r="FN759" s="3"/>
      <c r="FO759" s="3"/>
      <c r="FP759" s="3"/>
      <c r="FQ759" s="3"/>
      <c r="FR759" s="3"/>
      <c r="FS759" s="3"/>
      <c r="FT759" s="3"/>
      <c r="FU759" s="3"/>
      <c r="FV759" s="3"/>
      <c r="FW759" s="3"/>
      <c r="FX759" s="3"/>
      <c r="FY759" s="3"/>
    </row>
    <row r="760" spans="7:181" ht="15" x14ac:dyDescent="0.25">
      <c r="G760" s="2"/>
      <c r="H760" s="2"/>
      <c r="I760" s="2"/>
      <c r="J760" s="2"/>
      <c r="K760" s="2"/>
      <c r="L760" s="3"/>
      <c r="M760" s="3"/>
      <c r="N760" s="3"/>
      <c r="O760" s="3"/>
      <c r="P760" s="3"/>
      <c r="Q760" s="3"/>
      <c r="R760" s="3"/>
      <c r="S760" s="3"/>
      <c r="T760" s="3"/>
      <c r="U760" s="4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4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4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4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/>
      <c r="DS760" s="3"/>
      <c r="DT760" s="3"/>
      <c r="DU760" s="3"/>
      <c r="DV760" s="3"/>
      <c r="DW760" s="3"/>
      <c r="DX760" s="3"/>
      <c r="DY760" s="3"/>
      <c r="DZ760" s="3"/>
      <c r="EA760" s="3"/>
      <c r="EB760" s="3"/>
      <c r="EC760" s="3"/>
      <c r="ED760" s="3"/>
      <c r="EE760" s="3"/>
      <c r="EF760" s="3"/>
      <c r="EG760" s="3"/>
      <c r="EH760" s="3"/>
      <c r="EI760" s="3"/>
      <c r="EJ760" s="3"/>
      <c r="EK760" s="3"/>
      <c r="EL760" s="3"/>
      <c r="EM760" s="3"/>
      <c r="EN760" s="3"/>
      <c r="EO760" s="3"/>
      <c r="EP760" s="3"/>
      <c r="EQ760" s="3"/>
      <c r="ER760" s="3"/>
      <c r="ES760" s="3"/>
      <c r="ET760" s="3"/>
      <c r="EU760" s="3"/>
      <c r="EV760" s="3"/>
      <c r="EW760" s="3"/>
      <c r="EX760" s="3"/>
      <c r="EY760" s="3"/>
      <c r="EZ760" s="3"/>
      <c r="FA760" s="3"/>
      <c r="FB760" s="3"/>
      <c r="FC760" s="3"/>
      <c r="FD760" s="3"/>
      <c r="FE760" s="3"/>
      <c r="FF760" s="3"/>
      <c r="FG760" s="3"/>
      <c r="FH760" s="3"/>
      <c r="FI760" s="3"/>
      <c r="FJ760" s="3"/>
      <c r="FK760" s="3"/>
      <c r="FL760" s="3"/>
      <c r="FM760" s="3"/>
      <c r="FN760" s="3"/>
      <c r="FO760" s="3"/>
      <c r="FP760" s="3"/>
      <c r="FQ760" s="3"/>
      <c r="FR760" s="3"/>
      <c r="FS760" s="3"/>
      <c r="FT760" s="3"/>
      <c r="FU760" s="3"/>
      <c r="FV760" s="3"/>
      <c r="FW760" s="3"/>
      <c r="FX760" s="3"/>
      <c r="FY760" s="3"/>
    </row>
    <row r="761" spans="7:181" ht="15" x14ac:dyDescent="0.25">
      <c r="G761" s="2"/>
      <c r="H761" s="2"/>
      <c r="I761" s="2"/>
      <c r="J761" s="2"/>
      <c r="K761" s="2"/>
      <c r="L761" s="3"/>
      <c r="M761" s="3"/>
      <c r="N761" s="3"/>
      <c r="O761" s="3"/>
      <c r="P761" s="3"/>
      <c r="Q761" s="3"/>
      <c r="R761" s="3"/>
      <c r="S761" s="3"/>
      <c r="T761" s="3"/>
      <c r="U761" s="4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4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4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4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  <c r="DP761" s="3"/>
      <c r="DQ761" s="3"/>
      <c r="DR761" s="3"/>
      <c r="DS761" s="3"/>
      <c r="DT761" s="3"/>
      <c r="DU761" s="3"/>
      <c r="DV761" s="3"/>
      <c r="DW761" s="3"/>
      <c r="DX761" s="3"/>
      <c r="DY761" s="3"/>
      <c r="DZ761" s="3"/>
      <c r="EA761" s="3"/>
      <c r="EB761" s="3"/>
      <c r="EC761" s="3"/>
      <c r="ED761" s="3"/>
      <c r="EE761" s="3"/>
      <c r="EF761" s="3"/>
      <c r="EG761" s="3"/>
      <c r="EH761" s="3"/>
      <c r="EI761" s="3"/>
      <c r="EJ761" s="3"/>
      <c r="EK761" s="3"/>
      <c r="EL761" s="3"/>
      <c r="EM761" s="3"/>
      <c r="EN761" s="3"/>
      <c r="EO761" s="3"/>
      <c r="EP761" s="3"/>
      <c r="EQ761" s="3"/>
      <c r="ER761" s="3"/>
      <c r="ES761" s="3"/>
      <c r="ET761" s="3"/>
      <c r="EU761" s="3"/>
      <c r="EV761" s="3"/>
      <c r="EW761" s="3"/>
      <c r="EX761" s="3"/>
      <c r="EY761" s="3"/>
      <c r="EZ761" s="3"/>
      <c r="FA761" s="3"/>
      <c r="FB761" s="3"/>
      <c r="FC761" s="3"/>
      <c r="FD761" s="3"/>
      <c r="FE761" s="3"/>
      <c r="FF761" s="3"/>
      <c r="FG761" s="3"/>
      <c r="FH761" s="3"/>
      <c r="FI761" s="3"/>
      <c r="FJ761" s="3"/>
      <c r="FK761" s="3"/>
      <c r="FL761" s="3"/>
      <c r="FM761" s="3"/>
      <c r="FN761" s="3"/>
      <c r="FO761" s="3"/>
      <c r="FP761" s="3"/>
      <c r="FQ761" s="3"/>
      <c r="FR761" s="3"/>
      <c r="FS761" s="3"/>
      <c r="FT761" s="3"/>
      <c r="FU761" s="3"/>
      <c r="FV761" s="3"/>
      <c r="FW761" s="3"/>
      <c r="FX761" s="3"/>
      <c r="FY761" s="3"/>
    </row>
    <row r="762" spans="7:181" ht="15" x14ac:dyDescent="0.25">
      <c r="G762" s="2"/>
      <c r="H762" s="2"/>
      <c r="I762" s="2"/>
      <c r="J762" s="2"/>
      <c r="K762" s="2"/>
      <c r="L762" s="3"/>
      <c r="M762" s="3"/>
      <c r="N762" s="3"/>
      <c r="O762" s="3"/>
      <c r="P762" s="3"/>
      <c r="Q762" s="3"/>
      <c r="R762" s="3"/>
      <c r="S762" s="3"/>
      <c r="T762" s="3"/>
      <c r="U762" s="4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4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4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4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  <c r="DN762" s="3"/>
      <c r="DO762" s="3"/>
      <c r="DP762" s="3"/>
      <c r="DQ762" s="3"/>
      <c r="DR762" s="3"/>
      <c r="DS762" s="3"/>
      <c r="DT762" s="3"/>
      <c r="DU762" s="3"/>
      <c r="DV762" s="3"/>
      <c r="DW762" s="3"/>
      <c r="DX762" s="3"/>
      <c r="DY762" s="3"/>
      <c r="DZ762" s="3"/>
      <c r="EA762" s="3"/>
      <c r="EB762" s="3"/>
      <c r="EC762" s="3"/>
      <c r="ED762" s="3"/>
      <c r="EE762" s="3"/>
      <c r="EF762" s="3"/>
      <c r="EG762" s="3"/>
      <c r="EH762" s="3"/>
      <c r="EI762" s="3"/>
      <c r="EJ762" s="3"/>
      <c r="EK762" s="3"/>
      <c r="EL762" s="3"/>
      <c r="EM762" s="3"/>
      <c r="EN762" s="3"/>
      <c r="EO762" s="3"/>
      <c r="EP762" s="3"/>
      <c r="EQ762" s="3"/>
      <c r="ER762" s="3"/>
      <c r="ES762" s="3"/>
      <c r="ET762" s="3"/>
      <c r="EU762" s="3"/>
      <c r="EV762" s="3"/>
      <c r="EW762" s="3"/>
      <c r="EX762" s="3"/>
      <c r="EY762" s="3"/>
      <c r="EZ762" s="3"/>
      <c r="FA762" s="3"/>
      <c r="FB762" s="3"/>
      <c r="FC762" s="3"/>
      <c r="FD762" s="3"/>
      <c r="FE762" s="3"/>
      <c r="FF762" s="3"/>
      <c r="FG762" s="3"/>
      <c r="FH762" s="3"/>
      <c r="FI762" s="3"/>
      <c r="FJ762" s="3"/>
      <c r="FK762" s="3"/>
      <c r="FL762" s="3"/>
      <c r="FM762" s="3"/>
      <c r="FN762" s="3"/>
      <c r="FO762" s="3"/>
      <c r="FP762" s="3"/>
      <c r="FQ762" s="3"/>
      <c r="FR762" s="3"/>
      <c r="FS762" s="3"/>
      <c r="FT762" s="3"/>
      <c r="FU762" s="3"/>
      <c r="FV762" s="3"/>
      <c r="FW762" s="3"/>
      <c r="FX762" s="3"/>
      <c r="FY762" s="3"/>
    </row>
    <row r="763" spans="7:181" ht="15" x14ac:dyDescent="0.25">
      <c r="G763" s="2"/>
      <c r="H763" s="2"/>
      <c r="I763" s="2"/>
      <c r="J763" s="2"/>
      <c r="K763" s="2"/>
      <c r="L763" s="3"/>
      <c r="M763" s="3"/>
      <c r="N763" s="3"/>
      <c r="O763" s="3"/>
      <c r="P763" s="3"/>
      <c r="Q763" s="3"/>
      <c r="R763" s="3"/>
      <c r="S763" s="3"/>
      <c r="T763" s="3"/>
      <c r="U763" s="4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4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4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4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  <c r="DN763" s="3"/>
      <c r="DO763" s="3"/>
      <c r="DP763" s="3"/>
      <c r="DQ763" s="3"/>
      <c r="DR763" s="3"/>
      <c r="DS763" s="3"/>
      <c r="DT763" s="3"/>
      <c r="DU763" s="3"/>
      <c r="DV763" s="3"/>
      <c r="DW763" s="3"/>
      <c r="DX763" s="3"/>
      <c r="DY763" s="3"/>
      <c r="DZ763" s="3"/>
      <c r="EA763" s="3"/>
      <c r="EB763" s="3"/>
      <c r="EC763" s="3"/>
      <c r="ED763" s="3"/>
      <c r="EE763" s="3"/>
      <c r="EF763" s="3"/>
      <c r="EG763" s="3"/>
      <c r="EH763" s="3"/>
      <c r="EI763" s="3"/>
      <c r="EJ763" s="3"/>
      <c r="EK763" s="3"/>
      <c r="EL763" s="3"/>
      <c r="EM763" s="3"/>
      <c r="EN763" s="3"/>
      <c r="EO763" s="3"/>
      <c r="EP763" s="3"/>
      <c r="EQ763" s="3"/>
      <c r="ER763" s="3"/>
      <c r="ES763" s="3"/>
      <c r="ET763" s="3"/>
      <c r="EU763" s="3"/>
      <c r="EV763" s="3"/>
      <c r="EW763" s="3"/>
      <c r="EX763" s="3"/>
      <c r="EY763" s="3"/>
      <c r="EZ763" s="3"/>
      <c r="FA763" s="3"/>
      <c r="FB763" s="3"/>
      <c r="FC763" s="3"/>
      <c r="FD763" s="3"/>
      <c r="FE763" s="3"/>
      <c r="FF763" s="3"/>
      <c r="FG763" s="3"/>
      <c r="FH763" s="3"/>
      <c r="FI763" s="3"/>
      <c r="FJ763" s="3"/>
      <c r="FK763" s="3"/>
      <c r="FL763" s="3"/>
      <c r="FM763" s="3"/>
      <c r="FN763" s="3"/>
      <c r="FO763" s="3"/>
      <c r="FP763" s="3"/>
      <c r="FQ763" s="3"/>
      <c r="FR763" s="3"/>
      <c r="FS763" s="3"/>
      <c r="FT763" s="3"/>
      <c r="FU763" s="3"/>
      <c r="FV763" s="3"/>
      <c r="FW763" s="3"/>
      <c r="FX763" s="3"/>
      <c r="FY763" s="3"/>
    </row>
    <row r="764" spans="7:181" ht="15" x14ac:dyDescent="0.25">
      <c r="G764" s="2"/>
      <c r="H764" s="2"/>
      <c r="I764" s="2"/>
      <c r="J764" s="2"/>
      <c r="K764" s="2"/>
      <c r="L764" s="3"/>
      <c r="M764" s="3"/>
      <c r="N764" s="3"/>
      <c r="O764" s="3"/>
      <c r="P764" s="3"/>
      <c r="Q764" s="3"/>
      <c r="R764" s="3"/>
      <c r="S764" s="3"/>
      <c r="T764" s="3"/>
      <c r="U764" s="4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4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4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4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  <c r="DN764" s="3"/>
      <c r="DO764" s="3"/>
      <c r="DP764" s="3"/>
      <c r="DQ764" s="3"/>
      <c r="DR764" s="3"/>
      <c r="DS764" s="3"/>
      <c r="DT764" s="3"/>
      <c r="DU764" s="3"/>
      <c r="DV764" s="3"/>
      <c r="DW764" s="3"/>
      <c r="DX764" s="3"/>
      <c r="DY764" s="3"/>
      <c r="DZ764" s="3"/>
      <c r="EA764" s="3"/>
      <c r="EB764" s="3"/>
      <c r="EC764" s="3"/>
      <c r="ED764" s="3"/>
      <c r="EE764" s="3"/>
      <c r="EF764" s="3"/>
      <c r="EG764" s="3"/>
      <c r="EH764" s="3"/>
      <c r="EI764" s="3"/>
      <c r="EJ764" s="3"/>
      <c r="EK764" s="3"/>
      <c r="EL764" s="3"/>
      <c r="EM764" s="3"/>
      <c r="EN764" s="3"/>
      <c r="EO764" s="3"/>
      <c r="EP764" s="3"/>
      <c r="EQ764" s="3"/>
      <c r="ER764" s="3"/>
      <c r="ES764" s="3"/>
      <c r="ET764" s="3"/>
      <c r="EU764" s="3"/>
      <c r="EV764" s="3"/>
      <c r="EW764" s="3"/>
      <c r="EX764" s="3"/>
      <c r="EY764" s="3"/>
      <c r="EZ764" s="3"/>
      <c r="FA764" s="3"/>
      <c r="FB764" s="3"/>
      <c r="FC764" s="3"/>
      <c r="FD764" s="3"/>
      <c r="FE764" s="3"/>
      <c r="FF764" s="3"/>
      <c r="FG764" s="3"/>
      <c r="FH764" s="3"/>
      <c r="FI764" s="3"/>
      <c r="FJ764" s="3"/>
      <c r="FK764" s="3"/>
      <c r="FL764" s="3"/>
      <c r="FM764" s="3"/>
      <c r="FN764" s="3"/>
      <c r="FO764" s="3"/>
      <c r="FP764" s="3"/>
      <c r="FQ764" s="3"/>
      <c r="FR764" s="3"/>
      <c r="FS764" s="3"/>
      <c r="FT764" s="3"/>
      <c r="FU764" s="3"/>
      <c r="FV764" s="3"/>
      <c r="FW764" s="3"/>
      <c r="FX764" s="3"/>
      <c r="FY764" s="3"/>
    </row>
    <row r="765" spans="7:181" ht="15" x14ac:dyDescent="0.25">
      <c r="G765" s="2"/>
      <c r="H765" s="2"/>
      <c r="I765" s="2"/>
      <c r="J765" s="2"/>
      <c r="K765" s="2"/>
      <c r="L765" s="3"/>
      <c r="M765" s="3"/>
      <c r="N765" s="3"/>
      <c r="O765" s="3"/>
      <c r="P765" s="3"/>
      <c r="Q765" s="3"/>
      <c r="R765" s="3"/>
      <c r="S765" s="3"/>
      <c r="T765" s="3"/>
      <c r="U765" s="4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4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4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4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/>
      <c r="DS765" s="3"/>
      <c r="DT765" s="3"/>
      <c r="DU765" s="3"/>
      <c r="DV765" s="3"/>
      <c r="DW765" s="3"/>
      <c r="DX765" s="3"/>
      <c r="DY765" s="3"/>
      <c r="DZ765" s="3"/>
      <c r="EA765" s="3"/>
      <c r="EB765" s="3"/>
      <c r="EC765" s="3"/>
      <c r="ED765" s="3"/>
      <c r="EE765" s="3"/>
      <c r="EF765" s="3"/>
      <c r="EG765" s="3"/>
      <c r="EH765" s="3"/>
      <c r="EI765" s="3"/>
      <c r="EJ765" s="3"/>
      <c r="EK765" s="3"/>
      <c r="EL765" s="3"/>
      <c r="EM765" s="3"/>
      <c r="EN765" s="3"/>
      <c r="EO765" s="3"/>
      <c r="EP765" s="3"/>
      <c r="EQ765" s="3"/>
      <c r="ER765" s="3"/>
      <c r="ES765" s="3"/>
      <c r="ET765" s="3"/>
      <c r="EU765" s="3"/>
      <c r="EV765" s="3"/>
      <c r="EW765" s="3"/>
      <c r="EX765" s="3"/>
      <c r="EY765" s="3"/>
      <c r="EZ765" s="3"/>
      <c r="FA765" s="3"/>
      <c r="FB765" s="3"/>
      <c r="FC765" s="3"/>
      <c r="FD765" s="3"/>
      <c r="FE765" s="3"/>
      <c r="FF765" s="3"/>
      <c r="FG765" s="3"/>
      <c r="FH765" s="3"/>
      <c r="FI765" s="3"/>
      <c r="FJ765" s="3"/>
      <c r="FK765" s="3"/>
      <c r="FL765" s="3"/>
      <c r="FM765" s="3"/>
      <c r="FN765" s="3"/>
      <c r="FO765" s="3"/>
      <c r="FP765" s="3"/>
      <c r="FQ765" s="3"/>
      <c r="FR765" s="3"/>
      <c r="FS765" s="3"/>
      <c r="FT765" s="3"/>
      <c r="FU765" s="3"/>
      <c r="FV765" s="3"/>
      <c r="FW765" s="3"/>
      <c r="FX765" s="3"/>
      <c r="FY765" s="3"/>
    </row>
    <row r="766" spans="7:181" ht="15" x14ac:dyDescent="0.25">
      <c r="G766" s="2"/>
      <c r="H766" s="2"/>
      <c r="I766" s="2"/>
      <c r="J766" s="2"/>
      <c r="K766" s="2"/>
      <c r="L766" s="3"/>
      <c r="M766" s="3"/>
      <c r="N766" s="3"/>
      <c r="O766" s="3"/>
      <c r="P766" s="3"/>
      <c r="Q766" s="3"/>
      <c r="R766" s="3"/>
      <c r="S766" s="3"/>
      <c r="T766" s="3"/>
      <c r="U766" s="4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4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4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4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  <c r="DN766" s="3"/>
      <c r="DO766" s="3"/>
      <c r="DP766" s="3"/>
      <c r="DQ766" s="3"/>
      <c r="DR766" s="3"/>
      <c r="DS766" s="3"/>
      <c r="DT766" s="3"/>
      <c r="DU766" s="3"/>
      <c r="DV766" s="3"/>
      <c r="DW766" s="3"/>
      <c r="DX766" s="3"/>
      <c r="DY766" s="3"/>
      <c r="DZ766" s="3"/>
      <c r="EA766" s="3"/>
      <c r="EB766" s="3"/>
      <c r="EC766" s="3"/>
      <c r="ED766" s="3"/>
      <c r="EE766" s="3"/>
      <c r="EF766" s="3"/>
      <c r="EG766" s="3"/>
      <c r="EH766" s="3"/>
      <c r="EI766" s="3"/>
      <c r="EJ766" s="3"/>
      <c r="EK766" s="3"/>
      <c r="EL766" s="3"/>
      <c r="EM766" s="3"/>
      <c r="EN766" s="3"/>
      <c r="EO766" s="3"/>
      <c r="EP766" s="3"/>
      <c r="EQ766" s="3"/>
      <c r="ER766" s="3"/>
      <c r="ES766" s="3"/>
      <c r="ET766" s="3"/>
      <c r="EU766" s="3"/>
      <c r="EV766" s="3"/>
      <c r="EW766" s="3"/>
      <c r="EX766" s="3"/>
      <c r="EY766" s="3"/>
      <c r="EZ766" s="3"/>
      <c r="FA766" s="3"/>
      <c r="FB766" s="3"/>
      <c r="FC766" s="3"/>
      <c r="FD766" s="3"/>
      <c r="FE766" s="3"/>
      <c r="FF766" s="3"/>
      <c r="FG766" s="3"/>
      <c r="FH766" s="3"/>
      <c r="FI766" s="3"/>
      <c r="FJ766" s="3"/>
      <c r="FK766" s="3"/>
      <c r="FL766" s="3"/>
      <c r="FM766" s="3"/>
      <c r="FN766" s="3"/>
      <c r="FO766" s="3"/>
      <c r="FP766" s="3"/>
      <c r="FQ766" s="3"/>
      <c r="FR766" s="3"/>
      <c r="FS766" s="3"/>
      <c r="FT766" s="3"/>
      <c r="FU766" s="3"/>
      <c r="FV766" s="3"/>
      <c r="FW766" s="3"/>
      <c r="FX766" s="3"/>
      <c r="FY766" s="3"/>
    </row>
    <row r="767" spans="7:181" ht="15" x14ac:dyDescent="0.25">
      <c r="G767" s="2"/>
      <c r="H767" s="2"/>
      <c r="I767" s="2"/>
      <c r="J767" s="2"/>
      <c r="K767" s="2"/>
      <c r="L767" s="3"/>
      <c r="M767" s="3"/>
      <c r="N767" s="3"/>
      <c r="O767" s="3"/>
      <c r="P767" s="3"/>
      <c r="Q767" s="3"/>
      <c r="R767" s="3"/>
      <c r="S767" s="3"/>
      <c r="T767" s="3"/>
      <c r="U767" s="4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4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4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4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/>
      <c r="DS767" s="3"/>
      <c r="DT767" s="3"/>
      <c r="DU767" s="3"/>
      <c r="DV767" s="3"/>
      <c r="DW767" s="3"/>
      <c r="DX767" s="3"/>
      <c r="DY767" s="3"/>
      <c r="DZ767" s="3"/>
      <c r="EA767" s="3"/>
      <c r="EB767" s="3"/>
      <c r="EC767" s="3"/>
      <c r="ED767" s="3"/>
      <c r="EE767" s="3"/>
      <c r="EF767" s="3"/>
      <c r="EG767" s="3"/>
      <c r="EH767" s="3"/>
      <c r="EI767" s="3"/>
      <c r="EJ767" s="3"/>
      <c r="EK767" s="3"/>
      <c r="EL767" s="3"/>
      <c r="EM767" s="3"/>
      <c r="EN767" s="3"/>
      <c r="EO767" s="3"/>
      <c r="EP767" s="3"/>
      <c r="EQ767" s="3"/>
      <c r="ER767" s="3"/>
      <c r="ES767" s="3"/>
      <c r="ET767" s="3"/>
      <c r="EU767" s="3"/>
      <c r="EV767" s="3"/>
      <c r="EW767" s="3"/>
      <c r="EX767" s="3"/>
      <c r="EY767" s="3"/>
      <c r="EZ767" s="3"/>
      <c r="FA767" s="3"/>
      <c r="FB767" s="3"/>
      <c r="FC767" s="3"/>
      <c r="FD767" s="3"/>
      <c r="FE767" s="3"/>
      <c r="FF767" s="3"/>
      <c r="FG767" s="3"/>
      <c r="FH767" s="3"/>
      <c r="FI767" s="3"/>
      <c r="FJ767" s="3"/>
      <c r="FK767" s="3"/>
      <c r="FL767" s="3"/>
      <c r="FM767" s="3"/>
      <c r="FN767" s="3"/>
      <c r="FO767" s="3"/>
      <c r="FP767" s="3"/>
      <c r="FQ767" s="3"/>
      <c r="FR767" s="3"/>
      <c r="FS767" s="3"/>
      <c r="FT767" s="3"/>
      <c r="FU767" s="3"/>
      <c r="FV767" s="3"/>
      <c r="FW767" s="3"/>
      <c r="FX767" s="3"/>
      <c r="FY767" s="3"/>
    </row>
    <row r="768" spans="7:181" ht="15" x14ac:dyDescent="0.25">
      <c r="G768" s="2"/>
      <c r="H768" s="2"/>
      <c r="I768" s="2"/>
      <c r="J768" s="2"/>
      <c r="K768" s="2"/>
      <c r="L768" s="3"/>
      <c r="M768" s="3"/>
      <c r="N768" s="3"/>
      <c r="O768" s="3"/>
      <c r="P768" s="3"/>
      <c r="Q768" s="3"/>
      <c r="R768" s="3"/>
      <c r="S768" s="3"/>
      <c r="T768" s="3"/>
      <c r="U768" s="4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4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4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4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/>
      <c r="DS768" s="3"/>
      <c r="DT768" s="3"/>
      <c r="DU768" s="3"/>
      <c r="DV768" s="3"/>
      <c r="DW768" s="3"/>
      <c r="DX768" s="3"/>
      <c r="DY768" s="3"/>
      <c r="DZ768" s="3"/>
      <c r="EA768" s="3"/>
      <c r="EB768" s="3"/>
      <c r="EC768" s="3"/>
      <c r="ED768" s="3"/>
      <c r="EE768" s="3"/>
      <c r="EF768" s="3"/>
      <c r="EG768" s="3"/>
      <c r="EH768" s="3"/>
      <c r="EI768" s="3"/>
      <c r="EJ768" s="3"/>
      <c r="EK768" s="3"/>
      <c r="EL768" s="3"/>
      <c r="EM768" s="3"/>
      <c r="EN768" s="3"/>
      <c r="EO768" s="3"/>
      <c r="EP768" s="3"/>
      <c r="EQ768" s="3"/>
      <c r="ER768" s="3"/>
      <c r="ES768" s="3"/>
      <c r="ET768" s="3"/>
      <c r="EU768" s="3"/>
      <c r="EV768" s="3"/>
      <c r="EW768" s="3"/>
      <c r="EX768" s="3"/>
      <c r="EY768" s="3"/>
      <c r="EZ768" s="3"/>
      <c r="FA768" s="3"/>
      <c r="FB768" s="3"/>
      <c r="FC768" s="3"/>
      <c r="FD768" s="3"/>
      <c r="FE768" s="3"/>
      <c r="FF768" s="3"/>
      <c r="FG768" s="3"/>
      <c r="FH768" s="3"/>
      <c r="FI768" s="3"/>
      <c r="FJ768" s="3"/>
      <c r="FK768" s="3"/>
      <c r="FL768" s="3"/>
      <c r="FM768" s="3"/>
      <c r="FN768" s="3"/>
      <c r="FO768" s="3"/>
      <c r="FP768" s="3"/>
      <c r="FQ768" s="3"/>
      <c r="FR768" s="3"/>
      <c r="FS768" s="3"/>
      <c r="FT768" s="3"/>
      <c r="FU768" s="3"/>
      <c r="FV768" s="3"/>
      <c r="FW768" s="3"/>
      <c r="FX768" s="3"/>
      <c r="FY768" s="3"/>
    </row>
    <row r="769" spans="7:181" ht="15" x14ac:dyDescent="0.25">
      <c r="G769" s="2"/>
      <c r="H769" s="2"/>
      <c r="I769" s="2"/>
      <c r="J769" s="2"/>
      <c r="K769" s="2"/>
      <c r="L769" s="3"/>
      <c r="M769" s="3"/>
      <c r="N769" s="3"/>
      <c r="O769" s="3"/>
      <c r="P769" s="3"/>
      <c r="Q769" s="3"/>
      <c r="R769" s="3"/>
      <c r="S769" s="3"/>
      <c r="T769" s="3"/>
      <c r="U769" s="4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4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4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4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/>
      <c r="DS769" s="3"/>
      <c r="DT769" s="3"/>
      <c r="DU769" s="3"/>
      <c r="DV769" s="3"/>
      <c r="DW769" s="3"/>
      <c r="DX769" s="3"/>
      <c r="DY769" s="3"/>
      <c r="DZ769" s="3"/>
      <c r="EA769" s="3"/>
      <c r="EB769" s="3"/>
      <c r="EC769" s="3"/>
      <c r="ED769" s="3"/>
      <c r="EE769" s="3"/>
      <c r="EF769" s="3"/>
      <c r="EG769" s="3"/>
      <c r="EH769" s="3"/>
      <c r="EI769" s="3"/>
      <c r="EJ769" s="3"/>
      <c r="EK769" s="3"/>
      <c r="EL769" s="3"/>
      <c r="EM769" s="3"/>
      <c r="EN769" s="3"/>
      <c r="EO769" s="3"/>
      <c r="EP769" s="3"/>
      <c r="EQ769" s="3"/>
      <c r="ER769" s="3"/>
      <c r="ES769" s="3"/>
      <c r="ET769" s="3"/>
      <c r="EU769" s="3"/>
      <c r="EV769" s="3"/>
      <c r="EW769" s="3"/>
      <c r="EX769" s="3"/>
      <c r="EY769" s="3"/>
      <c r="EZ769" s="3"/>
      <c r="FA769" s="3"/>
      <c r="FB769" s="3"/>
      <c r="FC769" s="3"/>
      <c r="FD769" s="3"/>
      <c r="FE769" s="3"/>
      <c r="FF769" s="3"/>
      <c r="FG769" s="3"/>
      <c r="FH769" s="3"/>
      <c r="FI769" s="3"/>
      <c r="FJ769" s="3"/>
      <c r="FK769" s="3"/>
      <c r="FL769" s="3"/>
      <c r="FM769" s="3"/>
      <c r="FN769" s="3"/>
      <c r="FO769" s="3"/>
      <c r="FP769" s="3"/>
      <c r="FQ769" s="3"/>
      <c r="FR769" s="3"/>
      <c r="FS769" s="3"/>
      <c r="FT769" s="3"/>
      <c r="FU769" s="3"/>
      <c r="FV769" s="3"/>
      <c r="FW769" s="3"/>
      <c r="FX769" s="3"/>
      <c r="FY769" s="3"/>
    </row>
    <row r="770" spans="7:181" ht="15" x14ac:dyDescent="0.25">
      <c r="G770" s="2"/>
      <c r="H770" s="2"/>
      <c r="I770" s="2"/>
      <c r="J770" s="2"/>
      <c r="K770" s="2"/>
      <c r="L770" s="3"/>
      <c r="M770" s="3"/>
      <c r="N770" s="3"/>
      <c r="O770" s="3"/>
      <c r="P770" s="3"/>
      <c r="Q770" s="3"/>
      <c r="R770" s="3"/>
      <c r="S770" s="3"/>
      <c r="T770" s="3"/>
      <c r="U770" s="4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4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4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4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/>
      <c r="DS770" s="3"/>
      <c r="DT770" s="3"/>
      <c r="DU770" s="3"/>
      <c r="DV770" s="3"/>
      <c r="DW770" s="3"/>
      <c r="DX770" s="3"/>
      <c r="DY770" s="3"/>
      <c r="DZ770" s="3"/>
      <c r="EA770" s="3"/>
      <c r="EB770" s="3"/>
      <c r="EC770" s="3"/>
      <c r="ED770" s="3"/>
      <c r="EE770" s="3"/>
      <c r="EF770" s="3"/>
      <c r="EG770" s="3"/>
      <c r="EH770" s="3"/>
      <c r="EI770" s="3"/>
      <c r="EJ770" s="3"/>
      <c r="EK770" s="3"/>
      <c r="EL770" s="3"/>
      <c r="EM770" s="3"/>
      <c r="EN770" s="3"/>
      <c r="EO770" s="3"/>
      <c r="EP770" s="3"/>
      <c r="EQ770" s="3"/>
      <c r="ER770" s="3"/>
      <c r="ES770" s="3"/>
      <c r="ET770" s="3"/>
      <c r="EU770" s="3"/>
      <c r="EV770" s="3"/>
      <c r="EW770" s="3"/>
      <c r="EX770" s="3"/>
      <c r="EY770" s="3"/>
      <c r="EZ770" s="3"/>
      <c r="FA770" s="3"/>
      <c r="FB770" s="3"/>
      <c r="FC770" s="3"/>
      <c r="FD770" s="3"/>
      <c r="FE770" s="3"/>
      <c r="FF770" s="3"/>
      <c r="FG770" s="3"/>
      <c r="FH770" s="3"/>
      <c r="FI770" s="3"/>
      <c r="FJ770" s="3"/>
      <c r="FK770" s="3"/>
      <c r="FL770" s="3"/>
      <c r="FM770" s="3"/>
      <c r="FN770" s="3"/>
      <c r="FO770" s="3"/>
      <c r="FP770" s="3"/>
      <c r="FQ770" s="3"/>
      <c r="FR770" s="3"/>
      <c r="FS770" s="3"/>
      <c r="FT770" s="3"/>
      <c r="FU770" s="3"/>
      <c r="FV770" s="3"/>
      <c r="FW770" s="3"/>
      <c r="FX770" s="3"/>
      <c r="FY770" s="3"/>
    </row>
    <row r="771" spans="7:181" ht="15" x14ac:dyDescent="0.25">
      <c r="G771" s="2"/>
      <c r="H771" s="2"/>
      <c r="I771" s="2"/>
      <c r="J771" s="2"/>
      <c r="K771" s="2"/>
      <c r="L771" s="3"/>
      <c r="M771" s="3"/>
      <c r="N771" s="3"/>
      <c r="O771" s="3"/>
      <c r="P771" s="3"/>
      <c r="Q771" s="3"/>
      <c r="R771" s="3"/>
      <c r="S771" s="3"/>
      <c r="T771" s="3"/>
      <c r="U771" s="4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4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4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4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/>
      <c r="DS771" s="3"/>
      <c r="DT771" s="3"/>
      <c r="DU771" s="3"/>
      <c r="DV771" s="3"/>
      <c r="DW771" s="3"/>
      <c r="DX771" s="3"/>
      <c r="DY771" s="3"/>
      <c r="DZ771" s="3"/>
      <c r="EA771" s="3"/>
      <c r="EB771" s="3"/>
      <c r="EC771" s="3"/>
      <c r="ED771" s="3"/>
      <c r="EE771" s="3"/>
      <c r="EF771" s="3"/>
      <c r="EG771" s="3"/>
      <c r="EH771" s="3"/>
      <c r="EI771" s="3"/>
      <c r="EJ771" s="3"/>
      <c r="EK771" s="3"/>
      <c r="EL771" s="3"/>
      <c r="EM771" s="3"/>
      <c r="EN771" s="3"/>
      <c r="EO771" s="3"/>
      <c r="EP771" s="3"/>
      <c r="EQ771" s="3"/>
      <c r="ER771" s="3"/>
      <c r="ES771" s="3"/>
      <c r="ET771" s="3"/>
      <c r="EU771" s="3"/>
      <c r="EV771" s="3"/>
      <c r="EW771" s="3"/>
      <c r="EX771" s="3"/>
      <c r="EY771" s="3"/>
      <c r="EZ771" s="3"/>
      <c r="FA771" s="3"/>
      <c r="FB771" s="3"/>
      <c r="FC771" s="3"/>
      <c r="FD771" s="3"/>
      <c r="FE771" s="3"/>
      <c r="FF771" s="3"/>
      <c r="FG771" s="3"/>
      <c r="FH771" s="3"/>
      <c r="FI771" s="3"/>
      <c r="FJ771" s="3"/>
      <c r="FK771" s="3"/>
      <c r="FL771" s="3"/>
      <c r="FM771" s="3"/>
      <c r="FN771" s="3"/>
      <c r="FO771" s="3"/>
      <c r="FP771" s="3"/>
      <c r="FQ771" s="3"/>
      <c r="FR771" s="3"/>
      <c r="FS771" s="3"/>
      <c r="FT771" s="3"/>
      <c r="FU771" s="3"/>
      <c r="FV771" s="3"/>
      <c r="FW771" s="3"/>
      <c r="FX771" s="3"/>
      <c r="FY771" s="3"/>
    </row>
    <row r="772" spans="7:181" ht="15" x14ac:dyDescent="0.25">
      <c r="G772" s="2"/>
      <c r="H772" s="2"/>
      <c r="I772" s="2"/>
      <c r="J772" s="2"/>
      <c r="K772" s="2"/>
      <c r="L772" s="3"/>
      <c r="M772" s="3"/>
      <c r="N772" s="3"/>
      <c r="O772" s="3"/>
      <c r="P772" s="3"/>
      <c r="Q772" s="3"/>
      <c r="R772" s="3"/>
      <c r="S772" s="3"/>
      <c r="T772" s="3"/>
      <c r="U772" s="4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4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4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4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  <c r="DN772" s="3"/>
      <c r="DO772" s="3"/>
      <c r="DP772" s="3"/>
      <c r="DQ772" s="3"/>
      <c r="DR772" s="3"/>
      <c r="DS772" s="3"/>
      <c r="DT772" s="3"/>
      <c r="DU772" s="3"/>
      <c r="DV772" s="3"/>
      <c r="DW772" s="3"/>
      <c r="DX772" s="3"/>
      <c r="DY772" s="3"/>
      <c r="DZ772" s="3"/>
      <c r="EA772" s="3"/>
      <c r="EB772" s="3"/>
      <c r="EC772" s="3"/>
      <c r="ED772" s="3"/>
      <c r="EE772" s="3"/>
      <c r="EF772" s="3"/>
      <c r="EG772" s="3"/>
      <c r="EH772" s="3"/>
      <c r="EI772" s="3"/>
      <c r="EJ772" s="3"/>
      <c r="EK772" s="3"/>
      <c r="EL772" s="3"/>
      <c r="EM772" s="3"/>
      <c r="EN772" s="3"/>
      <c r="EO772" s="3"/>
      <c r="EP772" s="3"/>
      <c r="EQ772" s="3"/>
      <c r="ER772" s="3"/>
      <c r="ES772" s="3"/>
      <c r="ET772" s="3"/>
      <c r="EU772" s="3"/>
      <c r="EV772" s="3"/>
      <c r="EW772" s="3"/>
      <c r="EX772" s="3"/>
      <c r="EY772" s="3"/>
      <c r="EZ772" s="3"/>
      <c r="FA772" s="3"/>
      <c r="FB772" s="3"/>
      <c r="FC772" s="3"/>
      <c r="FD772" s="3"/>
      <c r="FE772" s="3"/>
      <c r="FF772" s="3"/>
      <c r="FG772" s="3"/>
      <c r="FH772" s="3"/>
      <c r="FI772" s="3"/>
      <c r="FJ772" s="3"/>
      <c r="FK772" s="3"/>
      <c r="FL772" s="3"/>
      <c r="FM772" s="3"/>
      <c r="FN772" s="3"/>
      <c r="FO772" s="3"/>
      <c r="FP772" s="3"/>
      <c r="FQ772" s="3"/>
      <c r="FR772" s="3"/>
      <c r="FS772" s="3"/>
      <c r="FT772" s="3"/>
      <c r="FU772" s="3"/>
      <c r="FV772" s="3"/>
      <c r="FW772" s="3"/>
      <c r="FX772" s="3"/>
      <c r="FY772" s="3"/>
    </row>
    <row r="773" spans="7:181" ht="15" x14ac:dyDescent="0.25">
      <c r="G773" s="2"/>
      <c r="H773" s="2"/>
      <c r="I773" s="2"/>
      <c r="J773" s="2"/>
      <c r="K773" s="2"/>
      <c r="L773" s="3"/>
      <c r="M773" s="3"/>
      <c r="N773" s="3"/>
      <c r="O773" s="3"/>
      <c r="P773" s="3"/>
      <c r="Q773" s="3"/>
      <c r="R773" s="3"/>
      <c r="S773" s="3"/>
      <c r="T773" s="3"/>
      <c r="U773" s="4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4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4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4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/>
      <c r="DS773" s="3"/>
      <c r="DT773" s="3"/>
      <c r="DU773" s="3"/>
      <c r="DV773" s="3"/>
      <c r="DW773" s="3"/>
      <c r="DX773" s="3"/>
      <c r="DY773" s="3"/>
      <c r="DZ773" s="3"/>
      <c r="EA773" s="3"/>
      <c r="EB773" s="3"/>
      <c r="EC773" s="3"/>
      <c r="ED773" s="3"/>
      <c r="EE773" s="3"/>
      <c r="EF773" s="3"/>
      <c r="EG773" s="3"/>
      <c r="EH773" s="3"/>
      <c r="EI773" s="3"/>
      <c r="EJ773" s="3"/>
      <c r="EK773" s="3"/>
      <c r="EL773" s="3"/>
      <c r="EM773" s="3"/>
      <c r="EN773" s="3"/>
      <c r="EO773" s="3"/>
      <c r="EP773" s="3"/>
      <c r="EQ773" s="3"/>
      <c r="ER773" s="3"/>
      <c r="ES773" s="3"/>
      <c r="ET773" s="3"/>
      <c r="EU773" s="3"/>
      <c r="EV773" s="3"/>
      <c r="EW773" s="3"/>
      <c r="EX773" s="3"/>
      <c r="EY773" s="3"/>
      <c r="EZ773" s="3"/>
      <c r="FA773" s="3"/>
      <c r="FB773" s="3"/>
      <c r="FC773" s="3"/>
      <c r="FD773" s="3"/>
      <c r="FE773" s="3"/>
      <c r="FF773" s="3"/>
      <c r="FG773" s="3"/>
      <c r="FH773" s="3"/>
      <c r="FI773" s="3"/>
      <c r="FJ773" s="3"/>
      <c r="FK773" s="3"/>
      <c r="FL773" s="3"/>
      <c r="FM773" s="3"/>
      <c r="FN773" s="3"/>
      <c r="FO773" s="3"/>
      <c r="FP773" s="3"/>
      <c r="FQ773" s="3"/>
      <c r="FR773" s="3"/>
      <c r="FS773" s="3"/>
      <c r="FT773" s="3"/>
      <c r="FU773" s="3"/>
      <c r="FV773" s="3"/>
      <c r="FW773" s="3"/>
      <c r="FX773" s="3"/>
      <c r="FY773" s="3"/>
    </row>
    <row r="774" spans="7:181" ht="15" x14ac:dyDescent="0.25">
      <c r="G774" s="2"/>
      <c r="H774" s="2"/>
      <c r="I774" s="2"/>
      <c r="J774" s="2"/>
      <c r="K774" s="2"/>
      <c r="L774" s="3"/>
      <c r="M774" s="3"/>
      <c r="N774" s="3"/>
      <c r="O774" s="3"/>
      <c r="P774" s="3"/>
      <c r="Q774" s="3"/>
      <c r="R774" s="3"/>
      <c r="S774" s="3"/>
      <c r="T774" s="3"/>
      <c r="U774" s="4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4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4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4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  <c r="DN774" s="3"/>
      <c r="DO774" s="3"/>
      <c r="DP774" s="3"/>
      <c r="DQ774" s="3"/>
      <c r="DR774" s="3"/>
      <c r="DS774" s="3"/>
      <c r="DT774" s="3"/>
      <c r="DU774" s="3"/>
      <c r="DV774" s="3"/>
      <c r="DW774" s="3"/>
      <c r="DX774" s="3"/>
      <c r="DY774" s="3"/>
      <c r="DZ774" s="3"/>
      <c r="EA774" s="3"/>
      <c r="EB774" s="3"/>
      <c r="EC774" s="3"/>
      <c r="ED774" s="3"/>
      <c r="EE774" s="3"/>
      <c r="EF774" s="3"/>
      <c r="EG774" s="3"/>
      <c r="EH774" s="3"/>
      <c r="EI774" s="3"/>
      <c r="EJ774" s="3"/>
      <c r="EK774" s="3"/>
      <c r="EL774" s="3"/>
      <c r="EM774" s="3"/>
      <c r="EN774" s="3"/>
      <c r="EO774" s="3"/>
      <c r="EP774" s="3"/>
      <c r="EQ774" s="3"/>
      <c r="ER774" s="3"/>
      <c r="ES774" s="3"/>
      <c r="ET774" s="3"/>
      <c r="EU774" s="3"/>
      <c r="EV774" s="3"/>
      <c r="EW774" s="3"/>
      <c r="EX774" s="3"/>
      <c r="EY774" s="3"/>
      <c r="EZ774" s="3"/>
      <c r="FA774" s="3"/>
      <c r="FB774" s="3"/>
      <c r="FC774" s="3"/>
      <c r="FD774" s="3"/>
      <c r="FE774" s="3"/>
      <c r="FF774" s="3"/>
      <c r="FG774" s="3"/>
      <c r="FH774" s="3"/>
      <c r="FI774" s="3"/>
      <c r="FJ774" s="3"/>
      <c r="FK774" s="3"/>
      <c r="FL774" s="3"/>
      <c r="FM774" s="3"/>
      <c r="FN774" s="3"/>
      <c r="FO774" s="3"/>
      <c r="FP774" s="3"/>
      <c r="FQ774" s="3"/>
      <c r="FR774" s="3"/>
      <c r="FS774" s="3"/>
      <c r="FT774" s="3"/>
      <c r="FU774" s="3"/>
      <c r="FV774" s="3"/>
      <c r="FW774" s="3"/>
      <c r="FX774" s="3"/>
      <c r="FY774" s="3"/>
    </row>
    <row r="775" spans="7:181" ht="15" x14ac:dyDescent="0.25">
      <c r="G775" s="2"/>
      <c r="H775" s="2"/>
      <c r="I775" s="2"/>
      <c r="J775" s="2"/>
      <c r="K775" s="2"/>
      <c r="L775" s="3"/>
      <c r="M775" s="3"/>
      <c r="N775" s="3"/>
      <c r="O775" s="3"/>
      <c r="P775" s="3"/>
      <c r="Q775" s="3"/>
      <c r="R775" s="3"/>
      <c r="S775" s="3"/>
      <c r="T775" s="3"/>
      <c r="U775" s="4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4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4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4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/>
      <c r="DS775" s="3"/>
      <c r="DT775" s="3"/>
      <c r="DU775" s="3"/>
      <c r="DV775" s="3"/>
      <c r="DW775" s="3"/>
      <c r="DX775" s="3"/>
      <c r="DY775" s="3"/>
      <c r="DZ775" s="3"/>
      <c r="EA775" s="3"/>
      <c r="EB775" s="3"/>
      <c r="EC775" s="3"/>
      <c r="ED775" s="3"/>
      <c r="EE775" s="3"/>
      <c r="EF775" s="3"/>
      <c r="EG775" s="3"/>
      <c r="EH775" s="3"/>
      <c r="EI775" s="3"/>
      <c r="EJ775" s="3"/>
      <c r="EK775" s="3"/>
      <c r="EL775" s="3"/>
      <c r="EM775" s="3"/>
      <c r="EN775" s="3"/>
      <c r="EO775" s="3"/>
      <c r="EP775" s="3"/>
      <c r="EQ775" s="3"/>
      <c r="ER775" s="3"/>
      <c r="ES775" s="3"/>
      <c r="ET775" s="3"/>
      <c r="EU775" s="3"/>
      <c r="EV775" s="3"/>
      <c r="EW775" s="3"/>
      <c r="EX775" s="3"/>
      <c r="EY775" s="3"/>
      <c r="EZ775" s="3"/>
      <c r="FA775" s="3"/>
      <c r="FB775" s="3"/>
      <c r="FC775" s="3"/>
      <c r="FD775" s="3"/>
      <c r="FE775" s="3"/>
      <c r="FF775" s="3"/>
      <c r="FG775" s="3"/>
      <c r="FH775" s="3"/>
      <c r="FI775" s="3"/>
      <c r="FJ775" s="3"/>
      <c r="FK775" s="3"/>
      <c r="FL775" s="3"/>
      <c r="FM775" s="3"/>
      <c r="FN775" s="3"/>
      <c r="FO775" s="3"/>
      <c r="FP775" s="3"/>
      <c r="FQ775" s="3"/>
      <c r="FR775" s="3"/>
      <c r="FS775" s="3"/>
      <c r="FT775" s="3"/>
      <c r="FU775" s="3"/>
      <c r="FV775" s="3"/>
      <c r="FW775" s="3"/>
      <c r="FX775" s="3"/>
      <c r="FY775" s="3"/>
    </row>
    <row r="776" spans="7:181" ht="15" x14ac:dyDescent="0.25">
      <c r="G776" s="2"/>
      <c r="H776" s="2"/>
      <c r="I776" s="2"/>
      <c r="J776" s="2"/>
      <c r="K776" s="2"/>
      <c r="L776" s="3"/>
      <c r="M776" s="3"/>
      <c r="N776" s="3"/>
      <c r="O776" s="3"/>
      <c r="P776" s="3"/>
      <c r="Q776" s="3"/>
      <c r="R776" s="3"/>
      <c r="S776" s="3"/>
      <c r="T776" s="3"/>
      <c r="U776" s="4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4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4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4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  <c r="DN776" s="3"/>
      <c r="DO776" s="3"/>
      <c r="DP776" s="3"/>
      <c r="DQ776" s="3"/>
      <c r="DR776" s="3"/>
      <c r="DS776" s="3"/>
      <c r="DT776" s="3"/>
      <c r="DU776" s="3"/>
      <c r="DV776" s="3"/>
      <c r="DW776" s="3"/>
      <c r="DX776" s="3"/>
      <c r="DY776" s="3"/>
      <c r="DZ776" s="3"/>
      <c r="EA776" s="3"/>
      <c r="EB776" s="3"/>
      <c r="EC776" s="3"/>
      <c r="ED776" s="3"/>
      <c r="EE776" s="3"/>
      <c r="EF776" s="3"/>
      <c r="EG776" s="3"/>
      <c r="EH776" s="3"/>
      <c r="EI776" s="3"/>
      <c r="EJ776" s="3"/>
      <c r="EK776" s="3"/>
      <c r="EL776" s="3"/>
      <c r="EM776" s="3"/>
      <c r="EN776" s="3"/>
      <c r="EO776" s="3"/>
      <c r="EP776" s="3"/>
      <c r="EQ776" s="3"/>
      <c r="ER776" s="3"/>
      <c r="ES776" s="3"/>
      <c r="ET776" s="3"/>
      <c r="EU776" s="3"/>
      <c r="EV776" s="3"/>
      <c r="EW776" s="3"/>
      <c r="EX776" s="3"/>
      <c r="EY776" s="3"/>
      <c r="EZ776" s="3"/>
      <c r="FA776" s="3"/>
      <c r="FB776" s="3"/>
      <c r="FC776" s="3"/>
      <c r="FD776" s="3"/>
      <c r="FE776" s="3"/>
      <c r="FF776" s="3"/>
      <c r="FG776" s="3"/>
      <c r="FH776" s="3"/>
      <c r="FI776" s="3"/>
      <c r="FJ776" s="3"/>
      <c r="FK776" s="3"/>
      <c r="FL776" s="3"/>
      <c r="FM776" s="3"/>
      <c r="FN776" s="3"/>
      <c r="FO776" s="3"/>
      <c r="FP776" s="3"/>
      <c r="FQ776" s="3"/>
      <c r="FR776" s="3"/>
      <c r="FS776" s="3"/>
      <c r="FT776" s="3"/>
      <c r="FU776" s="3"/>
      <c r="FV776" s="3"/>
      <c r="FW776" s="3"/>
      <c r="FX776" s="3"/>
      <c r="FY776" s="3"/>
    </row>
    <row r="777" spans="7:181" ht="15" x14ac:dyDescent="0.25">
      <c r="G777" s="2"/>
      <c r="H777" s="2"/>
      <c r="I777" s="2"/>
      <c r="J777" s="2"/>
      <c r="K777" s="2"/>
      <c r="L777" s="3"/>
      <c r="M777" s="3"/>
      <c r="N777" s="3"/>
      <c r="O777" s="3"/>
      <c r="P777" s="3"/>
      <c r="Q777" s="3"/>
      <c r="R777" s="3"/>
      <c r="S777" s="3"/>
      <c r="T777" s="3"/>
      <c r="U777" s="4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4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4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4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  <c r="DN777" s="3"/>
      <c r="DO777" s="3"/>
      <c r="DP777" s="3"/>
      <c r="DQ777" s="3"/>
      <c r="DR777" s="3"/>
      <c r="DS777" s="3"/>
      <c r="DT777" s="3"/>
      <c r="DU777" s="3"/>
      <c r="DV777" s="3"/>
      <c r="DW777" s="3"/>
      <c r="DX777" s="3"/>
      <c r="DY777" s="3"/>
      <c r="DZ777" s="3"/>
      <c r="EA777" s="3"/>
      <c r="EB777" s="3"/>
      <c r="EC777" s="3"/>
      <c r="ED777" s="3"/>
      <c r="EE777" s="3"/>
      <c r="EF777" s="3"/>
      <c r="EG777" s="3"/>
      <c r="EH777" s="3"/>
      <c r="EI777" s="3"/>
      <c r="EJ777" s="3"/>
      <c r="EK777" s="3"/>
      <c r="EL777" s="3"/>
      <c r="EM777" s="3"/>
      <c r="EN777" s="3"/>
      <c r="EO777" s="3"/>
      <c r="EP777" s="3"/>
      <c r="EQ777" s="3"/>
      <c r="ER777" s="3"/>
      <c r="ES777" s="3"/>
      <c r="ET777" s="3"/>
      <c r="EU777" s="3"/>
      <c r="EV777" s="3"/>
      <c r="EW777" s="3"/>
      <c r="EX777" s="3"/>
      <c r="EY777" s="3"/>
      <c r="EZ777" s="3"/>
      <c r="FA777" s="3"/>
      <c r="FB777" s="3"/>
      <c r="FC777" s="3"/>
      <c r="FD777" s="3"/>
      <c r="FE777" s="3"/>
      <c r="FF777" s="3"/>
      <c r="FG777" s="3"/>
      <c r="FH777" s="3"/>
      <c r="FI777" s="3"/>
      <c r="FJ777" s="3"/>
      <c r="FK777" s="3"/>
      <c r="FL777" s="3"/>
      <c r="FM777" s="3"/>
      <c r="FN777" s="3"/>
      <c r="FO777" s="3"/>
      <c r="FP777" s="3"/>
      <c r="FQ777" s="3"/>
      <c r="FR777" s="3"/>
      <c r="FS777" s="3"/>
      <c r="FT777" s="3"/>
      <c r="FU777" s="3"/>
      <c r="FV777" s="3"/>
      <c r="FW777" s="3"/>
      <c r="FX777" s="3"/>
      <c r="FY777" s="3"/>
    </row>
    <row r="778" spans="7:181" ht="15" x14ac:dyDescent="0.25">
      <c r="G778" s="2"/>
      <c r="H778" s="2"/>
      <c r="I778" s="2"/>
      <c r="J778" s="2"/>
      <c r="K778" s="2"/>
      <c r="L778" s="3"/>
      <c r="M778" s="3"/>
      <c r="N778" s="3"/>
      <c r="O778" s="3"/>
      <c r="P778" s="3"/>
      <c r="Q778" s="3"/>
      <c r="R778" s="3"/>
      <c r="S778" s="3"/>
      <c r="T778" s="3"/>
      <c r="U778" s="4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4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4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4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  <c r="DN778" s="3"/>
      <c r="DO778" s="3"/>
      <c r="DP778" s="3"/>
      <c r="DQ778" s="3"/>
      <c r="DR778" s="3"/>
      <c r="DS778" s="3"/>
      <c r="DT778" s="3"/>
      <c r="DU778" s="3"/>
      <c r="DV778" s="3"/>
      <c r="DW778" s="3"/>
      <c r="DX778" s="3"/>
      <c r="DY778" s="3"/>
      <c r="DZ778" s="3"/>
      <c r="EA778" s="3"/>
      <c r="EB778" s="3"/>
      <c r="EC778" s="3"/>
      <c r="ED778" s="3"/>
      <c r="EE778" s="3"/>
      <c r="EF778" s="3"/>
      <c r="EG778" s="3"/>
      <c r="EH778" s="3"/>
      <c r="EI778" s="3"/>
      <c r="EJ778" s="3"/>
      <c r="EK778" s="3"/>
      <c r="EL778" s="3"/>
      <c r="EM778" s="3"/>
      <c r="EN778" s="3"/>
      <c r="EO778" s="3"/>
      <c r="EP778" s="3"/>
      <c r="EQ778" s="3"/>
      <c r="ER778" s="3"/>
      <c r="ES778" s="3"/>
      <c r="ET778" s="3"/>
      <c r="EU778" s="3"/>
      <c r="EV778" s="3"/>
      <c r="EW778" s="3"/>
      <c r="EX778" s="3"/>
      <c r="EY778" s="3"/>
      <c r="EZ778" s="3"/>
      <c r="FA778" s="3"/>
      <c r="FB778" s="3"/>
      <c r="FC778" s="3"/>
      <c r="FD778" s="3"/>
      <c r="FE778" s="3"/>
      <c r="FF778" s="3"/>
      <c r="FG778" s="3"/>
      <c r="FH778" s="3"/>
      <c r="FI778" s="3"/>
      <c r="FJ778" s="3"/>
      <c r="FK778" s="3"/>
      <c r="FL778" s="3"/>
      <c r="FM778" s="3"/>
      <c r="FN778" s="3"/>
      <c r="FO778" s="3"/>
      <c r="FP778" s="3"/>
      <c r="FQ778" s="3"/>
      <c r="FR778" s="3"/>
      <c r="FS778" s="3"/>
      <c r="FT778" s="3"/>
      <c r="FU778" s="3"/>
      <c r="FV778" s="3"/>
      <c r="FW778" s="3"/>
      <c r="FX778" s="3"/>
      <c r="FY778" s="3"/>
    </row>
    <row r="779" spans="7:181" ht="15" x14ac:dyDescent="0.25">
      <c r="G779" s="2"/>
      <c r="H779" s="2"/>
      <c r="I779" s="2"/>
      <c r="J779" s="2"/>
      <c r="K779" s="2"/>
      <c r="L779" s="3"/>
      <c r="M779" s="3"/>
      <c r="N779" s="3"/>
      <c r="O779" s="3"/>
      <c r="P779" s="3"/>
      <c r="Q779" s="3"/>
      <c r="R779" s="3"/>
      <c r="S779" s="3"/>
      <c r="T779" s="3"/>
      <c r="U779" s="4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4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4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4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  <c r="DN779" s="3"/>
      <c r="DO779" s="3"/>
      <c r="DP779" s="3"/>
      <c r="DQ779" s="3"/>
      <c r="DR779" s="3"/>
      <c r="DS779" s="3"/>
      <c r="DT779" s="3"/>
      <c r="DU779" s="3"/>
      <c r="DV779" s="3"/>
      <c r="DW779" s="3"/>
      <c r="DX779" s="3"/>
      <c r="DY779" s="3"/>
      <c r="DZ779" s="3"/>
      <c r="EA779" s="3"/>
      <c r="EB779" s="3"/>
      <c r="EC779" s="3"/>
      <c r="ED779" s="3"/>
      <c r="EE779" s="3"/>
      <c r="EF779" s="3"/>
      <c r="EG779" s="3"/>
      <c r="EH779" s="3"/>
      <c r="EI779" s="3"/>
      <c r="EJ779" s="3"/>
      <c r="EK779" s="3"/>
      <c r="EL779" s="3"/>
      <c r="EM779" s="3"/>
      <c r="EN779" s="3"/>
      <c r="EO779" s="3"/>
      <c r="EP779" s="3"/>
      <c r="EQ779" s="3"/>
      <c r="ER779" s="3"/>
      <c r="ES779" s="3"/>
      <c r="ET779" s="3"/>
      <c r="EU779" s="3"/>
      <c r="EV779" s="3"/>
      <c r="EW779" s="3"/>
      <c r="EX779" s="3"/>
      <c r="EY779" s="3"/>
      <c r="EZ779" s="3"/>
      <c r="FA779" s="3"/>
      <c r="FB779" s="3"/>
      <c r="FC779" s="3"/>
      <c r="FD779" s="3"/>
      <c r="FE779" s="3"/>
      <c r="FF779" s="3"/>
      <c r="FG779" s="3"/>
      <c r="FH779" s="3"/>
      <c r="FI779" s="3"/>
      <c r="FJ779" s="3"/>
      <c r="FK779" s="3"/>
      <c r="FL779" s="3"/>
      <c r="FM779" s="3"/>
      <c r="FN779" s="3"/>
      <c r="FO779" s="3"/>
      <c r="FP779" s="3"/>
      <c r="FQ779" s="3"/>
      <c r="FR779" s="3"/>
      <c r="FS779" s="3"/>
      <c r="FT779" s="3"/>
      <c r="FU779" s="3"/>
      <c r="FV779" s="3"/>
      <c r="FW779" s="3"/>
      <c r="FX779" s="3"/>
      <c r="FY779" s="3"/>
    </row>
    <row r="780" spans="7:181" ht="15" x14ac:dyDescent="0.25">
      <c r="G780" s="2"/>
      <c r="H780" s="2"/>
      <c r="I780" s="2"/>
      <c r="J780" s="2"/>
      <c r="K780" s="2"/>
      <c r="L780" s="3"/>
      <c r="M780" s="3"/>
      <c r="N780" s="3"/>
      <c r="O780" s="3"/>
      <c r="P780" s="3"/>
      <c r="Q780" s="3"/>
      <c r="R780" s="3"/>
      <c r="S780" s="3"/>
      <c r="T780" s="3"/>
      <c r="U780" s="4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4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4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4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  <c r="BT780" s="3"/>
      <c r="BU780" s="3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3"/>
      <c r="DK780" s="3"/>
      <c r="DL780" s="3"/>
      <c r="DM780" s="3"/>
      <c r="DN780" s="3"/>
      <c r="DO780" s="3"/>
      <c r="DP780" s="3"/>
      <c r="DQ780" s="3"/>
      <c r="DR780" s="3"/>
      <c r="DS780" s="3"/>
      <c r="DT780" s="3"/>
      <c r="DU780" s="3"/>
      <c r="DV780" s="3"/>
      <c r="DW780" s="3"/>
      <c r="DX780" s="3"/>
      <c r="DY780" s="3"/>
      <c r="DZ780" s="3"/>
      <c r="EA780" s="3"/>
      <c r="EB780" s="3"/>
      <c r="EC780" s="3"/>
      <c r="ED780" s="3"/>
      <c r="EE780" s="3"/>
      <c r="EF780" s="3"/>
      <c r="EG780" s="3"/>
      <c r="EH780" s="3"/>
      <c r="EI780" s="3"/>
      <c r="EJ780" s="3"/>
      <c r="EK780" s="3"/>
      <c r="EL780" s="3"/>
      <c r="EM780" s="3"/>
      <c r="EN780" s="3"/>
      <c r="EO780" s="3"/>
      <c r="EP780" s="3"/>
      <c r="EQ780" s="3"/>
      <c r="ER780" s="3"/>
      <c r="ES780" s="3"/>
      <c r="ET780" s="3"/>
      <c r="EU780" s="3"/>
      <c r="EV780" s="3"/>
      <c r="EW780" s="3"/>
      <c r="EX780" s="3"/>
      <c r="EY780" s="3"/>
      <c r="EZ780" s="3"/>
      <c r="FA780" s="3"/>
      <c r="FB780" s="3"/>
      <c r="FC780" s="3"/>
      <c r="FD780" s="3"/>
      <c r="FE780" s="3"/>
      <c r="FF780" s="3"/>
      <c r="FG780" s="3"/>
      <c r="FH780" s="3"/>
      <c r="FI780" s="3"/>
      <c r="FJ780" s="3"/>
      <c r="FK780" s="3"/>
      <c r="FL780" s="3"/>
      <c r="FM780" s="3"/>
      <c r="FN780" s="3"/>
      <c r="FO780" s="3"/>
      <c r="FP780" s="3"/>
      <c r="FQ780" s="3"/>
      <c r="FR780" s="3"/>
      <c r="FS780" s="3"/>
      <c r="FT780" s="3"/>
      <c r="FU780" s="3"/>
      <c r="FV780" s="3"/>
      <c r="FW780" s="3"/>
      <c r="FX780" s="3"/>
      <c r="FY780" s="3"/>
    </row>
    <row r="781" spans="7:181" ht="15" x14ac:dyDescent="0.25">
      <c r="G781" s="2"/>
      <c r="H781" s="2"/>
      <c r="I781" s="2"/>
      <c r="J781" s="2"/>
      <c r="K781" s="2"/>
      <c r="L781" s="3"/>
      <c r="M781" s="3"/>
      <c r="N781" s="3"/>
      <c r="O781" s="3"/>
      <c r="P781" s="3"/>
      <c r="Q781" s="3"/>
      <c r="R781" s="3"/>
      <c r="S781" s="3"/>
      <c r="T781" s="3"/>
      <c r="U781" s="4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4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4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4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  <c r="BT781" s="3"/>
      <c r="BU781" s="3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3"/>
      <c r="DK781" s="3"/>
      <c r="DL781" s="3"/>
      <c r="DM781" s="3"/>
      <c r="DN781" s="3"/>
      <c r="DO781" s="3"/>
      <c r="DP781" s="3"/>
      <c r="DQ781" s="3"/>
      <c r="DR781" s="3"/>
      <c r="DS781" s="3"/>
      <c r="DT781" s="3"/>
      <c r="DU781" s="3"/>
      <c r="DV781" s="3"/>
      <c r="DW781" s="3"/>
      <c r="DX781" s="3"/>
      <c r="DY781" s="3"/>
      <c r="DZ781" s="3"/>
      <c r="EA781" s="3"/>
      <c r="EB781" s="3"/>
      <c r="EC781" s="3"/>
      <c r="ED781" s="3"/>
      <c r="EE781" s="3"/>
      <c r="EF781" s="3"/>
      <c r="EG781" s="3"/>
      <c r="EH781" s="3"/>
      <c r="EI781" s="3"/>
      <c r="EJ781" s="3"/>
      <c r="EK781" s="3"/>
      <c r="EL781" s="3"/>
      <c r="EM781" s="3"/>
      <c r="EN781" s="3"/>
      <c r="EO781" s="3"/>
      <c r="EP781" s="3"/>
      <c r="EQ781" s="3"/>
      <c r="ER781" s="3"/>
      <c r="ES781" s="3"/>
      <c r="ET781" s="3"/>
      <c r="EU781" s="3"/>
      <c r="EV781" s="3"/>
      <c r="EW781" s="3"/>
      <c r="EX781" s="3"/>
      <c r="EY781" s="3"/>
      <c r="EZ781" s="3"/>
      <c r="FA781" s="3"/>
      <c r="FB781" s="3"/>
      <c r="FC781" s="3"/>
      <c r="FD781" s="3"/>
      <c r="FE781" s="3"/>
      <c r="FF781" s="3"/>
      <c r="FG781" s="3"/>
      <c r="FH781" s="3"/>
      <c r="FI781" s="3"/>
      <c r="FJ781" s="3"/>
      <c r="FK781" s="3"/>
      <c r="FL781" s="3"/>
      <c r="FM781" s="3"/>
      <c r="FN781" s="3"/>
      <c r="FO781" s="3"/>
      <c r="FP781" s="3"/>
      <c r="FQ781" s="3"/>
      <c r="FR781" s="3"/>
      <c r="FS781" s="3"/>
      <c r="FT781" s="3"/>
      <c r="FU781" s="3"/>
      <c r="FV781" s="3"/>
      <c r="FW781" s="3"/>
      <c r="FX781" s="3"/>
      <c r="FY781" s="3"/>
    </row>
    <row r="782" spans="7:181" ht="15" x14ac:dyDescent="0.25">
      <c r="G782" s="2"/>
      <c r="H782" s="2"/>
      <c r="I782" s="2"/>
      <c r="J782" s="2"/>
      <c r="K782" s="2"/>
      <c r="L782" s="3"/>
      <c r="M782" s="3"/>
      <c r="N782" s="3"/>
      <c r="O782" s="3"/>
      <c r="P782" s="3"/>
      <c r="Q782" s="3"/>
      <c r="R782" s="3"/>
      <c r="S782" s="3"/>
      <c r="T782" s="3"/>
      <c r="U782" s="4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4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4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4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  <c r="DP782" s="3"/>
      <c r="DQ782" s="3"/>
      <c r="DR782" s="3"/>
      <c r="DS782" s="3"/>
      <c r="DT782" s="3"/>
      <c r="DU782" s="3"/>
      <c r="DV782" s="3"/>
      <c r="DW782" s="3"/>
      <c r="DX782" s="3"/>
      <c r="DY782" s="3"/>
      <c r="DZ782" s="3"/>
      <c r="EA782" s="3"/>
      <c r="EB782" s="3"/>
      <c r="EC782" s="3"/>
      <c r="ED782" s="3"/>
      <c r="EE782" s="3"/>
      <c r="EF782" s="3"/>
      <c r="EG782" s="3"/>
      <c r="EH782" s="3"/>
      <c r="EI782" s="3"/>
      <c r="EJ782" s="3"/>
      <c r="EK782" s="3"/>
      <c r="EL782" s="3"/>
      <c r="EM782" s="3"/>
      <c r="EN782" s="3"/>
      <c r="EO782" s="3"/>
      <c r="EP782" s="3"/>
      <c r="EQ782" s="3"/>
      <c r="ER782" s="3"/>
      <c r="ES782" s="3"/>
      <c r="ET782" s="3"/>
      <c r="EU782" s="3"/>
      <c r="EV782" s="3"/>
      <c r="EW782" s="3"/>
      <c r="EX782" s="3"/>
      <c r="EY782" s="3"/>
      <c r="EZ782" s="3"/>
      <c r="FA782" s="3"/>
      <c r="FB782" s="3"/>
      <c r="FC782" s="3"/>
      <c r="FD782" s="3"/>
      <c r="FE782" s="3"/>
      <c r="FF782" s="3"/>
      <c r="FG782" s="3"/>
      <c r="FH782" s="3"/>
      <c r="FI782" s="3"/>
      <c r="FJ782" s="3"/>
      <c r="FK782" s="3"/>
      <c r="FL782" s="3"/>
      <c r="FM782" s="3"/>
      <c r="FN782" s="3"/>
      <c r="FO782" s="3"/>
      <c r="FP782" s="3"/>
      <c r="FQ782" s="3"/>
      <c r="FR782" s="3"/>
      <c r="FS782" s="3"/>
      <c r="FT782" s="3"/>
      <c r="FU782" s="3"/>
      <c r="FV782" s="3"/>
      <c r="FW782" s="3"/>
      <c r="FX782" s="3"/>
      <c r="FY782" s="3"/>
    </row>
    <row r="783" spans="7:181" ht="15" x14ac:dyDescent="0.25">
      <c r="G783" s="2"/>
      <c r="H783" s="2"/>
      <c r="I783" s="2"/>
      <c r="J783" s="2"/>
      <c r="K783" s="2"/>
      <c r="L783" s="3"/>
      <c r="M783" s="3"/>
      <c r="N783" s="3"/>
      <c r="O783" s="3"/>
      <c r="P783" s="3"/>
      <c r="Q783" s="3"/>
      <c r="R783" s="3"/>
      <c r="S783" s="3"/>
      <c r="T783" s="3"/>
      <c r="U783" s="4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4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4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4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  <c r="DP783" s="3"/>
      <c r="DQ783" s="3"/>
      <c r="DR783" s="3"/>
      <c r="DS783" s="3"/>
      <c r="DT783" s="3"/>
      <c r="DU783" s="3"/>
      <c r="DV783" s="3"/>
      <c r="DW783" s="3"/>
      <c r="DX783" s="3"/>
      <c r="DY783" s="3"/>
      <c r="DZ783" s="3"/>
      <c r="EA783" s="3"/>
      <c r="EB783" s="3"/>
      <c r="EC783" s="3"/>
      <c r="ED783" s="3"/>
      <c r="EE783" s="3"/>
      <c r="EF783" s="3"/>
      <c r="EG783" s="3"/>
      <c r="EH783" s="3"/>
      <c r="EI783" s="3"/>
      <c r="EJ783" s="3"/>
      <c r="EK783" s="3"/>
      <c r="EL783" s="3"/>
      <c r="EM783" s="3"/>
      <c r="EN783" s="3"/>
      <c r="EO783" s="3"/>
      <c r="EP783" s="3"/>
      <c r="EQ783" s="3"/>
      <c r="ER783" s="3"/>
      <c r="ES783" s="3"/>
      <c r="ET783" s="3"/>
      <c r="EU783" s="3"/>
      <c r="EV783" s="3"/>
      <c r="EW783" s="3"/>
      <c r="EX783" s="3"/>
      <c r="EY783" s="3"/>
      <c r="EZ783" s="3"/>
      <c r="FA783" s="3"/>
      <c r="FB783" s="3"/>
      <c r="FC783" s="3"/>
      <c r="FD783" s="3"/>
      <c r="FE783" s="3"/>
      <c r="FF783" s="3"/>
      <c r="FG783" s="3"/>
      <c r="FH783" s="3"/>
      <c r="FI783" s="3"/>
      <c r="FJ783" s="3"/>
      <c r="FK783" s="3"/>
      <c r="FL783" s="3"/>
      <c r="FM783" s="3"/>
      <c r="FN783" s="3"/>
      <c r="FO783" s="3"/>
      <c r="FP783" s="3"/>
      <c r="FQ783" s="3"/>
      <c r="FR783" s="3"/>
      <c r="FS783" s="3"/>
      <c r="FT783" s="3"/>
      <c r="FU783" s="3"/>
      <c r="FV783" s="3"/>
      <c r="FW783" s="3"/>
      <c r="FX783" s="3"/>
      <c r="FY783" s="3"/>
    </row>
    <row r="784" spans="7:181" ht="15" x14ac:dyDescent="0.25">
      <c r="G784" s="2"/>
      <c r="H784" s="2"/>
      <c r="I784" s="2"/>
      <c r="J784" s="2"/>
      <c r="K784" s="2"/>
      <c r="L784" s="3"/>
      <c r="M784" s="3"/>
      <c r="N784" s="3"/>
      <c r="O784" s="3"/>
      <c r="P784" s="3"/>
      <c r="Q784" s="3"/>
      <c r="R784" s="3"/>
      <c r="S784" s="3"/>
      <c r="T784" s="3"/>
      <c r="U784" s="4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4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4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4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  <c r="DP784" s="3"/>
      <c r="DQ784" s="3"/>
      <c r="DR784" s="3"/>
      <c r="DS784" s="3"/>
      <c r="DT784" s="3"/>
      <c r="DU784" s="3"/>
      <c r="DV784" s="3"/>
      <c r="DW784" s="3"/>
      <c r="DX784" s="3"/>
      <c r="DY784" s="3"/>
      <c r="DZ784" s="3"/>
      <c r="EA784" s="3"/>
      <c r="EB784" s="3"/>
      <c r="EC784" s="3"/>
      <c r="ED784" s="3"/>
      <c r="EE784" s="3"/>
      <c r="EF784" s="3"/>
      <c r="EG784" s="3"/>
      <c r="EH784" s="3"/>
      <c r="EI784" s="3"/>
      <c r="EJ784" s="3"/>
      <c r="EK784" s="3"/>
      <c r="EL784" s="3"/>
      <c r="EM784" s="3"/>
      <c r="EN784" s="3"/>
      <c r="EO784" s="3"/>
      <c r="EP784" s="3"/>
      <c r="EQ784" s="3"/>
      <c r="ER784" s="3"/>
      <c r="ES784" s="3"/>
      <c r="ET784" s="3"/>
      <c r="EU784" s="3"/>
      <c r="EV784" s="3"/>
      <c r="EW784" s="3"/>
      <c r="EX784" s="3"/>
      <c r="EY784" s="3"/>
      <c r="EZ784" s="3"/>
      <c r="FA784" s="3"/>
      <c r="FB784" s="3"/>
      <c r="FC784" s="3"/>
      <c r="FD784" s="3"/>
      <c r="FE784" s="3"/>
      <c r="FF784" s="3"/>
      <c r="FG784" s="3"/>
      <c r="FH784" s="3"/>
      <c r="FI784" s="3"/>
      <c r="FJ784" s="3"/>
      <c r="FK784" s="3"/>
      <c r="FL784" s="3"/>
      <c r="FM784" s="3"/>
      <c r="FN784" s="3"/>
      <c r="FO784" s="3"/>
      <c r="FP784" s="3"/>
      <c r="FQ784" s="3"/>
      <c r="FR784" s="3"/>
      <c r="FS784" s="3"/>
      <c r="FT784" s="3"/>
      <c r="FU784" s="3"/>
      <c r="FV784" s="3"/>
      <c r="FW784" s="3"/>
      <c r="FX784" s="3"/>
      <c r="FY784" s="3"/>
    </row>
    <row r="785" spans="7:181" ht="15" x14ac:dyDescent="0.25">
      <c r="G785" s="2"/>
      <c r="H785" s="2"/>
      <c r="I785" s="2"/>
      <c r="J785" s="2"/>
      <c r="K785" s="2"/>
      <c r="L785" s="3"/>
      <c r="M785" s="3"/>
      <c r="N785" s="3"/>
      <c r="O785" s="3"/>
      <c r="P785" s="3"/>
      <c r="Q785" s="3"/>
      <c r="R785" s="3"/>
      <c r="S785" s="3"/>
      <c r="T785" s="3"/>
      <c r="U785" s="4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4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4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4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  <c r="DP785" s="3"/>
      <c r="DQ785" s="3"/>
      <c r="DR785" s="3"/>
      <c r="DS785" s="3"/>
      <c r="DT785" s="3"/>
      <c r="DU785" s="3"/>
      <c r="DV785" s="3"/>
      <c r="DW785" s="3"/>
      <c r="DX785" s="3"/>
      <c r="DY785" s="3"/>
      <c r="DZ785" s="3"/>
      <c r="EA785" s="3"/>
      <c r="EB785" s="3"/>
      <c r="EC785" s="3"/>
      <c r="ED785" s="3"/>
      <c r="EE785" s="3"/>
      <c r="EF785" s="3"/>
      <c r="EG785" s="3"/>
      <c r="EH785" s="3"/>
      <c r="EI785" s="3"/>
      <c r="EJ785" s="3"/>
      <c r="EK785" s="3"/>
      <c r="EL785" s="3"/>
      <c r="EM785" s="3"/>
      <c r="EN785" s="3"/>
      <c r="EO785" s="3"/>
      <c r="EP785" s="3"/>
      <c r="EQ785" s="3"/>
      <c r="ER785" s="3"/>
      <c r="ES785" s="3"/>
      <c r="ET785" s="3"/>
      <c r="EU785" s="3"/>
      <c r="EV785" s="3"/>
      <c r="EW785" s="3"/>
      <c r="EX785" s="3"/>
      <c r="EY785" s="3"/>
      <c r="EZ785" s="3"/>
      <c r="FA785" s="3"/>
      <c r="FB785" s="3"/>
      <c r="FC785" s="3"/>
      <c r="FD785" s="3"/>
      <c r="FE785" s="3"/>
      <c r="FF785" s="3"/>
      <c r="FG785" s="3"/>
      <c r="FH785" s="3"/>
      <c r="FI785" s="3"/>
      <c r="FJ785" s="3"/>
      <c r="FK785" s="3"/>
      <c r="FL785" s="3"/>
      <c r="FM785" s="3"/>
      <c r="FN785" s="3"/>
      <c r="FO785" s="3"/>
      <c r="FP785" s="3"/>
      <c r="FQ785" s="3"/>
      <c r="FR785" s="3"/>
      <c r="FS785" s="3"/>
      <c r="FT785" s="3"/>
      <c r="FU785" s="3"/>
      <c r="FV785" s="3"/>
      <c r="FW785" s="3"/>
      <c r="FX785" s="3"/>
      <c r="FY785" s="3"/>
    </row>
    <row r="786" spans="7:181" ht="15" x14ac:dyDescent="0.25">
      <c r="G786" s="2"/>
      <c r="H786" s="2"/>
      <c r="I786" s="2"/>
      <c r="J786" s="2"/>
      <c r="K786" s="2"/>
      <c r="L786" s="3"/>
      <c r="M786" s="3"/>
      <c r="N786" s="3"/>
      <c r="O786" s="3"/>
      <c r="P786" s="3"/>
      <c r="Q786" s="3"/>
      <c r="R786" s="3"/>
      <c r="S786" s="3"/>
      <c r="T786" s="3"/>
      <c r="U786" s="4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4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4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4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  <c r="DN786" s="3"/>
      <c r="DO786" s="3"/>
      <c r="DP786" s="3"/>
      <c r="DQ786" s="3"/>
      <c r="DR786" s="3"/>
      <c r="DS786" s="3"/>
      <c r="DT786" s="3"/>
      <c r="DU786" s="3"/>
      <c r="DV786" s="3"/>
      <c r="DW786" s="3"/>
      <c r="DX786" s="3"/>
      <c r="DY786" s="3"/>
      <c r="DZ786" s="3"/>
      <c r="EA786" s="3"/>
      <c r="EB786" s="3"/>
      <c r="EC786" s="3"/>
      <c r="ED786" s="3"/>
      <c r="EE786" s="3"/>
      <c r="EF786" s="3"/>
      <c r="EG786" s="3"/>
      <c r="EH786" s="3"/>
      <c r="EI786" s="3"/>
      <c r="EJ786" s="3"/>
      <c r="EK786" s="3"/>
      <c r="EL786" s="3"/>
      <c r="EM786" s="3"/>
      <c r="EN786" s="3"/>
      <c r="EO786" s="3"/>
      <c r="EP786" s="3"/>
      <c r="EQ786" s="3"/>
      <c r="ER786" s="3"/>
      <c r="ES786" s="3"/>
      <c r="ET786" s="3"/>
      <c r="EU786" s="3"/>
      <c r="EV786" s="3"/>
      <c r="EW786" s="3"/>
      <c r="EX786" s="3"/>
      <c r="EY786" s="3"/>
      <c r="EZ786" s="3"/>
      <c r="FA786" s="3"/>
      <c r="FB786" s="3"/>
      <c r="FC786" s="3"/>
      <c r="FD786" s="3"/>
      <c r="FE786" s="3"/>
      <c r="FF786" s="3"/>
      <c r="FG786" s="3"/>
      <c r="FH786" s="3"/>
      <c r="FI786" s="3"/>
      <c r="FJ786" s="3"/>
      <c r="FK786" s="3"/>
      <c r="FL786" s="3"/>
      <c r="FM786" s="3"/>
      <c r="FN786" s="3"/>
      <c r="FO786" s="3"/>
      <c r="FP786" s="3"/>
      <c r="FQ786" s="3"/>
      <c r="FR786" s="3"/>
      <c r="FS786" s="3"/>
      <c r="FT786" s="3"/>
      <c r="FU786" s="3"/>
      <c r="FV786" s="3"/>
      <c r="FW786" s="3"/>
      <c r="FX786" s="3"/>
      <c r="FY786" s="3"/>
    </row>
    <row r="787" spans="7:181" ht="15" x14ac:dyDescent="0.25">
      <c r="G787" s="2"/>
      <c r="H787" s="2"/>
      <c r="I787" s="2"/>
      <c r="J787" s="2"/>
      <c r="K787" s="2"/>
      <c r="L787" s="3"/>
      <c r="M787" s="3"/>
      <c r="N787" s="3"/>
      <c r="O787" s="3"/>
      <c r="P787" s="3"/>
      <c r="Q787" s="3"/>
      <c r="R787" s="3"/>
      <c r="S787" s="3"/>
      <c r="T787" s="3"/>
      <c r="U787" s="4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4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4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4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  <c r="DN787" s="3"/>
      <c r="DO787" s="3"/>
      <c r="DP787" s="3"/>
      <c r="DQ787" s="3"/>
      <c r="DR787" s="3"/>
      <c r="DS787" s="3"/>
      <c r="DT787" s="3"/>
      <c r="DU787" s="3"/>
      <c r="DV787" s="3"/>
      <c r="DW787" s="3"/>
      <c r="DX787" s="3"/>
      <c r="DY787" s="3"/>
      <c r="DZ787" s="3"/>
      <c r="EA787" s="3"/>
      <c r="EB787" s="3"/>
      <c r="EC787" s="3"/>
      <c r="ED787" s="3"/>
      <c r="EE787" s="3"/>
      <c r="EF787" s="3"/>
      <c r="EG787" s="3"/>
      <c r="EH787" s="3"/>
      <c r="EI787" s="3"/>
      <c r="EJ787" s="3"/>
      <c r="EK787" s="3"/>
      <c r="EL787" s="3"/>
      <c r="EM787" s="3"/>
      <c r="EN787" s="3"/>
      <c r="EO787" s="3"/>
      <c r="EP787" s="3"/>
      <c r="EQ787" s="3"/>
      <c r="ER787" s="3"/>
      <c r="ES787" s="3"/>
      <c r="ET787" s="3"/>
      <c r="EU787" s="3"/>
      <c r="EV787" s="3"/>
      <c r="EW787" s="3"/>
      <c r="EX787" s="3"/>
      <c r="EY787" s="3"/>
      <c r="EZ787" s="3"/>
      <c r="FA787" s="3"/>
      <c r="FB787" s="3"/>
      <c r="FC787" s="3"/>
      <c r="FD787" s="3"/>
      <c r="FE787" s="3"/>
      <c r="FF787" s="3"/>
      <c r="FG787" s="3"/>
      <c r="FH787" s="3"/>
      <c r="FI787" s="3"/>
      <c r="FJ787" s="3"/>
      <c r="FK787" s="3"/>
      <c r="FL787" s="3"/>
      <c r="FM787" s="3"/>
      <c r="FN787" s="3"/>
      <c r="FO787" s="3"/>
      <c r="FP787" s="3"/>
      <c r="FQ787" s="3"/>
      <c r="FR787" s="3"/>
      <c r="FS787" s="3"/>
      <c r="FT787" s="3"/>
      <c r="FU787" s="3"/>
      <c r="FV787" s="3"/>
      <c r="FW787" s="3"/>
      <c r="FX787" s="3"/>
      <c r="FY787" s="3"/>
    </row>
    <row r="788" spans="7:181" ht="15" x14ac:dyDescent="0.25">
      <c r="G788" s="2"/>
      <c r="H788" s="2"/>
      <c r="I788" s="2"/>
      <c r="J788" s="2"/>
      <c r="K788" s="2"/>
      <c r="L788" s="3"/>
      <c r="M788" s="3"/>
      <c r="N788" s="3"/>
      <c r="O788" s="3"/>
      <c r="P788" s="3"/>
      <c r="Q788" s="3"/>
      <c r="R788" s="3"/>
      <c r="S788" s="3"/>
      <c r="T788" s="3"/>
      <c r="U788" s="4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4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4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4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  <c r="DN788" s="3"/>
      <c r="DO788" s="3"/>
      <c r="DP788" s="3"/>
      <c r="DQ788" s="3"/>
      <c r="DR788" s="3"/>
      <c r="DS788" s="3"/>
      <c r="DT788" s="3"/>
      <c r="DU788" s="3"/>
      <c r="DV788" s="3"/>
      <c r="DW788" s="3"/>
      <c r="DX788" s="3"/>
      <c r="DY788" s="3"/>
      <c r="DZ788" s="3"/>
      <c r="EA788" s="3"/>
      <c r="EB788" s="3"/>
      <c r="EC788" s="3"/>
      <c r="ED788" s="3"/>
      <c r="EE788" s="3"/>
      <c r="EF788" s="3"/>
      <c r="EG788" s="3"/>
      <c r="EH788" s="3"/>
      <c r="EI788" s="3"/>
      <c r="EJ788" s="3"/>
      <c r="EK788" s="3"/>
      <c r="EL788" s="3"/>
      <c r="EM788" s="3"/>
      <c r="EN788" s="3"/>
      <c r="EO788" s="3"/>
      <c r="EP788" s="3"/>
      <c r="EQ788" s="3"/>
      <c r="ER788" s="3"/>
      <c r="ES788" s="3"/>
      <c r="ET788" s="3"/>
      <c r="EU788" s="3"/>
      <c r="EV788" s="3"/>
      <c r="EW788" s="3"/>
      <c r="EX788" s="3"/>
      <c r="EY788" s="3"/>
      <c r="EZ788" s="3"/>
      <c r="FA788" s="3"/>
      <c r="FB788" s="3"/>
      <c r="FC788" s="3"/>
      <c r="FD788" s="3"/>
      <c r="FE788" s="3"/>
      <c r="FF788" s="3"/>
      <c r="FG788" s="3"/>
      <c r="FH788" s="3"/>
      <c r="FI788" s="3"/>
      <c r="FJ788" s="3"/>
      <c r="FK788" s="3"/>
      <c r="FL788" s="3"/>
      <c r="FM788" s="3"/>
      <c r="FN788" s="3"/>
      <c r="FO788" s="3"/>
      <c r="FP788" s="3"/>
      <c r="FQ788" s="3"/>
      <c r="FR788" s="3"/>
      <c r="FS788" s="3"/>
      <c r="FT788" s="3"/>
      <c r="FU788" s="3"/>
      <c r="FV788" s="3"/>
      <c r="FW788" s="3"/>
      <c r="FX788" s="3"/>
      <c r="FY788" s="3"/>
    </row>
    <row r="789" spans="7:181" ht="15" x14ac:dyDescent="0.25">
      <c r="G789" s="2"/>
      <c r="H789" s="2"/>
      <c r="I789" s="2"/>
      <c r="J789" s="2"/>
      <c r="K789" s="2"/>
      <c r="L789" s="3"/>
      <c r="M789" s="3"/>
      <c r="N789" s="3"/>
      <c r="O789" s="3"/>
      <c r="P789" s="3"/>
      <c r="Q789" s="3"/>
      <c r="R789" s="3"/>
      <c r="S789" s="3"/>
      <c r="T789" s="3"/>
      <c r="U789" s="4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4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4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4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  <c r="DS789" s="3"/>
      <c r="DT789" s="3"/>
      <c r="DU789" s="3"/>
      <c r="DV789" s="3"/>
      <c r="DW789" s="3"/>
      <c r="DX789" s="3"/>
      <c r="DY789" s="3"/>
      <c r="DZ789" s="3"/>
      <c r="EA789" s="3"/>
      <c r="EB789" s="3"/>
      <c r="EC789" s="3"/>
      <c r="ED789" s="3"/>
      <c r="EE789" s="3"/>
      <c r="EF789" s="3"/>
      <c r="EG789" s="3"/>
      <c r="EH789" s="3"/>
      <c r="EI789" s="3"/>
      <c r="EJ789" s="3"/>
      <c r="EK789" s="3"/>
      <c r="EL789" s="3"/>
      <c r="EM789" s="3"/>
      <c r="EN789" s="3"/>
      <c r="EO789" s="3"/>
      <c r="EP789" s="3"/>
      <c r="EQ789" s="3"/>
      <c r="ER789" s="3"/>
      <c r="ES789" s="3"/>
      <c r="ET789" s="3"/>
      <c r="EU789" s="3"/>
      <c r="EV789" s="3"/>
      <c r="EW789" s="3"/>
      <c r="EX789" s="3"/>
      <c r="EY789" s="3"/>
      <c r="EZ789" s="3"/>
      <c r="FA789" s="3"/>
      <c r="FB789" s="3"/>
      <c r="FC789" s="3"/>
      <c r="FD789" s="3"/>
      <c r="FE789" s="3"/>
      <c r="FF789" s="3"/>
      <c r="FG789" s="3"/>
      <c r="FH789" s="3"/>
      <c r="FI789" s="3"/>
      <c r="FJ789" s="3"/>
      <c r="FK789" s="3"/>
      <c r="FL789" s="3"/>
      <c r="FM789" s="3"/>
      <c r="FN789" s="3"/>
      <c r="FO789" s="3"/>
      <c r="FP789" s="3"/>
      <c r="FQ789" s="3"/>
      <c r="FR789" s="3"/>
      <c r="FS789" s="3"/>
      <c r="FT789" s="3"/>
      <c r="FU789" s="3"/>
      <c r="FV789" s="3"/>
      <c r="FW789" s="3"/>
      <c r="FX789" s="3"/>
      <c r="FY789" s="3"/>
    </row>
    <row r="790" spans="7:181" ht="15" x14ac:dyDescent="0.25">
      <c r="G790" s="2"/>
      <c r="H790" s="2"/>
      <c r="I790" s="2"/>
      <c r="J790" s="2"/>
      <c r="K790" s="2"/>
      <c r="L790" s="3"/>
      <c r="M790" s="3"/>
      <c r="N790" s="3"/>
      <c r="O790" s="3"/>
      <c r="P790" s="3"/>
      <c r="Q790" s="3"/>
      <c r="R790" s="3"/>
      <c r="S790" s="3"/>
      <c r="T790" s="3"/>
      <c r="U790" s="4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4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4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4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  <c r="DN790" s="3"/>
      <c r="DO790" s="3"/>
      <c r="DP790" s="3"/>
      <c r="DQ790" s="3"/>
      <c r="DR790" s="3"/>
      <c r="DS790" s="3"/>
      <c r="DT790" s="3"/>
      <c r="DU790" s="3"/>
      <c r="DV790" s="3"/>
      <c r="DW790" s="3"/>
      <c r="DX790" s="3"/>
      <c r="DY790" s="3"/>
      <c r="DZ790" s="3"/>
      <c r="EA790" s="3"/>
      <c r="EB790" s="3"/>
      <c r="EC790" s="3"/>
      <c r="ED790" s="3"/>
      <c r="EE790" s="3"/>
      <c r="EF790" s="3"/>
      <c r="EG790" s="3"/>
      <c r="EH790" s="3"/>
      <c r="EI790" s="3"/>
      <c r="EJ790" s="3"/>
      <c r="EK790" s="3"/>
      <c r="EL790" s="3"/>
      <c r="EM790" s="3"/>
      <c r="EN790" s="3"/>
      <c r="EO790" s="3"/>
      <c r="EP790" s="3"/>
      <c r="EQ790" s="3"/>
      <c r="ER790" s="3"/>
      <c r="ES790" s="3"/>
      <c r="ET790" s="3"/>
      <c r="EU790" s="3"/>
      <c r="EV790" s="3"/>
      <c r="EW790" s="3"/>
      <c r="EX790" s="3"/>
      <c r="EY790" s="3"/>
      <c r="EZ790" s="3"/>
      <c r="FA790" s="3"/>
      <c r="FB790" s="3"/>
      <c r="FC790" s="3"/>
      <c r="FD790" s="3"/>
      <c r="FE790" s="3"/>
      <c r="FF790" s="3"/>
      <c r="FG790" s="3"/>
      <c r="FH790" s="3"/>
      <c r="FI790" s="3"/>
      <c r="FJ790" s="3"/>
      <c r="FK790" s="3"/>
      <c r="FL790" s="3"/>
      <c r="FM790" s="3"/>
      <c r="FN790" s="3"/>
      <c r="FO790" s="3"/>
      <c r="FP790" s="3"/>
      <c r="FQ790" s="3"/>
      <c r="FR790" s="3"/>
      <c r="FS790" s="3"/>
      <c r="FT790" s="3"/>
      <c r="FU790" s="3"/>
      <c r="FV790" s="3"/>
      <c r="FW790" s="3"/>
      <c r="FX790" s="3"/>
      <c r="FY790" s="3"/>
    </row>
    <row r="791" spans="7:181" ht="15" x14ac:dyDescent="0.25">
      <c r="G791" s="2"/>
      <c r="H791" s="2"/>
      <c r="I791" s="2"/>
      <c r="J791" s="2"/>
      <c r="K791" s="2"/>
      <c r="L791" s="3"/>
      <c r="M791" s="3"/>
      <c r="N791" s="3"/>
      <c r="O791" s="3"/>
      <c r="P791" s="3"/>
      <c r="Q791" s="3"/>
      <c r="R791" s="3"/>
      <c r="S791" s="3"/>
      <c r="T791" s="3"/>
      <c r="U791" s="4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4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4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4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/>
      <c r="DS791" s="3"/>
      <c r="DT791" s="3"/>
      <c r="DU791" s="3"/>
      <c r="DV791" s="3"/>
      <c r="DW791" s="3"/>
      <c r="DX791" s="3"/>
      <c r="DY791" s="3"/>
      <c r="DZ791" s="3"/>
      <c r="EA791" s="3"/>
      <c r="EB791" s="3"/>
      <c r="EC791" s="3"/>
      <c r="ED791" s="3"/>
      <c r="EE791" s="3"/>
      <c r="EF791" s="3"/>
      <c r="EG791" s="3"/>
      <c r="EH791" s="3"/>
      <c r="EI791" s="3"/>
      <c r="EJ791" s="3"/>
      <c r="EK791" s="3"/>
      <c r="EL791" s="3"/>
      <c r="EM791" s="3"/>
      <c r="EN791" s="3"/>
      <c r="EO791" s="3"/>
      <c r="EP791" s="3"/>
      <c r="EQ791" s="3"/>
      <c r="ER791" s="3"/>
      <c r="ES791" s="3"/>
      <c r="ET791" s="3"/>
      <c r="EU791" s="3"/>
      <c r="EV791" s="3"/>
      <c r="EW791" s="3"/>
      <c r="EX791" s="3"/>
      <c r="EY791" s="3"/>
      <c r="EZ791" s="3"/>
      <c r="FA791" s="3"/>
      <c r="FB791" s="3"/>
      <c r="FC791" s="3"/>
      <c r="FD791" s="3"/>
      <c r="FE791" s="3"/>
      <c r="FF791" s="3"/>
      <c r="FG791" s="3"/>
      <c r="FH791" s="3"/>
      <c r="FI791" s="3"/>
      <c r="FJ791" s="3"/>
      <c r="FK791" s="3"/>
      <c r="FL791" s="3"/>
      <c r="FM791" s="3"/>
      <c r="FN791" s="3"/>
      <c r="FO791" s="3"/>
      <c r="FP791" s="3"/>
      <c r="FQ791" s="3"/>
      <c r="FR791" s="3"/>
      <c r="FS791" s="3"/>
      <c r="FT791" s="3"/>
      <c r="FU791" s="3"/>
      <c r="FV791" s="3"/>
      <c r="FW791" s="3"/>
      <c r="FX791" s="3"/>
      <c r="FY791" s="3"/>
    </row>
    <row r="792" spans="7:181" ht="15" x14ac:dyDescent="0.25">
      <c r="G792" s="2"/>
      <c r="H792" s="2"/>
      <c r="I792" s="2"/>
      <c r="J792" s="2"/>
      <c r="K792" s="2"/>
      <c r="L792" s="3"/>
      <c r="M792" s="3"/>
      <c r="N792" s="3"/>
      <c r="O792" s="3"/>
      <c r="P792" s="3"/>
      <c r="Q792" s="3"/>
      <c r="R792" s="3"/>
      <c r="S792" s="3"/>
      <c r="T792" s="3"/>
      <c r="U792" s="4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4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4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4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  <c r="DN792" s="3"/>
      <c r="DO792" s="3"/>
      <c r="DP792" s="3"/>
      <c r="DQ792" s="3"/>
      <c r="DR792" s="3"/>
      <c r="DS792" s="3"/>
      <c r="DT792" s="3"/>
      <c r="DU792" s="3"/>
      <c r="DV792" s="3"/>
      <c r="DW792" s="3"/>
      <c r="DX792" s="3"/>
      <c r="DY792" s="3"/>
      <c r="DZ792" s="3"/>
      <c r="EA792" s="3"/>
      <c r="EB792" s="3"/>
      <c r="EC792" s="3"/>
      <c r="ED792" s="3"/>
      <c r="EE792" s="3"/>
      <c r="EF792" s="3"/>
      <c r="EG792" s="3"/>
      <c r="EH792" s="3"/>
      <c r="EI792" s="3"/>
      <c r="EJ792" s="3"/>
      <c r="EK792" s="3"/>
      <c r="EL792" s="3"/>
      <c r="EM792" s="3"/>
      <c r="EN792" s="3"/>
      <c r="EO792" s="3"/>
      <c r="EP792" s="3"/>
      <c r="EQ792" s="3"/>
      <c r="ER792" s="3"/>
      <c r="ES792" s="3"/>
      <c r="ET792" s="3"/>
      <c r="EU792" s="3"/>
      <c r="EV792" s="3"/>
      <c r="EW792" s="3"/>
      <c r="EX792" s="3"/>
      <c r="EY792" s="3"/>
      <c r="EZ792" s="3"/>
      <c r="FA792" s="3"/>
      <c r="FB792" s="3"/>
      <c r="FC792" s="3"/>
      <c r="FD792" s="3"/>
      <c r="FE792" s="3"/>
      <c r="FF792" s="3"/>
      <c r="FG792" s="3"/>
      <c r="FH792" s="3"/>
      <c r="FI792" s="3"/>
      <c r="FJ792" s="3"/>
      <c r="FK792" s="3"/>
      <c r="FL792" s="3"/>
      <c r="FM792" s="3"/>
      <c r="FN792" s="3"/>
      <c r="FO792" s="3"/>
      <c r="FP792" s="3"/>
      <c r="FQ792" s="3"/>
      <c r="FR792" s="3"/>
      <c r="FS792" s="3"/>
      <c r="FT792" s="3"/>
      <c r="FU792" s="3"/>
      <c r="FV792" s="3"/>
      <c r="FW792" s="3"/>
      <c r="FX792" s="3"/>
      <c r="FY792" s="3"/>
    </row>
    <row r="793" spans="7:181" ht="15" x14ac:dyDescent="0.25">
      <c r="G793" s="2"/>
      <c r="H793" s="2"/>
      <c r="I793" s="2"/>
      <c r="J793" s="2"/>
      <c r="K793" s="2"/>
      <c r="L793" s="3"/>
      <c r="M793" s="3"/>
      <c r="N793" s="3"/>
      <c r="O793" s="3"/>
      <c r="P793" s="3"/>
      <c r="Q793" s="3"/>
      <c r="R793" s="3"/>
      <c r="S793" s="3"/>
      <c r="T793" s="3"/>
      <c r="U793" s="4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4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4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4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  <c r="DN793" s="3"/>
      <c r="DO793" s="3"/>
      <c r="DP793" s="3"/>
      <c r="DQ793" s="3"/>
      <c r="DR793" s="3"/>
      <c r="DS793" s="3"/>
      <c r="DT793" s="3"/>
      <c r="DU793" s="3"/>
      <c r="DV793" s="3"/>
      <c r="DW793" s="3"/>
      <c r="DX793" s="3"/>
      <c r="DY793" s="3"/>
      <c r="DZ793" s="3"/>
      <c r="EA793" s="3"/>
      <c r="EB793" s="3"/>
      <c r="EC793" s="3"/>
      <c r="ED793" s="3"/>
      <c r="EE793" s="3"/>
      <c r="EF793" s="3"/>
      <c r="EG793" s="3"/>
      <c r="EH793" s="3"/>
      <c r="EI793" s="3"/>
      <c r="EJ793" s="3"/>
      <c r="EK793" s="3"/>
      <c r="EL793" s="3"/>
      <c r="EM793" s="3"/>
      <c r="EN793" s="3"/>
      <c r="EO793" s="3"/>
      <c r="EP793" s="3"/>
      <c r="EQ793" s="3"/>
      <c r="ER793" s="3"/>
      <c r="ES793" s="3"/>
      <c r="ET793" s="3"/>
      <c r="EU793" s="3"/>
      <c r="EV793" s="3"/>
      <c r="EW793" s="3"/>
      <c r="EX793" s="3"/>
      <c r="EY793" s="3"/>
      <c r="EZ793" s="3"/>
      <c r="FA793" s="3"/>
      <c r="FB793" s="3"/>
      <c r="FC793" s="3"/>
      <c r="FD793" s="3"/>
      <c r="FE793" s="3"/>
      <c r="FF793" s="3"/>
      <c r="FG793" s="3"/>
      <c r="FH793" s="3"/>
      <c r="FI793" s="3"/>
      <c r="FJ793" s="3"/>
      <c r="FK793" s="3"/>
      <c r="FL793" s="3"/>
      <c r="FM793" s="3"/>
      <c r="FN793" s="3"/>
      <c r="FO793" s="3"/>
      <c r="FP793" s="3"/>
      <c r="FQ793" s="3"/>
      <c r="FR793" s="3"/>
      <c r="FS793" s="3"/>
      <c r="FT793" s="3"/>
      <c r="FU793" s="3"/>
      <c r="FV793" s="3"/>
      <c r="FW793" s="3"/>
      <c r="FX793" s="3"/>
      <c r="FY793" s="3"/>
    </row>
    <row r="794" spans="7:181" ht="15" x14ac:dyDescent="0.25">
      <c r="G794" s="2"/>
      <c r="H794" s="2"/>
      <c r="I794" s="2"/>
      <c r="J794" s="2"/>
      <c r="K794" s="2"/>
      <c r="L794" s="3"/>
      <c r="M794" s="3"/>
      <c r="N794" s="3"/>
      <c r="O794" s="3"/>
      <c r="P794" s="3"/>
      <c r="Q794" s="3"/>
      <c r="R794" s="3"/>
      <c r="S794" s="3"/>
      <c r="T794" s="3"/>
      <c r="U794" s="4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4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4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4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  <c r="DS794" s="3"/>
      <c r="DT794" s="3"/>
      <c r="DU794" s="3"/>
      <c r="DV794" s="3"/>
      <c r="DW794" s="3"/>
      <c r="DX794" s="3"/>
      <c r="DY794" s="3"/>
      <c r="DZ794" s="3"/>
      <c r="EA794" s="3"/>
      <c r="EB794" s="3"/>
      <c r="EC794" s="3"/>
      <c r="ED794" s="3"/>
      <c r="EE794" s="3"/>
      <c r="EF794" s="3"/>
      <c r="EG794" s="3"/>
      <c r="EH794" s="3"/>
      <c r="EI794" s="3"/>
      <c r="EJ794" s="3"/>
      <c r="EK794" s="3"/>
      <c r="EL794" s="3"/>
      <c r="EM794" s="3"/>
      <c r="EN794" s="3"/>
      <c r="EO794" s="3"/>
      <c r="EP794" s="3"/>
      <c r="EQ794" s="3"/>
      <c r="ER794" s="3"/>
      <c r="ES794" s="3"/>
      <c r="ET794" s="3"/>
      <c r="EU794" s="3"/>
      <c r="EV794" s="3"/>
      <c r="EW794" s="3"/>
      <c r="EX794" s="3"/>
      <c r="EY794" s="3"/>
      <c r="EZ794" s="3"/>
      <c r="FA794" s="3"/>
      <c r="FB794" s="3"/>
      <c r="FC794" s="3"/>
      <c r="FD794" s="3"/>
      <c r="FE794" s="3"/>
      <c r="FF794" s="3"/>
      <c r="FG794" s="3"/>
      <c r="FH794" s="3"/>
      <c r="FI794" s="3"/>
      <c r="FJ794" s="3"/>
      <c r="FK794" s="3"/>
      <c r="FL794" s="3"/>
      <c r="FM794" s="3"/>
      <c r="FN794" s="3"/>
      <c r="FO794" s="3"/>
      <c r="FP794" s="3"/>
      <c r="FQ794" s="3"/>
      <c r="FR794" s="3"/>
      <c r="FS794" s="3"/>
      <c r="FT794" s="3"/>
      <c r="FU794" s="3"/>
      <c r="FV794" s="3"/>
      <c r="FW794" s="3"/>
      <c r="FX794" s="3"/>
      <c r="FY794" s="3"/>
    </row>
    <row r="795" spans="7:181" ht="15" x14ac:dyDescent="0.25">
      <c r="G795" s="2"/>
      <c r="H795" s="2"/>
      <c r="I795" s="2"/>
      <c r="J795" s="2"/>
      <c r="K795" s="2"/>
      <c r="L795" s="3"/>
      <c r="M795" s="3"/>
      <c r="N795" s="3"/>
      <c r="O795" s="3"/>
      <c r="P795" s="3"/>
      <c r="Q795" s="3"/>
      <c r="R795" s="3"/>
      <c r="S795" s="3"/>
      <c r="T795" s="3"/>
      <c r="U795" s="4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4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4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4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  <c r="DS795" s="3"/>
      <c r="DT795" s="3"/>
      <c r="DU795" s="3"/>
      <c r="DV795" s="3"/>
      <c r="DW795" s="3"/>
      <c r="DX795" s="3"/>
      <c r="DY795" s="3"/>
      <c r="DZ795" s="3"/>
      <c r="EA795" s="3"/>
      <c r="EB795" s="3"/>
      <c r="EC795" s="3"/>
      <c r="ED795" s="3"/>
      <c r="EE795" s="3"/>
      <c r="EF795" s="3"/>
      <c r="EG795" s="3"/>
      <c r="EH795" s="3"/>
      <c r="EI795" s="3"/>
      <c r="EJ795" s="3"/>
      <c r="EK795" s="3"/>
      <c r="EL795" s="3"/>
      <c r="EM795" s="3"/>
      <c r="EN795" s="3"/>
      <c r="EO795" s="3"/>
      <c r="EP795" s="3"/>
      <c r="EQ795" s="3"/>
      <c r="ER795" s="3"/>
      <c r="ES795" s="3"/>
      <c r="ET795" s="3"/>
      <c r="EU795" s="3"/>
      <c r="EV795" s="3"/>
      <c r="EW795" s="3"/>
      <c r="EX795" s="3"/>
      <c r="EY795" s="3"/>
      <c r="EZ795" s="3"/>
      <c r="FA795" s="3"/>
      <c r="FB795" s="3"/>
      <c r="FC795" s="3"/>
      <c r="FD795" s="3"/>
      <c r="FE795" s="3"/>
      <c r="FF795" s="3"/>
      <c r="FG795" s="3"/>
      <c r="FH795" s="3"/>
      <c r="FI795" s="3"/>
      <c r="FJ795" s="3"/>
      <c r="FK795" s="3"/>
      <c r="FL795" s="3"/>
      <c r="FM795" s="3"/>
      <c r="FN795" s="3"/>
      <c r="FO795" s="3"/>
      <c r="FP795" s="3"/>
      <c r="FQ795" s="3"/>
      <c r="FR795" s="3"/>
      <c r="FS795" s="3"/>
      <c r="FT795" s="3"/>
      <c r="FU795" s="3"/>
      <c r="FV795" s="3"/>
      <c r="FW795" s="3"/>
      <c r="FX795" s="3"/>
      <c r="FY795" s="3"/>
    </row>
    <row r="796" spans="7:181" ht="15" x14ac:dyDescent="0.25">
      <c r="G796" s="2"/>
      <c r="H796" s="2"/>
      <c r="I796" s="2"/>
      <c r="J796" s="2"/>
      <c r="K796" s="2"/>
      <c r="L796" s="3"/>
      <c r="M796" s="3"/>
      <c r="N796" s="3"/>
      <c r="O796" s="3"/>
      <c r="P796" s="3"/>
      <c r="Q796" s="3"/>
      <c r="R796" s="3"/>
      <c r="S796" s="3"/>
      <c r="T796" s="3"/>
      <c r="U796" s="4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4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4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4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  <c r="DS796" s="3"/>
      <c r="DT796" s="3"/>
      <c r="DU796" s="3"/>
      <c r="DV796" s="3"/>
      <c r="DW796" s="3"/>
      <c r="DX796" s="3"/>
      <c r="DY796" s="3"/>
      <c r="DZ796" s="3"/>
      <c r="EA796" s="3"/>
      <c r="EB796" s="3"/>
      <c r="EC796" s="3"/>
      <c r="ED796" s="3"/>
      <c r="EE796" s="3"/>
      <c r="EF796" s="3"/>
      <c r="EG796" s="3"/>
      <c r="EH796" s="3"/>
      <c r="EI796" s="3"/>
      <c r="EJ796" s="3"/>
      <c r="EK796" s="3"/>
      <c r="EL796" s="3"/>
      <c r="EM796" s="3"/>
      <c r="EN796" s="3"/>
      <c r="EO796" s="3"/>
      <c r="EP796" s="3"/>
      <c r="EQ796" s="3"/>
      <c r="ER796" s="3"/>
      <c r="ES796" s="3"/>
      <c r="ET796" s="3"/>
      <c r="EU796" s="3"/>
      <c r="EV796" s="3"/>
      <c r="EW796" s="3"/>
      <c r="EX796" s="3"/>
      <c r="EY796" s="3"/>
      <c r="EZ796" s="3"/>
      <c r="FA796" s="3"/>
      <c r="FB796" s="3"/>
      <c r="FC796" s="3"/>
      <c r="FD796" s="3"/>
      <c r="FE796" s="3"/>
      <c r="FF796" s="3"/>
      <c r="FG796" s="3"/>
      <c r="FH796" s="3"/>
      <c r="FI796" s="3"/>
      <c r="FJ796" s="3"/>
      <c r="FK796" s="3"/>
      <c r="FL796" s="3"/>
      <c r="FM796" s="3"/>
      <c r="FN796" s="3"/>
      <c r="FO796" s="3"/>
      <c r="FP796" s="3"/>
      <c r="FQ796" s="3"/>
      <c r="FR796" s="3"/>
      <c r="FS796" s="3"/>
      <c r="FT796" s="3"/>
      <c r="FU796" s="3"/>
      <c r="FV796" s="3"/>
      <c r="FW796" s="3"/>
      <c r="FX796" s="3"/>
      <c r="FY796" s="3"/>
    </row>
    <row r="797" spans="7:181" ht="15" x14ac:dyDescent="0.25">
      <c r="G797" s="2"/>
      <c r="H797" s="2"/>
      <c r="I797" s="2"/>
      <c r="J797" s="2"/>
      <c r="K797" s="2"/>
      <c r="L797" s="3"/>
      <c r="M797" s="3"/>
      <c r="N797" s="3"/>
      <c r="O797" s="3"/>
      <c r="P797" s="3"/>
      <c r="Q797" s="3"/>
      <c r="R797" s="3"/>
      <c r="S797" s="3"/>
      <c r="T797" s="3"/>
      <c r="U797" s="4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4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4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4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  <c r="DN797" s="3"/>
      <c r="DO797" s="3"/>
      <c r="DP797" s="3"/>
      <c r="DQ797" s="3"/>
      <c r="DR797" s="3"/>
      <c r="DS797" s="3"/>
      <c r="DT797" s="3"/>
      <c r="DU797" s="3"/>
      <c r="DV797" s="3"/>
      <c r="DW797" s="3"/>
      <c r="DX797" s="3"/>
      <c r="DY797" s="3"/>
      <c r="DZ797" s="3"/>
      <c r="EA797" s="3"/>
      <c r="EB797" s="3"/>
      <c r="EC797" s="3"/>
      <c r="ED797" s="3"/>
      <c r="EE797" s="3"/>
      <c r="EF797" s="3"/>
      <c r="EG797" s="3"/>
      <c r="EH797" s="3"/>
      <c r="EI797" s="3"/>
      <c r="EJ797" s="3"/>
      <c r="EK797" s="3"/>
      <c r="EL797" s="3"/>
      <c r="EM797" s="3"/>
      <c r="EN797" s="3"/>
      <c r="EO797" s="3"/>
      <c r="EP797" s="3"/>
      <c r="EQ797" s="3"/>
      <c r="ER797" s="3"/>
      <c r="ES797" s="3"/>
      <c r="ET797" s="3"/>
      <c r="EU797" s="3"/>
      <c r="EV797" s="3"/>
      <c r="EW797" s="3"/>
      <c r="EX797" s="3"/>
      <c r="EY797" s="3"/>
      <c r="EZ797" s="3"/>
      <c r="FA797" s="3"/>
      <c r="FB797" s="3"/>
      <c r="FC797" s="3"/>
      <c r="FD797" s="3"/>
      <c r="FE797" s="3"/>
      <c r="FF797" s="3"/>
      <c r="FG797" s="3"/>
      <c r="FH797" s="3"/>
      <c r="FI797" s="3"/>
      <c r="FJ797" s="3"/>
      <c r="FK797" s="3"/>
      <c r="FL797" s="3"/>
      <c r="FM797" s="3"/>
      <c r="FN797" s="3"/>
      <c r="FO797" s="3"/>
      <c r="FP797" s="3"/>
      <c r="FQ797" s="3"/>
      <c r="FR797" s="3"/>
      <c r="FS797" s="3"/>
      <c r="FT797" s="3"/>
      <c r="FU797" s="3"/>
      <c r="FV797" s="3"/>
      <c r="FW797" s="3"/>
      <c r="FX797" s="3"/>
      <c r="FY797" s="3"/>
    </row>
    <row r="798" spans="7:181" ht="15" x14ac:dyDescent="0.25">
      <c r="G798" s="2"/>
      <c r="H798" s="2"/>
      <c r="I798" s="2"/>
      <c r="J798" s="2"/>
      <c r="K798" s="2"/>
      <c r="L798" s="3"/>
      <c r="M798" s="3"/>
      <c r="N798" s="3"/>
      <c r="O798" s="3"/>
      <c r="P798" s="3"/>
      <c r="Q798" s="3"/>
      <c r="R798" s="3"/>
      <c r="S798" s="3"/>
      <c r="T798" s="3"/>
      <c r="U798" s="4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4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4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4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  <c r="DN798" s="3"/>
      <c r="DO798" s="3"/>
      <c r="DP798" s="3"/>
      <c r="DQ798" s="3"/>
      <c r="DR798" s="3"/>
      <c r="DS798" s="3"/>
      <c r="DT798" s="3"/>
      <c r="DU798" s="3"/>
      <c r="DV798" s="3"/>
      <c r="DW798" s="3"/>
      <c r="DX798" s="3"/>
      <c r="DY798" s="3"/>
      <c r="DZ798" s="3"/>
      <c r="EA798" s="3"/>
      <c r="EB798" s="3"/>
      <c r="EC798" s="3"/>
      <c r="ED798" s="3"/>
      <c r="EE798" s="3"/>
      <c r="EF798" s="3"/>
      <c r="EG798" s="3"/>
      <c r="EH798" s="3"/>
      <c r="EI798" s="3"/>
      <c r="EJ798" s="3"/>
      <c r="EK798" s="3"/>
      <c r="EL798" s="3"/>
      <c r="EM798" s="3"/>
      <c r="EN798" s="3"/>
      <c r="EO798" s="3"/>
      <c r="EP798" s="3"/>
      <c r="EQ798" s="3"/>
      <c r="ER798" s="3"/>
      <c r="ES798" s="3"/>
      <c r="ET798" s="3"/>
      <c r="EU798" s="3"/>
      <c r="EV798" s="3"/>
      <c r="EW798" s="3"/>
      <c r="EX798" s="3"/>
      <c r="EY798" s="3"/>
      <c r="EZ798" s="3"/>
      <c r="FA798" s="3"/>
      <c r="FB798" s="3"/>
      <c r="FC798" s="3"/>
      <c r="FD798" s="3"/>
      <c r="FE798" s="3"/>
      <c r="FF798" s="3"/>
      <c r="FG798" s="3"/>
      <c r="FH798" s="3"/>
      <c r="FI798" s="3"/>
      <c r="FJ798" s="3"/>
      <c r="FK798" s="3"/>
      <c r="FL798" s="3"/>
      <c r="FM798" s="3"/>
      <c r="FN798" s="3"/>
      <c r="FO798" s="3"/>
      <c r="FP798" s="3"/>
      <c r="FQ798" s="3"/>
      <c r="FR798" s="3"/>
      <c r="FS798" s="3"/>
      <c r="FT798" s="3"/>
      <c r="FU798" s="3"/>
      <c r="FV798" s="3"/>
      <c r="FW798" s="3"/>
      <c r="FX798" s="3"/>
      <c r="FY798" s="3"/>
    </row>
    <row r="799" spans="7:181" ht="15" x14ac:dyDescent="0.25">
      <c r="G799" s="2"/>
      <c r="H799" s="2"/>
      <c r="I799" s="2"/>
      <c r="J799" s="2"/>
      <c r="K799" s="2"/>
      <c r="L799" s="3"/>
      <c r="M799" s="3"/>
      <c r="N799" s="3"/>
      <c r="O799" s="3"/>
      <c r="P799" s="3"/>
      <c r="Q799" s="3"/>
      <c r="R799" s="3"/>
      <c r="S799" s="3"/>
      <c r="T799" s="3"/>
      <c r="U799" s="4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4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4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4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  <c r="DS799" s="3"/>
      <c r="DT799" s="3"/>
      <c r="DU799" s="3"/>
      <c r="DV799" s="3"/>
      <c r="DW799" s="3"/>
      <c r="DX799" s="3"/>
      <c r="DY799" s="3"/>
      <c r="DZ799" s="3"/>
      <c r="EA799" s="3"/>
      <c r="EB799" s="3"/>
      <c r="EC799" s="3"/>
      <c r="ED799" s="3"/>
      <c r="EE799" s="3"/>
      <c r="EF799" s="3"/>
      <c r="EG799" s="3"/>
      <c r="EH799" s="3"/>
      <c r="EI799" s="3"/>
      <c r="EJ799" s="3"/>
      <c r="EK799" s="3"/>
      <c r="EL799" s="3"/>
      <c r="EM799" s="3"/>
      <c r="EN799" s="3"/>
      <c r="EO799" s="3"/>
      <c r="EP799" s="3"/>
      <c r="EQ799" s="3"/>
      <c r="ER799" s="3"/>
      <c r="ES799" s="3"/>
      <c r="ET799" s="3"/>
      <c r="EU799" s="3"/>
      <c r="EV799" s="3"/>
      <c r="EW799" s="3"/>
      <c r="EX799" s="3"/>
      <c r="EY799" s="3"/>
      <c r="EZ799" s="3"/>
      <c r="FA799" s="3"/>
      <c r="FB799" s="3"/>
      <c r="FC799" s="3"/>
      <c r="FD799" s="3"/>
      <c r="FE799" s="3"/>
      <c r="FF799" s="3"/>
      <c r="FG799" s="3"/>
      <c r="FH799" s="3"/>
      <c r="FI799" s="3"/>
      <c r="FJ799" s="3"/>
      <c r="FK799" s="3"/>
      <c r="FL799" s="3"/>
      <c r="FM799" s="3"/>
      <c r="FN799" s="3"/>
      <c r="FO799" s="3"/>
      <c r="FP799" s="3"/>
      <c r="FQ799" s="3"/>
      <c r="FR799" s="3"/>
      <c r="FS799" s="3"/>
      <c r="FT799" s="3"/>
      <c r="FU799" s="3"/>
      <c r="FV799" s="3"/>
      <c r="FW799" s="3"/>
      <c r="FX799" s="3"/>
      <c r="FY799" s="3"/>
    </row>
    <row r="800" spans="7:181" ht="15" x14ac:dyDescent="0.25">
      <c r="G800" s="2"/>
      <c r="H800" s="2"/>
      <c r="I800" s="2"/>
      <c r="J800" s="2"/>
      <c r="K800" s="2"/>
      <c r="L800" s="3"/>
      <c r="M800" s="3"/>
      <c r="N800" s="3"/>
      <c r="O800" s="3"/>
      <c r="P800" s="3"/>
      <c r="Q800" s="3"/>
      <c r="R800" s="3"/>
      <c r="S800" s="3"/>
      <c r="T800" s="3"/>
      <c r="U800" s="4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4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4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4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  <c r="DS800" s="3"/>
      <c r="DT800" s="3"/>
      <c r="DU800" s="3"/>
      <c r="DV800" s="3"/>
      <c r="DW800" s="3"/>
      <c r="DX800" s="3"/>
      <c r="DY800" s="3"/>
      <c r="DZ800" s="3"/>
      <c r="EA800" s="3"/>
      <c r="EB800" s="3"/>
      <c r="EC800" s="3"/>
      <c r="ED800" s="3"/>
      <c r="EE800" s="3"/>
      <c r="EF800" s="3"/>
      <c r="EG800" s="3"/>
      <c r="EH800" s="3"/>
      <c r="EI800" s="3"/>
      <c r="EJ800" s="3"/>
      <c r="EK800" s="3"/>
      <c r="EL800" s="3"/>
      <c r="EM800" s="3"/>
      <c r="EN800" s="3"/>
      <c r="EO800" s="3"/>
      <c r="EP800" s="3"/>
      <c r="EQ800" s="3"/>
      <c r="ER800" s="3"/>
      <c r="ES800" s="3"/>
      <c r="ET800" s="3"/>
      <c r="EU800" s="3"/>
      <c r="EV800" s="3"/>
      <c r="EW800" s="3"/>
      <c r="EX800" s="3"/>
      <c r="EY800" s="3"/>
      <c r="EZ800" s="3"/>
      <c r="FA800" s="3"/>
      <c r="FB800" s="3"/>
      <c r="FC800" s="3"/>
      <c r="FD800" s="3"/>
      <c r="FE800" s="3"/>
      <c r="FF800" s="3"/>
      <c r="FG800" s="3"/>
      <c r="FH800" s="3"/>
      <c r="FI800" s="3"/>
      <c r="FJ800" s="3"/>
      <c r="FK800" s="3"/>
      <c r="FL800" s="3"/>
      <c r="FM800" s="3"/>
      <c r="FN800" s="3"/>
      <c r="FO800" s="3"/>
      <c r="FP800" s="3"/>
      <c r="FQ800" s="3"/>
      <c r="FR800" s="3"/>
      <c r="FS800" s="3"/>
      <c r="FT800" s="3"/>
      <c r="FU800" s="3"/>
      <c r="FV800" s="3"/>
      <c r="FW800" s="3"/>
      <c r="FX800" s="3"/>
      <c r="FY800" s="3"/>
    </row>
    <row r="801" spans="7:181" ht="15" x14ac:dyDescent="0.25">
      <c r="G801" s="2"/>
      <c r="H801" s="2"/>
      <c r="I801" s="2"/>
      <c r="J801" s="2"/>
      <c r="K801" s="2"/>
      <c r="L801" s="3"/>
      <c r="M801" s="3"/>
      <c r="N801" s="3"/>
      <c r="O801" s="3"/>
      <c r="P801" s="3"/>
      <c r="Q801" s="3"/>
      <c r="R801" s="3"/>
      <c r="S801" s="3"/>
      <c r="T801" s="3"/>
      <c r="U801" s="4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4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4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4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  <c r="DS801" s="3"/>
      <c r="DT801" s="3"/>
      <c r="DU801" s="3"/>
      <c r="DV801" s="3"/>
      <c r="DW801" s="3"/>
      <c r="DX801" s="3"/>
      <c r="DY801" s="3"/>
      <c r="DZ801" s="3"/>
      <c r="EA801" s="3"/>
      <c r="EB801" s="3"/>
      <c r="EC801" s="3"/>
      <c r="ED801" s="3"/>
      <c r="EE801" s="3"/>
      <c r="EF801" s="3"/>
      <c r="EG801" s="3"/>
      <c r="EH801" s="3"/>
      <c r="EI801" s="3"/>
      <c r="EJ801" s="3"/>
      <c r="EK801" s="3"/>
      <c r="EL801" s="3"/>
      <c r="EM801" s="3"/>
      <c r="EN801" s="3"/>
      <c r="EO801" s="3"/>
      <c r="EP801" s="3"/>
      <c r="EQ801" s="3"/>
      <c r="ER801" s="3"/>
      <c r="ES801" s="3"/>
      <c r="ET801" s="3"/>
      <c r="EU801" s="3"/>
      <c r="EV801" s="3"/>
      <c r="EW801" s="3"/>
      <c r="EX801" s="3"/>
      <c r="EY801" s="3"/>
      <c r="EZ801" s="3"/>
      <c r="FA801" s="3"/>
      <c r="FB801" s="3"/>
      <c r="FC801" s="3"/>
      <c r="FD801" s="3"/>
      <c r="FE801" s="3"/>
      <c r="FF801" s="3"/>
      <c r="FG801" s="3"/>
      <c r="FH801" s="3"/>
      <c r="FI801" s="3"/>
      <c r="FJ801" s="3"/>
      <c r="FK801" s="3"/>
      <c r="FL801" s="3"/>
      <c r="FM801" s="3"/>
      <c r="FN801" s="3"/>
      <c r="FO801" s="3"/>
      <c r="FP801" s="3"/>
      <c r="FQ801" s="3"/>
      <c r="FR801" s="3"/>
      <c r="FS801" s="3"/>
      <c r="FT801" s="3"/>
      <c r="FU801" s="3"/>
      <c r="FV801" s="3"/>
      <c r="FW801" s="3"/>
      <c r="FX801" s="3"/>
      <c r="FY801" s="3"/>
    </row>
    <row r="802" spans="7:181" ht="15" x14ac:dyDescent="0.25">
      <c r="G802" s="2"/>
      <c r="H802" s="2"/>
      <c r="I802" s="2"/>
      <c r="J802" s="2"/>
      <c r="K802" s="2"/>
      <c r="L802" s="3"/>
      <c r="M802" s="3"/>
      <c r="N802" s="3"/>
      <c r="O802" s="3"/>
      <c r="P802" s="3"/>
      <c r="Q802" s="3"/>
      <c r="R802" s="3"/>
      <c r="S802" s="3"/>
      <c r="T802" s="3"/>
      <c r="U802" s="4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4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4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4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  <c r="DS802" s="3"/>
      <c r="DT802" s="3"/>
      <c r="DU802" s="3"/>
      <c r="DV802" s="3"/>
      <c r="DW802" s="3"/>
      <c r="DX802" s="3"/>
      <c r="DY802" s="3"/>
      <c r="DZ802" s="3"/>
      <c r="EA802" s="3"/>
      <c r="EB802" s="3"/>
      <c r="EC802" s="3"/>
      <c r="ED802" s="3"/>
      <c r="EE802" s="3"/>
      <c r="EF802" s="3"/>
      <c r="EG802" s="3"/>
      <c r="EH802" s="3"/>
      <c r="EI802" s="3"/>
      <c r="EJ802" s="3"/>
      <c r="EK802" s="3"/>
      <c r="EL802" s="3"/>
      <c r="EM802" s="3"/>
      <c r="EN802" s="3"/>
      <c r="EO802" s="3"/>
      <c r="EP802" s="3"/>
      <c r="EQ802" s="3"/>
      <c r="ER802" s="3"/>
      <c r="ES802" s="3"/>
      <c r="ET802" s="3"/>
      <c r="EU802" s="3"/>
      <c r="EV802" s="3"/>
      <c r="EW802" s="3"/>
      <c r="EX802" s="3"/>
      <c r="EY802" s="3"/>
      <c r="EZ802" s="3"/>
      <c r="FA802" s="3"/>
      <c r="FB802" s="3"/>
      <c r="FC802" s="3"/>
      <c r="FD802" s="3"/>
      <c r="FE802" s="3"/>
      <c r="FF802" s="3"/>
      <c r="FG802" s="3"/>
      <c r="FH802" s="3"/>
      <c r="FI802" s="3"/>
      <c r="FJ802" s="3"/>
      <c r="FK802" s="3"/>
      <c r="FL802" s="3"/>
      <c r="FM802" s="3"/>
      <c r="FN802" s="3"/>
      <c r="FO802" s="3"/>
      <c r="FP802" s="3"/>
      <c r="FQ802" s="3"/>
      <c r="FR802" s="3"/>
      <c r="FS802" s="3"/>
      <c r="FT802" s="3"/>
      <c r="FU802" s="3"/>
      <c r="FV802" s="3"/>
      <c r="FW802" s="3"/>
      <c r="FX802" s="3"/>
      <c r="FY802" s="3"/>
    </row>
    <row r="803" spans="7:181" ht="15" x14ac:dyDescent="0.25">
      <c r="G803" s="2"/>
      <c r="H803" s="2"/>
      <c r="I803" s="2"/>
      <c r="J803" s="2"/>
      <c r="K803" s="2"/>
      <c r="L803" s="3"/>
      <c r="M803" s="3"/>
      <c r="N803" s="3"/>
      <c r="O803" s="3"/>
      <c r="P803" s="3"/>
      <c r="Q803" s="3"/>
      <c r="R803" s="3"/>
      <c r="S803" s="3"/>
      <c r="T803" s="3"/>
      <c r="U803" s="4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4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4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4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  <c r="DS803" s="3"/>
      <c r="DT803" s="3"/>
      <c r="DU803" s="3"/>
      <c r="DV803" s="3"/>
      <c r="DW803" s="3"/>
      <c r="DX803" s="3"/>
      <c r="DY803" s="3"/>
      <c r="DZ803" s="3"/>
      <c r="EA803" s="3"/>
      <c r="EB803" s="3"/>
      <c r="EC803" s="3"/>
      <c r="ED803" s="3"/>
      <c r="EE803" s="3"/>
      <c r="EF803" s="3"/>
      <c r="EG803" s="3"/>
      <c r="EH803" s="3"/>
      <c r="EI803" s="3"/>
      <c r="EJ803" s="3"/>
      <c r="EK803" s="3"/>
      <c r="EL803" s="3"/>
      <c r="EM803" s="3"/>
      <c r="EN803" s="3"/>
      <c r="EO803" s="3"/>
      <c r="EP803" s="3"/>
      <c r="EQ803" s="3"/>
      <c r="ER803" s="3"/>
      <c r="ES803" s="3"/>
      <c r="ET803" s="3"/>
      <c r="EU803" s="3"/>
      <c r="EV803" s="3"/>
      <c r="EW803" s="3"/>
      <c r="EX803" s="3"/>
      <c r="EY803" s="3"/>
      <c r="EZ803" s="3"/>
      <c r="FA803" s="3"/>
      <c r="FB803" s="3"/>
      <c r="FC803" s="3"/>
      <c r="FD803" s="3"/>
      <c r="FE803" s="3"/>
      <c r="FF803" s="3"/>
      <c r="FG803" s="3"/>
      <c r="FH803" s="3"/>
      <c r="FI803" s="3"/>
      <c r="FJ803" s="3"/>
      <c r="FK803" s="3"/>
      <c r="FL803" s="3"/>
      <c r="FM803" s="3"/>
      <c r="FN803" s="3"/>
      <c r="FO803" s="3"/>
      <c r="FP803" s="3"/>
      <c r="FQ803" s="3"/>
      <c r="FR803" s="3"/>
      <c r="FS803" s="3"/>
      <c r="FT803" s="3"/>
      <c r="FU803" s="3"/>
      <c r="FV803" s="3"/>
      <c r="FW803" s="3"/>
      <c r="FX803" s="3"/>
      <c r="FY803" s="3"/>
    </row>
    <row r="804" spans="7:181" ht="15" x14ac:dyDescent="0.25">
      <c r="G804" s="2"/>
      <c r="H804" s="2"/>
      <c r="I804" s="2"/>
      <c r="J804" s="2"/>
      <c r="K804" s="2"/>
      <c r="L804" s="3"/>
      <c r="M804" s="3"/>
      <c r="N804" s="3"/>
      <c r="O804" s="3"/>
      <c r="P804" s="3"/>
      <c r="Q804" s="3"/>
      <c r="R804" s="3"/>
      <c r="S804" s="3"/>
      <c r="T804" s="3"/>
      <c r="U804" s="4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4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4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4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  <c r="DS804" s="3"/>
      <c r="DT804" s="3"/>
      <c r="DU804" s="3"/>
      <c r="DV804" s="3"/>
      <c r="DW804" s="3"/>
      <c r="DX804" s="3"/>
      <c r="DY804" s="3"/>
      <c r="DZ804" s="3"/>
      <c r="EA804" s="3"/>
      <c r="EB804" s="3"/>
      <c r="EC804" s="3"/>
      <c r="ED804" s="3"/>
      <c r="EE804" s="3"/>
      <c r="EF804" s="3"/>
      <c r="EG804" s="3"/>
      <c r="EH804" s="3"/>
      <c r="EI804" s="3"/>
      <c r="EJ804" s="3"/>
      <c r="EK804" s="3"/>
      <c r="EL804" s="3"/>
      <c r="EM804" s="3"/>
      <c r="EN804" s="3"/>
      <c r="EO804" s="3"/>
      <c r="EP804" s="3"/>
      <c r="EQ804" s="3"/>
      <c r="ER804" s="3"/>
      <c r="ES804" s="3"/>
      <c r="ET804" s="3"/>
      <c r="EU804" s="3"/>
      <c r="EV804" s="3"/>
      <c r="EW804" s="3"/>
      <c r="EX804" s="3"/>
      <c r="EY804" s="3"/>
      <c r="EZ804" s="3"/>
      <c r="FA804" s="3"/>
      <c r="FB804" s="3"/>
      <c r="FC804" s="3"/>
      <c r="FD804" s="3"/>
      <c r="FE804" s="3"/>
      <c r="FF804" s="3"/>
      <c r="FG804" s="3"/>
      <c r="FH804" s="3"/>
      <c r="FI804" s="3"/>
      <c r="FJ804" s="3"/>
      <c r="FK804" s="3"/>
      <c r="FL804" s="3"/>
      <c r="FM804" s="3"/>
      <c r="FN804" s="3"/>
      <c r="FO804" s="3"/>
      <c r="FP804" s="3"/>
      <c r="FQ804" s="3"/>
      <c r="FR804" s="3"/>
      <c r="FS804" s="3"/>
      <c r="FT804" s="3"/>
      <c r="FU804" s="3"/>
      <c r="FV804" s="3"/>
      <c r="FW804" s="3"/>
      <c r="FX804" s="3"/>
      <c r="FY804" s="3"/>
    </row>
    <row r="805" spans="7:181" ht="15" x14ac:dyDescent="0.25">
      <c r="G805" s="2"/>
      <c r="H805" s="2"/>
      <c r="I805" s="2"/>
      <c r="J805" s="2"/>
      <c r="K805" s="2"/>
      <c r="L805" s="3"/>
      <c r="M805" s="3"/>
      <c r="N805" s="3"/>
      <c r="O805" s="3"/>
      <c r="P805" s="3"/>
      <c r="Q805" s="3"/>
      <c r="R805" s="3"/>
      <c r="S805" s="3"/>
      <c r="T805" s="3"/>
      <c r="U805" s="4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4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4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4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  <c r="DS805" s="3"/>
      <c r="DT805" s="3"/>
      <c r="DU805" s="3"/>
      <c r="DV805" s="3"/>
      <c r="DW805" s="3"/>
      <c r="DX805" s="3"/>
      <c r="DY805" s="3"/>
      <c r="DZ805" s="3"/>
      <c r="EA805" s="3"/>
      <c r="EB805" s="3"/>
      <c r="EC805" s="3"/>
      <c r="ED805" s="3"/>
      <c r="EE805" s="3"/>
      <c r="EF805" s="3"/>
      <c r="EG805" s="3"/>
      <c r="EH805" s="3"/>
      <c r="EI805" s="3"/>
      <c r="EJ805" s="3"/>
      <c r="EK805" s="3"/>
      <c r="EL805" s="3"/>
      <c r="EM805" s="3"/>
      <c r="EN805" s="3"/>
      <c r="EO805" s="3"/>
      <c r="EP805" s="3"/>
      <c r="EQ805" s="3"/>
      <c r="ER805" s="3"/>
      <c r="ES805" s="3"/>
      <c r="ET805" s="3"/>
      <c r="EU805" s="3"/>
      <c r="EV805" s="3"/>
      <c r="EW805" s="3"/>
      <c r="EX805" s="3"/>
      <c r="EY805" s="3"/>
      <c r="EZ805" s="3"/>
      <c r="FA805" s="3"/>
      <c r="FB805" s="3"/>
      <c r="FC805" s="3"/>
      <c r="FD805" s="3"/>
      <c r="FE805" s="3"/>
      <c r="FF805" s="3"/>
      <c r="FG805" s="3"/>
      <c r="FH805" s="3"/>
      <c r="FI805" s="3"/>
      <c r="FJ805" s="3"/>
      <c r="FK805" s="3"/>
      <c r="FL805" s="3"/>
      <c r="FM805" s="3"/>
      <c r="FN805" s="3"/>
      <c r="FO805" s="3"/>
      <c r="FP805" s="3"/>
      <c r="FQ805" s="3"/>
      <c r="FR805" s="3"/>
      <c r="FS805" s="3"/>
      <c r="FT805" s="3"/>
      <c r="FU805" s="3"/>
      <c r="FV805" s="3"/>
      <c r="FW805" s="3"/>
      <c r="FX805" s="3"/>
      <c r="FY805" s="3"/>
    </row>
    <row r="806" spans="7:181" ht="15" x14ac:dyDescent="0.25">
      <c r="G806" s="2"/>
      <c r="H806" s="2"/>
      <c r="I806" s="2"/>
      <c r="J806" s="2"/>
      <c r="K806" s="2"/>
      <c r="L806" s="3"/>
      <c r="M806" s="3"/>
      <c r="N806" s="3"/>
      <c r="O806" s="3"/>
      <c r="P806" s="3"/>
      <c r="Q806" s="3"/>
      <c r="R806" s="3"/>
      <c r="S806" s="3"/>
      <c r="T806" s="3"/>
      <c r="U806" s="4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4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4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4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  <c r="DS806" s="3"/>
      <c r="DT806" s="3"/>
      <c r="DU806" s="3"/>
      <c r="DV806" s="3"/>
      <c r="DW806" s="3"/>
      <c r="DX806" s="3"/>
      <c r="DY806" s="3"/>
      <c r="DZ806" s="3"/>
      <c r="EA806" s="3"/>
      <c r="EB806" s="3"/>
      <c r="EC806" s="3"/>
      <c r="ED806" s="3"/>
      <c r="EE806" s="3"/>
      <c r="EF806" s="3"/>
      <c r="EG806" s="3"/>
      <c r="EH806" s="3"/>
      <c r="EI806" s="3"/>
      <c r="EJ806" s="3"/>
      <c r="EK806" s="3"/>
      <c r="EL806" s="3"/>
      <c r="EM806" s="3"/>
      <c r="EN806" s="3"/>
      <c r="EO806" s="3"/>
      <c r="EP806" s="3"/>
      <c r="EQ806" s="3"/>
      <c r="ER806" s="3"/>
      <c r="ES806" s="3"/>
      <c r="ET806" s="3"/>
      <c r="EU806" s="3"/>
      <c r="EV806" s="3"/>
      <c r="EW806" s="3"/>
      <c r="EX806" s="3"/>
      <c r="EY806" s="3"/>
      <c r="EZ806" s="3"/>
      <c r="FA806" s="3"/>
      <c r="FB806" s="3"/>
      <c r="FC806" s="3"/>
      <c r="FD806" s="3"/>
      <c r="FE806" s="3"/>
      <c r="FF806" s="3"/>
      <c r="FG806" s="3"/>
      <c r="FH806" s="3"/>
      <c r="FI806" s="3"/>
      <c r="FJ806" s="3"/>
      <c r="FK806" s="3"/>
      <c r="FL806" s="3"/>
      <c r="FM806" s="3"/>
      <c r="FN806" s="3"/>
      <c r="FO806" s="3"/>
      <c r="FP806" s="3"/>
      <c r="FQ806" s="3"/>
      <c r="FR806" s="3"/>
      <c r="FS806" s="3"/>
      <c r="FT806" s="3"/>
      <c r="FU806" s="3"/>
      <c r="FV806" s="3"/>
      <c r="FW806" s="3"/>
      <c r="FX806" s="3"/>
      <c r="FY806" s="3"/>
    </row>
    <row r="807" spans="7:181" ht="15" x14ac:dyDescent="0.25">
      <c r="G807" s="2"/>
      <c r="H807" s="2"/>
      <c r="I807" s="2"/>
      <c r="J807" s="2"/>
      <c r="K807" s="2"/>
      <c r="L807" s="3"/>
      <c r="M807" s="3"/>
      <c r="N807" s="3"/>
      <c r="O807" s="3"/>
      <c r="P807" s="3"/>
      <c r="Q807" s="3"/>
      <c r="R807" s="3"/>
      <c r="S807" s="3"/>
      <c r="T807" s="3"/>
      <c r="U807" s="4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4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4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4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/>
      <c r="DY807" s="3"/>
      <c r="DZ807" s="3"/>
      <c r="EA807" s="3"/>
      <c r="EB807" s="3"/>
      <c r="EC807" s="3"/>
      <c r="ED807" s="3"/>
      <c r="EE807" s="3"/>
      <c r="EF807" s="3"/>
      <c r="EG807" s="3"/>
      <c r="EH807" s="3"/>
      <c r="EI807" s="3"/>
      <c r="EJ807" s="3"/>
      <c r="EK807" s="3"/>
      <c r="EL807" s="3"/>
      <c r="EM807" s="3"/>
      <c r="EN807" s="3"/>
      <c r="EO807" s="3"/>
      <c r="EP807" s="3"/>
      <c r="EQ807" s="3"/>
      <c r="ER807" s="3"/>
      <c r="ES807" s="3"/>
      <c r="ET807" s="3"/>
      <c r="EU807" s="3"/>
      <c r="EV807" s="3"/>
      <c r="EW807" s="3"/>
      <c r="EX807" s="3"/>
      <c r="EY807" s="3"/>
      <c r="EZ807" s="3"/>
      <c r="FA807" s="3"/>
      <c r="FB807" s="3"/>
      <c r="FC807" s="3"/>
      <c r="FD807" s="3"/>
      <c r="FE807" s="3"/>
      <c r="FF807" s="3"/>
      <c r="FG807" s="3"/>
      <c r="FH807" s="3"/>
      <c r="FI807" s="3"/>
      <c r="FJ807" s="3"/>
      <c r="FK807" s="3"/>
      <c r="FL807" s="3"/>
      <c r="FM807" s="3"/>
      <c r="FN807" s="3"/>
      <c r="FO807" s="3"/>
      <c r="FP807" s="3"/>
      <c r="FQ807" s="3"/>
      <c r="FR807" s="3"/>
      <c r="FS807" s="3"/>
      <c r="FT807" s="3"/>
      <c r="FU807" s="3"/>
      <c r="FV807" s="3"/>
      <c r="FW807" s="3"/>
      <c r="FX807" s="3"/>
      <c r="FY807" s="3"/>
    </row>
    <row r="808" spans="7:181" ht="15" x14ac:dyDescent="0.25">
      <c r="G808" s="2"/>
      <c r="H808" s="2"/>
      <c r="I808" s="2"/>
      <c r="J808" s="2"/>
      <c r="K808" s="2"/>
      <c r="L808" s="3"/>
      <c r="M808" s="3"/>
      <c r="N808" s="3"/>
      <c r="O808" s="3"/>
      <c r="P808" s="3"/>
      <c r="Q808" s="3"/>
      <c r="R808" s="3"/>
      <c r="S808" s="3"/>
      <c r="T808" s="3"/>
      <c r="U808" s="4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4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4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4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  <c r="DS808" s="3"/>
      <c r="DT808" s="3"/>
      <c r="DU808" s="3"/>
      <c r="DV808" s="3"/>
      <c r="DW808" s="3"/>
      <c r="DX808" s="3"/>
      <c r="DY808" s="3"/>
      <c r="DZ808" s="3"/>
      <c r="EA808" s="3"/>
      <c r="EB808" s="3"/>
      <c r="EC808" s="3"/>
      <c r="ED808" s="3"/>
      <c r="EE808" s="3"/>
      <c r="EF808" s="3"/>
      <c r="EG808" s="3"/>
      <c r="EH808" s="3"/>
      <c r="EI808" s="3"/>
      <c r="EJ808" s="3"/>
      <c r="EK808" s="3"/>
      <c r="EL808" s="3"/>
      <c r="EM808" s="3"/>
      <c r="EN808" s="3"/>
      <c r="EO808" s="3"/>
      <c r="EP808" s="3"/>
      <c r="EQ808" s="3"/>
      <c r="ER808" s="3"/>
      <c r="ES808" s="3"/>
      <c r="ET808" s="3"/>
      <c r="EU808" s="3"/>
      <c r="EV808" s="3"/>
      <c r="EW808" s="3"/>
      <c r="EX808" s="3"/>
      <c r="EY808" s="3"/>
      <c r="EZ808" s="3"/>
      <c r="FA808" s="3"/>
      <c r="FB808" s="3"/>
      <c r="FC808" s="3"/>
      <c r="FD808" s="3"/>
      <c r="FE808" s="3"/>
      <c r="FF808" s="3"/>
      <c r="FG808" s="3"/>
      <c r="FH808" s="3"/>
      <c r="FI808" s="3"/>
      <c r="FJ808" s="3"/>
      <c r="FK808" s="3"/>
      <c r="FL808" s="3"/>
      <c r="FM808" s="3"/>
      <c r="FN808" s="3"/>
      <c r="FO808" s="3"/>
      <c r="FP808" s="3"/>
      <c r="FQ808" s="3"/>
      <c r="FR808" s="3"/>
      <c r="FS808" s="3"/>
      <c r="FT808" s="3"/>
      <c r="FU808" s="3"/>
      <c r="FV808" s="3"/>
      <c r="FW808" s="3"/>
      <c r="FX808" s="3"/>
      <c r="FY808" s="3"/>
    </row>
    <row r="809" spans="7:181" ht="15" x14ac:dyDescent="0.25">
      <c r="G809" s="2"/>
      <c r="H809" s="2"/>
      <c r="I809" s="2"/>
      <c r="J809" s="2"/>
      <c r="K809" s="2"/>
      <c r="L809" s="3"/>
      <c r="M809" s="3"/>
      <c r="N809" s="3"/>
      <c r="O809" s="3"/>
      <c r="P809" s="3"/>
      <c r="Q809" s="3"/>
      <c r="R809" s="3"/>
      <c r="S809" s="3"/>
      <c r="T809" s="3"/>
      <c r="U809" s="4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4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4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4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  <c r="DS809" s="3"/>
      <c r="DT809" s="3"/>
      <c r="DU809" s="3"/>
      <c r="DV809" s="3"/>
      <c r="DW809" s="3"/>
      <c r="DX809" s="3"/>
      <c r="DY809" s="3"/>
      <c r="DZ809" s="3"/>
      <c r="EA809" s="3"/>
      <c r="EB809" s="3"/>
      <c r="EC809" s="3"/>
      <c r="ED809" s="3"/>
      <c r="EE809" s="3"/>
      <c r="EF809" s="3"/>
      <c r="EG809" s="3"/>
      <c r="EH809" s="3"/>
      <c r="EI809" s="3"/>
      <c r="EJ809" s="3"/>
      <c r="EK809" s="3"/>
      <c r="EL809" s="3"/>
      <c r="EM809" s="3"/>
      <c r="EN809" s="3"/>
      <c r="EO809" s="3"/>
      <c r="EP809" s="3"/>
      <c r="EQ809" s="3"/>
      <c r="ER809" s="3"/>
      <c r="ES809" s="3"/>
      <c r="ET809" s="3"/>
      <c r="EU809" s="3"/>
      <c r="EV809" s="3"/>
      <c r="EW809" s="3"/>
      <c r="EX809" s="3"/>
      <c r="EY809" s="3"/>
      <c r="EZ809" s="3"/>
      <c r="FA809" s="3"/>
      <c r="FB809" s="3"/>
      <c r="FC809" s="3"/>
      <c r="FD809" s="3"/>
      <c r="FE809" s="3"/>
      <c r="FF809" s="3"/>
      <c r="FG809" s="3"/>
      <c r="FH809" s="3"/>
      <c r="FI809" s="3"/>
      <c r="FJ809" s="3"/>
      <c r="FK809" s="3"/>
      <c r="FL809" s="3"/>
      <c r="FM809" s="3"/>
      <c r="FN809" s="3"/>
      <c r="FO809" s="3"/>
      <c r="FP809" s="3"/>
      <c r="FQ809" s="3"/>
      <c r="FR809" s="3"/>
      <c r="FS809" s="3"/>
      <c r="FT809" s="3"/>
      <c r="FU809" s="3"/>
      <c r="FV809" s="3"/>
      <c r="FW809" s="3"/>
      <c r="FX809" s="3"/>
      <c r="FY809" s="3"/>
    </row>
    <row r="810" spans="7:181" ht="15" x14ac:dyDescent="0.25">
      <c r="G810" s="2"/>
      <c r="H810" s="2"/>
      <c r="I810" s="2"/>
      <c r="J810" s="2"/>
      <c r="K810" s="2"/>
      <c r="L810" s="3"/>
      <c r="M810" s="3"/>
      <c r="N810" s="3"/>
      <c r="O810" s="3"/>
      <c r="P810" s="3"/>
      <c r="Q810" s="3"/>
      <c r="R810" s="3"/>
      <c r="S810" s="3"/>
      <c r="T810" s="3"/>
      <c r="U810" s="4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4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4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4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  <c r="DS810" s="3"/>
      <c r="DT810" s="3"/>
      <c r="DU810" s="3"/>
      <c r="DV810" s="3"/>
      <c r="DW810" s="3"/>
      <c r="DX810" s="3"/>
      <c r="DY810" s="3"/>
      <c r="DZ810" s="3"/>
      <c r="EA810" s="3"/>
      <c r="EB810" s="3"/>
      <c r="EC810" s="3"/>
      <c r="ED810" s="3"/>
      <c r="EE810" s="3"/>
      <c r="EF810" s="3"/>
      <c r="EG810" s="3"/>
      <c r="EH810" s="3"/>
      <c r="EI810" s="3"/>
      <c r="EJ810" s="3"/>
      <c r="EK810" s="3"/>
      <c r="EL810" s="3"/>
      <c r="EM810" s="3"/>
      <c r="EN810" s="3"/>
      <c r="EO810" s="3"/>
      <c r="EP810" s="3"/>
      <c r="EQ810" s="3"/>
      <c r="ER810" s="3"/>
      <c r="ES810" s="3"/>
      <c r="ET810" s="3"/>
      <c r="EU810" s="3"/>
      <c r="EV810" s="3"/>
      <c r="EW810" s="3"/>
      <c r="EX810" s="3"/>
      <c r="EY810" s="3"/>
      <c r="EZ810" s="3"/>
      <c r="FA810" s="3"/>
      <c r="FB810" s="3"/>
      <c r="FC810" s="3"/>
      <c r="FD810" s="3"/>
      <c r="FE810" s="3"/>
      <c r="FF810" s="3"/>
      <c r="FG810" s="3"/>
      <c r="FH810" s="3"/>
      <c r="FI810" s="3"/>
      <c r="FJ810" s="3"/>
      <c r="FK810" s="3"/>
      <c r="FL810" s="3"/>
      <c r="FM810" s="3"/>
      <c r="FN810" s="3"/>
      <c r="FO810" s="3"/>
      <c r="FP810" s="3"/>
      <c r="FQ810" s="3"/>
      <c r="FR810" s="3"/>
      <c r="FS810" s="3"/>
      <c r="FT810" s="3"/>
      <c r="FU810" s="3"/>
      <c r="FV810" s="3"/>
      <c r="FW810" s="3"/>
      <c r="FX810" s="3"/>
      <c r="FY810" s="3"/>
    </row>
    <row r="811" spans="7:181" ht="15" x14ac:dyDescent="0.25">
      <c r="G811" s="2"/>
      <c r="H811" s="2"/>
      <c r="I811" s="2"/>
      <c r="J811" s="2"/>
      <c r="K811" s="2"/>
      <c r="L811" s="3"/>
      <c r="M811" s="3"/>
      <c r="N811" s="3"/>
      <c r="O811" s="3"/>
      <c r="P811" s="3"/>
      <c r="Q811" s="3"/>
      <c r="R811" s="3"/>
      <c r="S811" s="3"/>
      <c r="T811" s="3"/>
      <c r="U811" s="4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4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4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4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  <c r="DS811" s="3"/>
      <c r="DT811" s="3"/>
      <c r="DU811" s="3"/>
      <c r="DV811" s="3"/>
      <c r="DW811" s="3"/>
      <c r="DX811" s="3"/>
      <c r="DY811" s="3"/>
      <c r="DZ811" s="3"/>
      <c r="EA811" s="3"/>
      <c r="EB811" s="3"/>
      <c r="EC811" s="3"/>
      <c r="ED811" s="3"/>
      <c r="EE811" s="3"/>
      <c r="EF811" s="3"/>
      <c r="EG811" s="3"/>
      <c r="EH811" s="3"/>
      <c r="EI811" s="3"/>
      <c r="EJ811" s="3"/>
      <c r="EK811" s="3"/>
      <c r="EL811" s="3"/>
      <c r="EM811" s="3"/>
      <c r="EN811" s="3"/>
      <c r="EO811" s="3"/>
      <c r="EP811" s="3"/>
      <c r="EQ811" s="3"/>
      <c r="ER811" s="3"/>
      <c r="ES811" s="3"/>
      <c r="ET811" s="3"/>
      <c r="EU811" s="3"/>
      <c r="EV811" s="3"/>
      <c r="EW811" s="3"/>
      <c r="EX811" s="3"/>
      <c r="EY811" s="3"/>
      <c r="EZ811" s="3"/>
      <c r="FA811" s="3"/>
      <c r="FB811" s="3"/>
      <c r="FC811" s="3"/>
      <c r="FD811" s="3"/>
      <c r="FE811" s="3"/>
      <c r="FF811" s="3"/>
      <c r="FG811" s="3"/>
      <c r="FH811" s="3"/>
      <c r="FI811" s="3"/>
      <c r="FJ811" s="3"/>
      <c r="FK811" s="3"/>
      <c r="FL811" s="3"/>
      <c r="FM811" s="3"/>
      <c r="FN811" s="3"/>
      <c r="FO811" s="3"/>
      <c r="FP811" s="3"/>
      <c r="FQ811" s="3"/>
      <c r="FR811" s="3"/>
      <c r="FS811" s="3"/>
      <c r="FT811" s="3"/>
      <c r="FU811" s="3"/>
      <c r="FV811" s="3"/>
      <c r="FW811" s="3"/>
      <c r="FX811" s="3"/>
      <c r="FY811" s="3"/>
    </row>
    <row r="812" spans="7:181" ht="15" x14ac:dyDescent="0.25">
      <c r="G812" s="2"/>
      <c r="H812" s="2"/>
      <c r="I812" s="2"/>
      <c r="J812" s="2"/>
      <c r="K812" s="2"/>
      <c r="L812" s="3"/>
      <c r="M812" s="3"/>
      <c r="N812" s="3"/>
      <c r="O812" s="3"/>
      <c r="P812" s="3"/>
      <c r="Q812" s="3"/>
      <c r="R812" s="3"/>
      <c r="S812" s="3"/>
      <c r="T812" s="3"/>
      <c r="U812" s="4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4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4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4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  <c r="DS812" s="3"/>
      <c r="DT812" s="3"/>
      <c r="DU812" s="3"/>
      <c r="DV812" s="3"/>
      <c r="DW812" s="3"/>
      <c r="DX812" s="3"/>
      <c r="DY812" s="3"/>
      <c r="DZ812" s="3"/>
      <c r="EA812" s="3"/>
      <c r="EB812" s="3"/>
      <c r="EC812" s="3"/>
      <c r="ED812" s="3"/>
      <c r="EE812" s="3"/>
      <c r="EF812" s="3"/>
      <c r="EG812" s="3"/>
      <c r="EH812" s="3"/>
      <c r="EI812" s="3"/>
      <c r="EJ812" s="3"/>
      <c r="EK812" s="3"/>
      <c r="EL812" s="3"/>
      <c r="EM812" s="3"/>
      <c r="EN812" s="3"/>
      <c r="EO812" s="3"/>
      <c r="EP812" s="3"/>
      <c r="EQ812" s="3"/>
      <c r="ER812" s="3"/>
      <c r="ES812" s="3"/>
      <c r="ET812" s="3"/>
      <c r="EU812" s="3"/>
      <c r="EV812" s="3"/>
      <c r="EW812" s="3"/>
      <c r="EX812" s="3"/>
      <c r="EY812" s="3"/>
      <c r="EZ812" s="3"/>
      <c r="FA812" s="3"/>
      <c r="FB812" s="3"/>
      <c r="FC812" s="3"/>
      <c r="FD812" s="3"/>
      <c r="FE812" s="3"/>
      <c r="FF812" s="3"/>
      <c r="FG812" s="3"/>
      <c r="FH812" s="3"/>
      <c r="FI812" s="3"/>
      <c r="FJ812" s="3"/>
      <c r="FK812" s="3"/>
      <c r="FL812" s="3"/>
      <c r="FM812" s="3"/>
      <c r="FN812" s="3"/>
      <c r="FO812" s="3"/>
      <c r="FP812" s="3"/>
      <c r="FQ812" s="3"/>
      <c r="FR812" s="3"/>
      <c r="FS812" s="3"/>
      <c r="FT812" s="3"/>
      <c r="FU812" s="3"/>
      <c r="FV812" s="3"/>
      <c r="FW812" s="3"/>
      <c r="FX812" s="3"/>
      <c r="FY812" s="3"/>
    </row>
    <row r="813" spans="7:181" ht="15" x14ac:dyDescent="0.25">
      <c r="G813" s="2"/>
      <c r="H813" s="2"/>
      <c r="I813" s="2"/>
      <c r="J813" s="2"/>
      <c r="K813" s="2"/>
      <c r="L813" s="3"/>
      <c r="M813" s="3"/>
      <c r="N813" s="3"/>
      <c r="O813" s="3"/>
      <c r="P813" s="3"/>
      <c r="Q813" s="3"/>
      <c r="R813" s="3"/>
      <c r="S813" s="3"/>
      <c r="T813" s="3"/>
      <c r="U813" s="4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4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4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4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  <c r="DS813" s="3"/>
      <c r="DT813" s="3"/>
      <c r="DU813" s="3"/>
      <c r="DV813" s="3"/>
      <c r="DW813" s="3"/>
      <c r="DX813" s="3"/>
      <c r="DY813" s="3"/>
      <c r="DZ813" s="3"/>
      <c r="EA813" s="3"/>
      <c r="EB813" s="3"/>
      <c r="EC813" s="3"/>
      <c r="ED813" s="3"/>
      <c r="EE813" s="3"/>
      <c r="EF813" s="3"/>
      <c r="EG813" s="3"/>
      <c r="EH813" s="3"/>
      <c r="EI813" s="3"/>
      <c r="EJ813" s="3"/>
      <c r="EK813" s="3"/>
      <c r="EL813" s="3"/>
      <c r="EM813" s="3"/>
      <c r="EN813" s="3"/>
      <c r="EO813" s="3"/>
      <c r="EP813" s="3"/>
      <c r="EQ813" s="3"/>
      <c r="ER813" s="3"/>
      <c r="ES813" s="3"/>
      <c r="ET813" s="3"/>
      <c r="EU813" s="3"/>
      <c r="EV813" s="3"/>
      <c r="EW813" s="3"/>
      <c r="EX813" s="3"/>
      <c r="EY813" s="3"/>
      <c r="EZ813" s="3"/>
      <c r="FA813" s="3"/>
      <c r="FB813" s="3"/>
      <c r="FC813" s="3"/>
      <c r="FD813" s="3"/>
      <c r="FE813" s="3"/>
      <c r="FF813" s="3"/>
      <c r="FG813" s="3"/>
      <c r="FH813" s="3"/>
      <c r="FI813" s="3"/>
      <c r="FJ813" s="3"/>
      <c r="FK813" s="3"/>
      <c r="FL813" s="3"/>
      <c r="FM813" s="3"/>
      <c r="FN813" s="3"/>
      <c r="FO813" s="3"/>
      <c r="FP813" s="3"/>
      <c r="FQ813" s="3"/>
      <c r="FR813" s="3"/>
      <c r="FS813" s="3"/>
      <c r="FT813" s="3"/>
      <c r="FU813" s="3"/>
      <c r="FV813" s="3"/>
      <c r="FW813" s="3"/>
      <c r="FX813" s="3"/>
      <c r="FY813" s="3"/>
    </row>
    <row r="814" spans="7:181" ht="15" x14ac:dyDescent="0.25">
      <c r="G814" s="2"/>
      <c r="H814" s="2"/>
      <c r="I814" s="2"/>
      <c r="J814" s="2"/>
      <c r="K814" s="2"/>
      <c r="L814" s="3"/>
      <c r="M814" s="3"/>
      <c r="N814" s="3"/>
      <c r="O814" s="3"/>
      <c r="P814" s="3"/>
      <c r="Q814" s="3"/>
      <c r="R814" s="3"/>
      <c r="S814" s="3"/>
      <c r="T814" s="3"/>
      <c r="U814" s="4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4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4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4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  <c r="DS814" s="3"/>
      <c r="DT814" s="3"/>
      <c r="DU814" s="3"/>
      <c r="DV814" s="3"/>
      <c r="DW814" s="3"/>
      <c r="DX814" s="3"/>
      <c r="DY814" s="3"/>
      <c r="DZ814" s="3"/>
      <c r="EA814" s="3"/>
      <c r="EB814" s="3"/>
      <c r="EC814" s="3"/>
      <c r="ED814" s="3"/>
      <c r="EE814" s="3"/>
      <c r="EF814" s="3"/>
      <c r="EG814" s="3"/>
      <c r="EH814" s="3"/>
      <c r="EI814" s="3"/>
      <c r="EJ814" s="3"/>
      <c r="EK814" s="3"/>
      <c r="EL814" s="3"/>
      <c r="EM814" s="3"/>
      <c r="EN814" s="3"/>
      <c r="EO814" s="3"/>
      <c r="EP814" s="3"/>
      <c r="EQ814" s="3"/>
      <c r="ER814" s="3"/>
      <c r="ES814" s="3"/>
      <c r="ET814" s="3"/>
      <c r="EU814" s="3"/>
      <c r="EV814" s="3"/>
      <c r="EW814" s="3"/>
      <c r="EX814" s="3"/>
      <c r="EY814" s="3"/>
      <c r="EZ814" s="3"/>
      <c r="FA814" s="3"/>
      <c r="FB814" s="3"/>
      <c r="FC814" s="3"/>
      <c r="FD814" s="3"/>
      <c r="FE814" s="3"/>
      <c r="FF814" s="3"/>
      <c r="FG814" s="3"/>
      <c r="FH814" s="3"/>
      <c r="FI814" s="3"/>
      <c r="FJ814" s="3"/>
      <c r="FK814" s="3"/>
      <c r="FL814" s="3"/>
      <c r="FM814" s="3"/>
      <c r="FN814" s="3"/>
      <c r="FO814" s="3"/>
      <c r="FP814" s="3"/>
      <c r="FQ814" s="3"/>
      <c r="FR814" s="3"/>
      <c r="FS814" s="3"/>
      <c r="FT814" s="3"/>
      <c r="FU814" s="3"/>
      <c r="FV814" s="3"/>
      <c r="FW814" s="3"/>
      <c r="FX814" s="3"/>
      <c r="FY814" s="3"/>
    </row>
    <row r="815" spans="7:181" ht="15" x14ac:dyDescent="0.25">
      <c r="G815" s="2"/>
      <c r="H815" s="2"/>
      <c r="I815" s="2"/>
      <c r="J815" s="2"/>
      <c r="K815" s="2"/>
      <c r="L815" s="3"/>
      <c r="M815" s="3"/>
      <c r="N815" s="3"/>
      <c r="O815" s="3"/>
      <c r="P815" s="3"/>
      <c r="Q815" s="3"/>
      <c r="R815" s="3"/>
      <c r="S815" s="3"/>
      <c r="T815" s="3"/>
      <c r="U815" s="4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4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4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4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  <c r="DS815" s="3"/>
      <c r="DT815" s="3"/>
      <c r="DU815" s="3"/>
      <c r="DV815" s="3"/>
      <c r="DW815" s="3"/>
      <c r="DX815" s="3"/>
      <c r="DY815" s="3"/>
      <c r="DZ815" s="3"/>
      <c r="EA815" s="3"/>
      <c r="EB815" s="3"/>
      <c r="EC815" s="3"/>
      <c r="ED815" s="3"/>
      <c r="EE815" s="3"/>
      <c r="EF815" s="3"/>
      <c r="EG815" s="3"/>
      <c r="EH815" s="3"/>
      <c r="EI815" s="3"/>
      <c r="EJ815" s="3"/>
      <c r="EK815" s="3"/>
      <c r="EL815" s="3"/>
      <c r="EM815" s="3"/>
      <c r="EN815" s="3"/>
      <c r="EO815" s="3"/>
      <c r="EP815" s="3"/>
      <c r="EQ815" s="3"/>
      <c r="ER815" s="3"/>
      <c r="ES815" s="3"/>
      <c r="ET815" s="3"/>
      <c r="EU815" s="3"/>
      <c r="EV815" s="3"/>
      <c r="EW815" s="3"/>
      <c r="EX815" s="3"/>
      <c r="EY815" s="3"/>
      <c r="EZ815" s="3"/>
      <c r="FA815" s="3"/>
      <c r="FB815" s="3"/>
      <c r="FC815" s="3"/>
      <c r="FD815" s="3"/>
      <c r="FE815" s="3"/>
      <c r="FF815" s="3"/>
      <c r="FG815" s="3"/>
      <c r="FH815" s="3"/>
      <c r="FI815" s="3"/>
      <c r="FJ815" s="3"/>
      <c r="FK815" s="3"/>
      <c r="FL815" s="3"/>
      <c r="FM815" s="3"/>
      <c r="FN815" s="3"/>
      <c r="FO815" s="3"/>
      <c r="FP815" s="3"/>
      <c r="FQ815" s="3"/>
      <c r="FR815" s="3"/>
      <c r="FS815" s="3"/>
      <c r="FT815" s="3"/>
      <c r="FU815" s="3"/>
      <c r="FV815" s="3"/>
      <c r="FW815" s="3"/>
      <c r="FX815" s="3"/>
      <c r="FY815" s="3"/>
    </row>
    <row r="816" spans="7:181" ht="15" x14ac:dyDescent="0.25">
      <c r="G816" s="2"/>
      <c r="H816" s="2"/>
      <c r="I816" s="2"/>
      <c r="J816" s="2"/>
      <c r="K816" s="2"/>
      <c r="L816" s="3"/>
      <c r="M816" s="3"/>
      <c r="N816" s="3"/>
      <c r="O816" s="3"/>
      <c r="P816" s="3"/>
      <c r="Q816" s="3"/>
      <c r="R816" s="3"/>
      <c r="S816" s="3"/>
      <c r="T816" s="3"/>
      <c r="U816" s="4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4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4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4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  <c r="DS816" s="3"/>
      <c r="DT816" s="3"/>
      <c r="DU816" s="3"/>
      <c r="DV816" s="3"/>
      <c r="DW816" s="3"/>
      <c r="DX816" s="3"/>
      <c r="DY816" s="3"/>
      <c r="DZ816" s="3"/>
      <c r="EA816" s="3"/>
      <c r="EB816" s="3"/>
      <c r="EC816" s="3"/>
      <c r="ED816" s="3"/>
      <c r="EE816" s="3"/>
      <c r="EF816" s="3"/>
      <c r="EG816" s="3"/>
      <c r="EH816" s="3"/>
      <c r="EI816" s="3"/>
      <c r="EJ816" s="3"/>
      <c r="EK816" s="3"/>
      <c r="EL816" s="3"/>
      <c r="EM816" s="3"/>
      <c r="EN816" s="3"/>
      <c r="EO816" s="3"/>
      <c r="EP816" s="3"/>
      <c r="EQ816" s="3"/>
      <c r="ER816" s="3"/>
      <c r="ES816" s="3"/>
      <c r="ET816" s="3"/>
      <c r="EU816" s="3"/>
      <c r="EV816" s="3"/>
      <c r="EW816" s="3"/>
      <c r="EX816" s="3"/>
      <c r="EY816" s="3"/>
      <c r="EZ816" s="3"/>
      <c r="FA816" s="3"/>
      <c r="FB816" s="3"/>
      <c r="FC816" s="3"/>
      <c r="FD816" s="3"/>
      <c r="FE816" s="3"/>
      <c r="FF816" s="3"/>
      <c r="FG816" s="3"/>
      <c r="FH816" s="3"/>
      <c r="FI816" s="3"/>
      <c r="FJ816" s="3"/>
      <c r="FK816" s="3"/>
      <c r="FL816" s="3"/>
      <c r="FM816" s="3"/>
      <c r="FN816" s="3"/>
      <c r="FO816" s="3"/>
      <c r="FP816" s="3"/>
      <c r="FQ816" s="3"/>
      <c r="FR816" s="3"/>
      <c r="FS816" s="3"/>
      <c r="FT816" s="3"/>
      <c r="FU816" s="3"/>
      <c r="FV816" s="3"/>
      <c r="FW816" s="3"/>
      <c r="FX816" s="3"/>
      <c r="FY816" s="3"/>
    </row>
    <row r="817" spans="7:181" ht="15" x14ac:dyDescent="0.25">
      <c r="G817" s="2"/>
      <c r="H817" s="2"/>
      <c r="I817" s="2"/>
      <c r="J817" s="2"/>
      <c r="K817" s="2"/>
      <c r="L817" s="3"/>
      <c r="M817" s="3"/>
      <c r="N817" s="3"/>
      <c r="O817" s="3"/>
      <c r="P817" s="3"/>
      <c r="Q817" s="3"/>
      <c r="R817" s="3"/>
      <c r="S817" s="3"/>
      <c r="T817" s="3"/>
      <c r="U817" s="4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4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4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4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  <c r="DS817" s="3"/>
      <c r="DT817" s="3"/>
      <c r="DU817" s="3"/>
      <c r="DV817" s="3"/>
      <c r="DW817" s="3"/>
      <c r="DX817" s="3"/>
      <c r="DY817" s="3"/>
      <c r="DZ817" s="3"/>
      <c r="EA817" s="3"/>
      <c r="EB817" s="3"/>
      <c r="EC817" s="3"/>
      <c r="ED817" s="3"/>
      <c r="EE817" s="3"/>
      <c r="EF817" s="3"/>
      <c r="EG817" s="3"/>
      <c r="EH817" s="3"/>
      <c r="EI817" s="3"/>
      <c r="EJ817" s="3"/>
      <c r="EK817" s="3"/>
      <c r="EL817" s="3"/>
      <c r="EM817" s="3"/>
      <c r="EN817" s="3"/>
      <c r="EO817" s="3"/>
      <c r="EP817" s="3"/>
      <c r="EQ817" s="3"/>
      <c r="ER817" s="3"/>
      <c r="ES817" s="3"/>
      <c r="ET817" s="3"/>
      <c r="EU817" s="3"/>
      <c r="EV817" s="3"/>
      <c r="EW817" s="3"/>
      <c r="EX817" s="3"/>
      <c r="EY817" s="3"/>
      <c r="EZ817" s="3"/>
      <c r="FA817" s="3"/>
      <c r="FB817" s="3"/>
      <c r="FC817" s="3"/>
      <c r="FD817" s="3"/>
      <c r="FE817" s="3"/>
      <c r="FF817" s="3"/>
      <c r="FG817" s="3"/>
      <c r="FH817" s="3"/>
      <c r="FI817" s="3"/>
      <c r="FJ817" s="3"/>
      <c r="FK817" s="3"/>
      <c r="FL817" s="3"/>
      <c r="FM817" s="3"/>
      <c r="FN817" s="3"/>
      <c r="FO817" s="3"/>
      <c r="FP817" s="3"/>
      <c r="FQ817" s="3"/>
      <c r="FR817" s="3"/>
      <c r="FS817" s="3"/>
      <c r="FT817" s="3"/>
      <c r="FU817" s="3"/>
      <c r="FV817" s="3"/>
      <c r="FW817" s="3"/>
      <c r="FX817" s="3"/>
      <c r="FY817" s="3"/>
    </row>
    <row r="818" spans="7:181" ht="15" x14ac:dyDescent="0.25">
      <c r="G818" s="2"/>
      <c r="H818" s="2"/>
      <c r="I818" s="2"/>
      <c r="J818" s="2"/>
      <c r="K818" s="2"/>
      <c r="L818" s="3"/>
      <c r="M818" s="3"/>
      <c r="N818" s="3"/>
      <c r="O818" s="3"/>
      <c r="P818" s="3"/>
      <c r="Q818" s="3"/>
      <c r="R818" s="3"/>
      <c r="S818" s="3"/>
      <c r="T818" s="3"/>
      <c r="U818" s="4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4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4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4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/>
      <c r="DY818" s="3"/>
      <c r="DZ818" s="3"/>
      <c r="EA818" s="3"/>
      <c r="EB818" s="3"/>
      <c r="EC818" s="3"/>
      <c r="ED818" s="3"/>
      <c r="EE818" s="3"/>
      <c r="EF818" s="3"/>
      <c r="EG818" s="3"/>
      <c r="EH818" s="3"/>
      <c r="EI818" s="3"/>
      <c r="EJ818" s="3"/>
      <c r="EK818" s="3"/>
      <c r="EL818" s="3"/>
      <c r="EM818" s="3"/>
      <c r="EN818" s="3"/>
      <c r="EO818" s="3"/>
      <c r="EP818" s="3"/>
      <c r="EQ818" s="3"/>
      <c r="ER818" s="3"/>
      <c r="ES818" s="3"/>
      <c r="ET818" s="3"/>
      <c r="EU818" s="3"/>
      <c r="EV818" s="3"/>
      <c r="EW818" s="3"/>
      <c r="EX818" s="3"/>
      <c r="EY818" s="3"/>
      <c r="EZ818" s="3"/>
      <c r="FA818" s="3"/>
      <c r="FB818" s="3"/>
      <c r="FC818" s="3"/>
      <c r="FD818" s="3"/>
      <c r="FE818" s="3"/>
      <c r="FF818" s="3"/>
      <c r="FG818" s="3"/>
      <c r="FH818" s="3"/>
      <c r="FI818" s="3"/>
      <c r="FJ818" s="3"/>
      <c r="FK818" s="3"/>
      <c r="FL818" s="3"/>
      <c r="FM818" s="3"/>
      <c r="FN818" s="3"/>
      <c r="FO818" s="3"/>
      <c r="FP818" s="3"/>
      <c r="FQ818" s="3"/>
      <c r="FR818" s="3"/>
      <c r="FS818" s="3"/>
      <c r="FT818" s="3"/>
      <c r="FU818" s="3"/>
      <c r="FV818" s="3"/>
      <c r="FW818" s="3"/>
      <c r="FX818" s="3"/>
      <c r="FY818" s="3"/>
    </row>
    <row r="819" spans="7:181" ht="15" x14ac:dyDescent="0.25">
      <c r="G819" s="2"/>
      <c r="H819" s="2"/>
      <c r="I819" s="2"/>
      <c r="J819" s="2"/>
      <c r="K819" s="2"/>
      <c r="L819" s="3"/>
      <c r="M819" s="3"/>
      <c r="N819" s="3"/>
      <c r="O819" s="3"/>
      <c r="P819" s="3"/>
      <c r="Q819" s="3"/>
      <c r="R819" s="3"/>
      <c r="S819" s="3"/>
      <c r="T819" s="3"/>
      <c r="U819" s="4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4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4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4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  <c r="DS819" s="3"/>
      <c r="DT819" s="3"/>
      <c r="DU819" s="3"/>
      <c r="DV819" s="3"/>
      <c r="DW819" s="3"/>
      <c r="DX819" s="3"/>
      <c r="DY819" s="3"/>
      <c r="DZ819" s="3"/>
      <c r="EA819" s="3"/>
      <c r="EB819" s="3"/>
      <c r="EC819" s="3"/>
      <c r="ED819" s="3"/>
      <c r="EE819" s="3"/>
      <c r="EF819" s="3"/>
      <c r="EG819" s="3"/>
      <c r="EH819" s="3"/>
      <c r="EI819" s="3"/>
      <c r="EJ819" s="3"/>
      <c r="EK819" s="3"/>
      <c r="EL819" s="3"/>
      <c r="EM819" s="3"/>
      <c r="EN819" s="3"/>
      <c r="EO819" s="3"/>
      <c r="EP819" s="3"/>
      <c r="EQ819" s="3"/>
      <c r="ER819" s="3"/>
      <c r="ES819" s="3"/>
      <c r="ET819" s="3"/>
      <c r="EU819" s="3"/>
      <c r="EV819" s="3"/>
      <c r="EW819" s="3"/>
      <c r="EX819" s="3"/>
      <c r="EY819" s="3"/>
      <c r="EZ819" s="3"/>
      <c r="FA819" s="3"/>
      <c r="FB819" s="3"/>
      <c r="FC819" s="3"/>
      <c r="FD819" s="3"/>
      <c r="FE819" s="3"/>
      <c r="FF819" s="3"/>
      <c r="FG819" s="3"/>
      <c r="FH819" s="3"/>
      <c r="FI819" s="3"/>
      <c r="FJ819" s="3"/>
      <c r="FK819" s="3"/>
      <c r="FL819" s="3"/>
      <c r="FM819" s="3"/>
      <c r="FN819" s="3"/>
      <c r="FO819" s="3"/>
      <c r="FP819" s="3"/>
      <c r="FQ819" s="3"/>
      <c r="FR819" s="3"/>
      <c r="FS819" s="3"/>
      <c r="FT819" s="3"/>
      <c r="FU819" s="3"/>
      <c r="FV819" s="3"/>
      <c r="FW819" s="3"/>
      <c r="FX819" s="3"/>
      <c r="FY819" s="3"/>
    </row>
    <row r="820" spans="7:181" ht="15" x14ac:dyDescent="0.25">
      <c r="G820" s="2"/>
      <c r="H820" s="2"/>
      <c r="I820" s="2"/>
      <c r="J820" s="2"/>
      <c r="K820" s="2"/>
      <c r="L820" s="3"/>
      <c r="M820" s="3"/>
      <c r="N820" s="3"/>
      <c r="O820" s="3"/>
      <c r="P820" s="3"/>
      <c r="Q820" s="3"/>
      <c r="R820" s="3"/>
      <c r="S820" s="3"/>
      <c r="T820" s="3"/>
      <c r="U820" s="4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4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4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4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  <c r="DS820" s="3"/>
      <c r="DT820" s="3"/>
      <c r="DU820" s="3"/>
      <c r="DV820" s="3"/>
      <c r="DW820" s="3"/>
      <c r="DX820" s="3"/>
      <c r="DY820" s="3"/>
      <c r="DZ820" s="3"/>
      <c r="EA820" s="3"/>
      <c r="EB820" s="3"/>
      <c r="EC820" s="3"/>
      <c r="ED820" s="3"/>
      <c r="EE820" s="3"/>
      <c r="EF820" s="3"/>
      <c r="EG820" s="3"/>
      <c r="EH820" s="3"/>
      <c r="EI820" s="3"/>
      <c r="EJ820" s="3"/>
      <c r="EK820" s="3"/>
      <c r="EL820" s="3"/>
      <c r="EM820" s="3"/>
      <c r="EN820" s="3"/>
      <c r="EO820" s="3"/>
      <c r="EP820" s="3"/>
      <c r="EQ820" s="3"/>
      <c r="ER820" s="3"/>
      <c r="ES820" s="3"/>
      <c r="ET820" s="3"/>
      <c r="EU820" s="3"/>
      <c r="EV820" s="3"/>
      <c r="EW820" s="3"/>
      <c r="EX820" s="3"/>
      <c r="EY820" s="3"/>
      <c r="EZ820" s="3"/>
      <c r="FA820" s="3"/>
      <c r="FB820" s="3"/>
      <c r="FC820" s="3"/>
      <c r="FD820" s="3"/>
      <c r="FE820" s="3"/>
      <c r="FF820" s="3"/>
      <c r="FG820" s="3"/>
      <c r="FH820" s="3"/>
      <c r="FI820" s="3"/>
      <c r="FJ820" s="3"/>
      <c r="FK820" s="3"/>
      <c r="FL820" s="3"/>
      <c r="FM820" s="3"/>
      <c r="FN820" s="3"/>
      <c r="FO820" s="3"/>
      <c r="FP820" s="3"/>
      <c r="FQ820" s="3"/>
      <c r="FR820" s="3"/>
      <c r="FS820" s="3"/>
      <c r="FT820" s="3"/>
      <c r="FU820" s="3"/>
      <c r="FV820" s="3"/>
      <c r="FW820" s="3"/>
      <c r="FX820" s="3"/>
      <c r="FY820" s="3"/>
    </row>
    <row r="821" spans="7:181" ht="15" x14ac:dyDescent="0.25">
      <c r="G821" s="2"/>
      <c r="H821" s="2"/>
      <c r="I821" s="2"/>
      <c r="J821" s="2"/>
      <c r="K821" s="2"/>
      <c r="L821" s="3"/>
      <c r="M821" s="3"/>
      <c r="N821" s="3"/>
      <c r="O821" s="3"/>
      <c r="P821" s="3"/>
      <c r="Q821" s="3"/>
      <c r="R821" s="3"/>
      <c r="S821" s="3"/>
      <c r="T821" s="3"/>
      <c r="U821" s="4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4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4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4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  <c r="DN821" s="3"/>
      <c r="DO821" s="3"/>
      <c r="DP821" s="3"/>
      <c r="DQ821" s="3"/>
      <c r="DR821" s="3"/>
      <c r="DS821" s="3"/>
      <c r="DT821" s="3"/>
      <c r="DU821" s="3"/>
      <c r="DV821" s="3"/>
      <c r="DW821" s="3"/>
      <c r="DX821" s="3"/>
      <c r="DY821" s="3"/>
      <c r="DZ821" s="3"/>
      <c r="EA821" s="3"/>
      <c r="EB821" s="3"/>
      <c r="EC821" s="3"/>
      <c r="ED821" s="3"/>
      <c r="EE821" s="3"/>
      <c r="EF821" s="3"/>
      <c r="EG821" s="3"/>
      <c r="EH821" s="3"/>
      <c r="EI821" s="3"/>
      <c r="EJ821" s="3"/>
      <c r="EK821" s="3"/>
      <c r="EL821" s="3"/>
      <c r="EM821" s="3"/>
      <c r="EN821" s="3"/>
      <c r="EO821" s="3"/>
      <c r="EP821" s="3"/>
      <c r="EQ821" s="3"/>
      <c r="ER821" s="3"/>
      <c r="ES821" s="3"/>
      <c r="ET821" s="3"/>
      <c r="EU821" s="3"/>
      <c r="EV821" s="3"/>
      <c r="EW821" s="3"/>
      <c r="EX821" s="3"/>
      <c r="EY821" s="3"/>
      <c r="EZ821" s="3"/>
      <c r="FA821" s="3"/>
      <c r="FB821" s="3"/>
      <c r="FC821" s="3"/>
      <c r="FD821" s="3"/>
      <c r="FE821" s="3"/>
      <c r="FF821" s="3"/>
      <c r="FG821" s="3"/>
      <c r="FH821" s="3"/>
      <c r="FI821" s="3"/>
      <c r="FJ821" s="3"/>
      <c r="FK821" s="3"/>
      <c r="FL821" s="3"/>
      <c r="FM821" s="3"/>
      <c r="FN821" s="3"/>
      <c r="FO821" s="3"/>
      <c r="FP821" s="3"/>
      <c r="FQ821" s="3"/>
      <c r="FR821" s="3"/>
      <c r="FS821" s="3"/>
      <c r="FT821" s="3"/>
      <c r="FU821" s="3"/>
      <c r="FV821" s="3"/>
      <c r="FW821" s="3"/>
      <c r="FX821" s="3"/>
      <c r="FY821" s="3"/>
    </row>
    <row r="822" spans="7:181" ht="15" x14ac:dyDescent="0.25">
      <c r="G822" s="2"/>
      <c r="H822" s="2"/>
      <c r="I822" s="2"/>
      <c r="J822" s="2"/>
      <c r="K822" s="2"/>
      <c r="L822" s="3"/>
      <c r="M822" s="3"/>
      <c r="N822" s="3"/>
      <c r="O822" s="3"/>
      <c r="P822" s="3"/>
      <c r="Q822" s="3"/>
      <c r="R822" s="3"/>
      <c r="S822" s="3"/>
      <c r="T822" s="3"/>
      <c r="U822" s="4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4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4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4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  <c r="DN822" s="3"/>
      <c r="DO822" s="3"/>
      <c r="DP822" s="3"/>
      <c r="DQ822" s="3"/>
      <c r="DR822" s="3"/>
      <c r="DS822" s="3"/>
      <c r="DT822" s="3"/>
      <c r="DU822" s="3"/>
      <c r="DV822" s="3"/>
      <c r="DW822" s="3"/>
      <c r="DX822" s="3"/>
      <c r="DY822" s="3"/>
      <c r="DZ822" s="3"/>
      <c r="EA822" s="3"/>
      <c r="EB822" s="3"/>
      <c r="EC822" s="3"/>
      <c r="ED822" s="3"/>
      <c r="EE822" s="3"/>
      <c r="EF822" s="3"/>
      <c r="EG822" s="3"/>
      <c r="EH822" s="3"/>
      <c r="EI822" s="3"/>
      <c r="EJ822" s="3"/>
      <c r="EK822" s="3"/>
      <c r="EL822" s="3"/>
      <c r="EM822" s="3"/>
      <c r="EN822" s="3"/>
      <c r="EO822" s="3"/>
      <c r="EP822" s="3"/>
      <c r="EQ822" s="3"/>
      <c r="ER822" s="3"/>
      <c r="ES822" s="3"/>
      <c r="ET822" s="3"/>
      <c r="EU822" s="3"/>
      <c r="EV822" s="3"/>
      <c r="EW822" s="3"/>
      <c r="EX822" s="3"/>
      <c r="EY822" s="3"/>
      <c r="EZ822" s="3"/>
      <c r="FA822" s="3"/>
      <c r="FB822" s="3"/>
      <c r="FC822" s="3"/>
      <c r="FD822" s="3"/>
      <c r="FE822" s="3"/>
      <c r="FF822" s="3"/>
      <c r="FG822" s="3"/>
      <c r="FH822" s="3"/>
      <c r="FI822" s="3"/>
      <c r="FJ822" s="3"/>
      <c r="FK822" s="3"/>
      <c r="FL822" s="3"/>
      <c r="FM822" s="3"/>
      <c r="FN822" s="3"/>
      <c r="FO822" s="3"/>
      <c r="FP822" s="3"/>
      <c r="FQ822" s="3"/>
      <c r="FR822" s="3"/>
      <c r="FS822" s="3"/>
      <c r="FT822" s="3"/>
      <c r="FU822" s="3"/>
      <c r="FV822" s="3"/>
      <c r="FW822" s="3"/>
      <c r="FX822" s="3"/>
      <c r="FY822" s="3"/>
    </row>
    <row r="823" spans="7:181" ht="15" x14ac:dyDescent="0.25">
      <c r="G823" s="2"/>
      <c r="H823" s="2"/>
      <c r="I823" s="2"/>
      <c r="J823" s="2"/>
      <c r="K823" s="2"/>
      <c r="L823" s="3"/>
      <c r="M823" s="3"/>
      <c r="N823" s="3"/>
      <c r="O823" s="3"/>
      <c r="P823" s="3"/>
      <c r="Q823" s="3"/>
      <c r="R823" s="3"/>
      <c r="S823" s="3"/>
      <c r="T823" s="3"/>
      <c r="U823" s="4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4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4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4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  <c r="DS823" s="3"/>
      <c r="DT823" s="3"/>
      <c r="DU823" s="3"/>
      <c r="DV823" s="3"/>
      <c r="DW823" s="3"/>
      <c r="DX823" s="3"/>
      <c r="DY823" s="3"/>
      <c r="DZ823" s="3"/>
      <c r="EA823" s="3"/>
      <c r="EB823" s="3"/>
      <c r="EC823" s="3"/>
      <c r="ED823" s="3"/>
      <c r="EE823" s="3"/>
      <c r="EF823" s="3"/>
      <c r="EG823" s="3"/>
      <c r="EH823" s="3"/>
      <c r="EI823" s="3"/>
      <c r="EJ823" s="3"/>
      <c r="EK823" s="3"/>
      <c r="EL823" s="3"/>
      <c r="EM823" s="3"/>
      <c r="EN823" s="3"/>
      <c r="EO823" s="3"/>
      <c r="EP823" s="3"/>
      <c r="EQ823" s="3"/>
      <c r="ER823" s="3"/>
      <c r="ES823" s="3"/>
      <c r="ET823" s="3"/>
      <c r="EU823" s="3"/>
      <c r="EV823" s="3"/>
      <c r="EW823" s="3"/>
      <c r="EX823" s="3"/>
      <c r="EY823" s="3"/>
      <c r="EZ823" s="3"/>
      <c r="FA823" s="3"/>
      <c r="FB823" s="3"/>
      <c r="FC823" s="3"/>
      <c r="FD823" s="3"/>
      <c r="FE823" s="3"/>
      <c r="FF823" s="3"/>
      <c r="FG823" s="3"/>
      <c r="FH823" s="3"/>
      <c r="FI823" s="3"/>
      <c r="FJ823" s="3"/>
      <c r="FK823" s="3"/>
      <c r="FL823" s="3"/>
      <c r="FM823" s="3"/>
      <c r="FN823" s="3"/>
      <c r="FO823" s="3"/>
      <c r="FP823" s="3"/>
      <c r="FQ823" s="3"/>
      <c r="FR823" s="3"/>
      <c r="FS823" s="3"/>
      <c r="FT823" s="3"/>
      <c r="FU823" s="3"/>
      <c r="FV823" s="3"/>
      <c r="FW823" s="3"/>
      <c r="FX823" s="3"/>
      <c r="FY823" s="3"/>
    </row>
    <row r="824" spans="7:181" ht="15" x14ac:dyDescent="0.25">
      <c r="G824" s="2"/>
      <c r="H824" s="2"/>
      <c r="I824" s="2"/>
      <c r="J824" s="2"/>
      <c r="K824" s="2"/>
      <c r="L824" s="3"/>
      <c r="M824" s="3"/>
      <c r="N824" s="3"/>
      <c r="O824" s="3"/>
      <c r="P824" s="3"/>
      <c r="Q824" s="3"/>
      <c r="R824" s="3"/>
      <c r="S824" s="3"/>
      <c r="T824" s="3"/>
      <c r="U824" s="4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4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4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4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  <c r="DS824" s="3"/>
      <c r="DT824" s="3"/>
      <c r="DU824" s="3"/>
      <c r="DV824" s="3"/>
      <c r="DW824" s="3"/>
      <c r="DX824" s="3"/>
      <c r="DY824" s="3"/>
      <c r="DZ824" s="3"/>
      <c r="EA824" s="3"/>
      <c r="EB824" s="3"/>
      <c r="EC824" s="3"/>
      <c r="ED824" s="3"/>
      <c r="EE824" s="3"/>
      <c r="EF824" s="3"/>
      <c r="EG824" s="3"/>
      <c r="EH824" s="3"/>
      <c r="EI824" s="3"/>
      <c r="EJ824" s="3"/>
      <c r="EK824" s="3"/>
      <c r="EL824" s="3"/>
      <c r="EM824" s="3"/>
      <c r="EN824" s="3"/>
      <c r="EO824" s="3"/>
      <c r="EP824" s="3"/>
      <c r="EQ824" s="3"/>
      <c r="ER824" s="3"/>
      <c r="ES824" s="3"/>
      <c r="ET824" s="3"/>
      <c r="EU824" s="3"/>
      <c r="EV824" s="3"/>
      <c r="EW824" s="3"/>
      <c r="EX824" s="3"/>
      <c r="EY824" s="3"/>
      <c r="EZ824" s="3"/>
      <c r="FA824" s="3"/>
      <c r="FB824" s="3"/>
      <c r="FC824" s="3"/>
      <c r="FD824" s="3"/>
      <c r="FE824" s="3"/>
      <c r="FF824" s="3"/>
      <c r="FG824" s="3"/>
      <c r="FH824" s="3"/>
      <c r="FI824" s="3"/>
      <c r="FJ824" s="3"/>
      <c r="FK824" s="3"/>
      <c r="FL824" s="3"/>
      <c r="FM824" s="3"/>
      <c r="FN824" s="3"/>
      <c r="FO824" s="3"/>
      <c r="FP824" s="3"/>
      <c r="FQ824" s="3"/>
      <c r="FR824" s="3"/>
      <c r="FS824" s="3"/>
      <c r="FT824" s="3"/>
      <c r="FU824" s="3"/>
      <c r="FV824" s="3"/>
      <c r="FW824" s="3"/>
      <c r="FX824" s="3"/>
      <c r="FY824" s="3"/>
    </row>
    <row r="825" spans="7:181" ht="15" x14ac:dyDescent="0.25">
      <c r="G825" s="2"/>
      <c r="H825" s="2"/>
      <c r="I825" s="2"/>
      <c r="J825" s="2"/>
      <c r="K825" s="2"/>
      <c r="L825" s="3"/>
      <c r="M825" s="3"/>
      <c r="N825" s="3"/>
      <c r="O825" s="3"/>
      <c r="P825" s="3"/>
      <c r="Q825" s="3"/>
      <c r="R825" s="3"/>
      <c r="S825" s="3"/>
      <c r="T825" s="3"/>
      <c r="U825" s="4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4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4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4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  <c r="DS825" s="3"/>
      <c r="DT825" s="3"/>
      <c r="DU825" s="3"/>
      <c r="DV825" s="3"/>
      <c r="DW825" s="3"/>
      <c r="DX825" s="3"/>
      <c r="DY825" s="3"/>
      <c r="DZ825" s="3"/>
      <c r="EA825" s="3"/>
      <c r="EB825" s="3"/>
      <c r="EC825" s="3"/>
      <c r="ED825" s="3"/>
      <c r="EE825" s="3"/>
      <c r="EF825" s="3"/>
      <c r="EG825" s="3"/>
      <c r="EH825" s="3"/>
      <c r="EI825" s="3"/>
      <c r="EJ825" s="3"/>
      <c r="EK825" s="3"/>
      <c r="EL825" s="3"/>
      <c r="EM825" s="3"/>
      <c r="EN825" s="3"/>
      <c r="EO825" s="3"/>
      <c r="EP825" s="3"/>
      <c r="EQ825" s="3"/>
      <c r="ER825" s="3"/>
      <c r="ES825" s="3"/>
      <c r="ET825" s="3"/>
      <c r="EU825" s="3"/>
      <c r="EV825" s="3"/>
      <c r="EW825" s="3"/>
      <c r="EX825" s="3"/>
      <c r="EY825" s="3"/>
      <c r="EZ825" s="3"/>
      <c r="FA825" s="3"/>
      <c r="FB825" s="3"/>
      <c r="FC825" s="3"/>
      <c r="FD825" s="3"/>
      <c r="FE825" s="3"/>
      <c r="FF825" s="3"/>
      <c r="FG825" s="3"/>
      <c r="FH825" s="3"/>
      <c r="FI825" s="3"/>
      <c r="FJ825" s="3"/>
      <c r="FK825" s="3"/>
      <c r="FL825" s="3"/>
      <c r="FM825" s="3"/>
      <c r="FN825" s="3"/>
      <c r="FO825" s="3"/>
      <c r="FP825" s="3"/>
      <c r="FQ825" s="3"/>
      <c r="FR825" s="3"/>
      <c r="FS825" s="3"/>
      <c r="FT825" s="3"/>
      <c r="FU825" s="3"/>
      <c r="FV825" s="3"/>
      <c r="FW825" s="3"/>
      <c r="FX825" s="3"/>
      <c r="FY825" s="3"/>
    </row>
    <row r="826" spans="7:181" ht="15" x14ac:dyDescent="0.25">
      <c r="G826" s="2"/>
      <c r="H826" s="2"/>
      <c r="I826" s="2"/>
      <c r="J826" s="2"/>
      <c r="K826" s="2"/>
      <c r="L826" s="3"/>
      <c r="M826" s="3"/>
      <c r="N826" s="3"/>
      <c r="O826" s="3"/>
      <c r="P826" s="3"/>
      <c r="Q826" s="3"/>
      <c r="R826" s="3"/>
      <c r="S826" s="3"/>
      <c r="T826" s="3"/>
      <c r="U826" s="4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4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4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4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  <c r="DN826" s="3"/>
      <c r="DO826" s="3"/>
      <c r="DP826" s="3"/>
      <c r="DQ826" s="3"/>
      <c r="DR826" s="3"/>
      <c r="DS826" s="3"/>
      <c r="DT826" s="3"/>
      <c r="DU826" s="3"/>
      <c r="DV826" s="3"/>
      <c r="DW826" s="3"/>
      <c r="DX826" s="3"/>
      <c r="DY826" s="3"/>
      <c r="DZ826" s="3"/>
      <c r="EA826" s="3"/>
      <c r="EB826" s="3"/>
      <c r="EC826" s="3"/>
      <c r="ED826" s="3"/>
      <c r="EE826" s="3"/>
      <c r="EF826" s="3"/>
      <c r="EG826" s="3"/>
      <c r="EH826" s="3"/>
      <c r="EI826" s="3"/>
      <c r="EJ826" s="3"/>
      <c r="EK826" s="3"/>
      <c r="EL826" s="3"/>
      <c r="EM826" s="3"/>
      <c r="EN826" s="3"/>
      <c r="EO826" s="3"/>
      <c r="EP826" s="3"/>
      <c r="EQ826" s="3"/>
      <c r="ER826" s="3"/>
      <c r="ES826" s="3"/>
      <c r="ET826" s="3"/>
      <c r="EU826" s="3"/>
      <c r="EV826" s="3"/>
      <c r="EW826" s="3"/>
      <c r="EX826" s="3"/>
      <c r="EY826" s="3"/>
      <c r="EZ826" s="3"/>
      <c r="FA826" s="3"/>
      <c r="FB826" s="3"/>
      <c r="FC826" s="3"/>
      <c r="FD826" s="3"/>
      <c r="FE826" s="3"/>
      <c r="FF826" s="3"/>
      <c r="FG826" s="3"/>
      <c r="FH826" s="3"/>
      <c r="FI826" s="3"/>
      <c r="FJ826" s="3"/>
      <c r="FK826" s="3"/>
      <c r="FL826" s="3"/>
      <c r="FM826" s="3"/>
      <c r="FN826" s="3"/>
      <c r="FO826" s="3"/>
      <c r="FP826" s="3"/>
      <c r="FQ826" s="3"/>
      <c r="FR826" s="3"/>
      <c r="FS826" s="3"/>
      <c r="FT826" s="3"/>
      <c r="FU826" s="3"/>
      <c r="FV826" s="3"/>
      <c r="FW826" s="3"/>
      <c r="FX826" s="3"/>
      <c r="FY826" s="3"/>
    </row>
    <row r="827" spans="7:181" ht="15" x14ac:dyDescent="0.25">
      <c r="G827" s="2"/>
      <c r="H827" s="2"/>
      <c r="I827" s="2"/>
      <c r="J827" s="2"/>
      <c r="K827" s="2"/>
      <c r="L827" s="3"/>
      <c r="M827" s="3"/>
      <c r="N827" s="3"/>
      <c r="O827" s="3"/>
      <c r="P827" s="3"/>
      <c r="Q827" s="3"/>
      <c r="R827" s="3"/>
      <c r="S827" s="3"/>
      <c r="T827" s="3"/>
      <c r="U827" s="4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4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4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4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  <c r="DS827" s="3"/>
      <c r="DT827" s="3"/>
      <c r="DU827" s="3"/>
      <c r="DV827" s="3"/>
      <c r="DW827" s="3"/>
      <c r="DX827" s="3"/>
      <c r="DY827" s="3"/>
      <c r="DZ827" s="3"/>
      <c r="EA827" s="3"/>
      <c r="EB827" s="3"/>
      <c r="EC827" s="3"/>
      <c r="ED827" s="3"/>
      <c r="EE827" s="3"/>
      <c r="EF827" s="3"/>
      <c r="EG827" s="3"/>
      <c r="EH827" s="3"/>
      <c r="EI827" s="3"/>
      <c r="EJ827" s="3"/>
      <c r="EK827" s="3"/>
      <c r="EL827" s="3"/>
      <c r="EM827" s="3"/>
      <c r="EN827" s="3"/>
      <c r="EO827" s="3"/>
      <c r="EP827" s="3"/>
      <c r="EQ827" s="3"/>
      <c r="ER827" s="3"/>
      <c r="ES827" s="3"/>
      <c r="ET827" s="3"/>
      <c r="EU827" s="3"/>
      <c r="EV827" s="3"/>
      <c r="EW827" s="3"/>
      <c r="EX827" s="3"/>
      <c r="EY827" s="3"/>
      <c r="EZ827" s="3"/>
      <c r="FA827" s="3"/>
      <c r="FB827" s="3"/>
      <c r="FC827" s="3"/>
      <c r="FD827" s="3"/>
      <c r="FE827" s="3"/>
      <c r="FF827" s="3"/>
      <c r="FG827" s="3"/>
      <c r="FH827" s="3"/>
      <c r="FI827" s="3"/>
      <c r="FJ827" s="3"/>
      <c r="FK827" s="3"/>
      <c r="FL827" s="3"/>
      <c r="FM827" s="3"/>
      <c r="FN827" s="3"/>
      <c r="FO827" s="3"/>
      <c r="FP827" s="3"/>
      <c r="FQ827" s="3"/>
      <c r="FR827" s="3"/>
      <c r="FS827" s="3"/>
      <c r="FT827" s="3"/>
      <c r="FU827" s="3"/>
      <c r="FV827" s="3"/>
      <c r="FW827" s="3"/>
      <c r="FX827" s="3"/>
      <c r="FY827" s="3"/>
    </row>
    <row r="828" spans="7:181" ht="15" x14ac:dyDescent="0.25">
      <c r="G828" s="2"/>
      <c r="H828" s="2"/>
      <c r="I828" s="2"/>
      <c r="J828" s="2"/>
      <c r="K828" s="2"/>
      <c r="L828" s="3"/>
      <c r="M828" s="3"/>
      <c r="N828" s="3"/>
      <c r="O828" s="3"/>
      <c r="P828" s="3"/>
      <c r="Q828" s="3"/>
      <c r="R828" s="3"/>
      <c r="S828" s="3"/>
      <c r="T828" s="3"/>
      <c r="U828" s="4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4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4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4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  <c r="DS828" s="3"/>
      <c r="DT828" s="3"/>
      <c r="DU828" s="3"/>
      <c r="DV828" s="3"/>
      <c r="DW828" s="3"/>
      <c r="DX828" s="3"/>
      <c r="DY828" s="3"/>
      <c r="DZ828" s="3"/>
      <c r="EA828" s="3"/>
      <c r="EB828" s="3"/>
      <c r="EC828" s="3"/>
      <c r="ED828" s="3"/>
      <c r="EE828" s="3"/>
      <c r="EF828" s="3"/>
      <c r="EG828" s="3"/>
      <c r="EH828" s="3"/>
      <c r="EI828" s="3"/>
      <c r="EJ828" s="3"/>
      <c r="EK828" s="3"/>
      <c r="EL828" s="3"/>
      <c r="EM828" s="3"/>
      <c r="EN828" s="3"/>
      <c r="EO828" s="3"/>
      <c r="EP828" s="3"/>
      <c r="EQ828" s="3"/>
      <c r="ER828" s="3"/>
      <c r="ES828" s="3"/>
      <c r="ET828" s="3"/>
      <c r="EU828" s="3"/>
      <c r="EV828" s="3"/>
      <c r="EW828" s="3"/>
      <c r="EX828" s="3"/>
      <c r="EY828" s="3"/>
      <c r="EZ828" s="3"/>
      <c r="FA828" s="3"/>
      <c r="FB828" s="3"/>
      <c r="FC828" s="3"/>
      <c r="FD828" s="3"/>
      <c r="FE828" s="3"/>
      <c r="FF828" s="3"/>
      <c r="FG828" s="3"/>
      <c r="FH828" s="3"/>
      <c r="FI828" s="3"/>
      <c r="FJ828" s="3"/>
      <c r="FK828" s="3"/>
      <c r="FL828" s="3"/>
      <c r="FM828" s="3"/>
      <c r="FN828" s="3"/>
      <c r="FO828" s="3"/>
      <c r="FP828" s="3"/>
      <c r="FQ828" s="3"/>
      <c r="FR828" s="3"/>
      <c r="FS828" s="3"/>
      <c r="FT828" s="3"/>
      <c r="FU828" s="3"/>
      <c r="FV828" s="3"/>
      <c r="FW828" s="3"/>
      <c r="FX828" s="3"/>
      <c r="FY828" s="3"/>
    </row>
    <row r="829" spans="7:181" ht="15" x14ac:dyDescent="0.25">
      <c r="G829" s="2"/>
      <c r="H829" s="2"/>
      <c r="I829" s="2"/>
      <c r="J829" s="2"/>
      <c r="K829" s="2"/>
      <c r="L829" s="3"/>
      <c r="M829" s="3"/>
      <c r="N829" s="3"/>
      <c r="O829" s="3"/>
      <c r="P829" s="3"/>
      <c r="Q829" s="3"/>
      <c r="R829" s="3"/>
      <c r="S829" s="3"/>
      <c r="T829" s="3"/>
      <c r="U829" s="4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4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4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4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  <c r="DS829" s="3"/>
      <c r="DT829" s="3"/>
      <c r="DU829" s="3"/>
      <c r="DV829" s="3"/>
      <c r="DW829" s="3"/>
      <c r="DX829" s="3"/>
      <c r="DY829" s="3"/>
      <c r="DZ829" s="3"/>
      <c r="EA829" s="3"/>
      <c r="EB829" s="3"/>
      <c r="EC829" s="3"/>
      <c r="ED829" s="3"/>
      <c r="EE829" s="3"/>
      <c r="EF829" s="3"/>
      <c r="EG829" s="3"/>
      <c r="EH829" s="3"/>
      <c r="EI829" s="3"/>
      <c r="EJ829" s="3"/>
      <c r="EK829" s="3"/>
      <c r="EL829" s="3"/>
      <c r="EM829" s="3"/>
      <c r="EN829" s="3"/>
      <c r="EO829" s="3"/>
      <c r="EP829" s="3"/>
      <c r="EQ829" s="3"/>
      <c r="ER829" s="3"/>
      <c r="ES829" s="3"/>
      <c r="ET829" s="3"/>
      <c r="EU829" s="3"/>
      <c r="EV829" s="3"/>
      <c r="EW829" s="3"/>
      <c r="EX829" s="3"/>
      <c r="EY829" s="3"/>
      <c r="EZ829" s="3"/>
      <c r="FA829" s="3"/>
      <c r="FB829" s="3"/>
      <c r="FC829" s="3"/>
      <c r="FD829" s="3"/>
      <c r="FE829" s="3"/>
      <c r="FF829" s="3"/>
      <c r="FG829" s="3"/>
      <c r="FH829" s="3"/>
      <c r="FI829" s="3"/>
      <c r="FJ829" s="3"/>
      <c r="FK829" s="3"/>
      <c r="FL829" s="3"/>
      <c r="FM829" s="3"/>
      <c r="FN829" s="3"/>
      <c r="FO829" s="3"/>
      <c r="FP829" s="3"/>
      <c r="FQ829" s="3"/>
      <c r="FR829" s="3"/>
      <c r="FS829" s="3"/>
      <c r="FT829" s="3"/>
      <c r="FU829" s="3"/>
      <c r="FV829" s="3"/>
      <c r="FW829" s="3"/>
      <c r="FX829" s="3"/>
      <c r="FY829" s="3"/>
    </row>
    <row r="830" spans="7:181" ht="15" x14ac:dyDescent="0.25">
      <c r="G830" s="2"/>
      <c r="H830" s="2"/>
      <c r="I830" s="2"/>
      <c r="J830" s="2"/>
      <c r="K830" s="2"/>
      <c r="L830" s="3"/>
      <c r="M830" s="3"/>
      <c r="N830" s="3"/>
      <c r="O830" s="3"/>
      <c r="P830" s="3"/>
      <c r="Q830" s="3"/>
      <c r="R830" s="3"/>
      <c r="S830" s="3"/>
      <c r="T830" s="3"/>
      <c r="U830" s="4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4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4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4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  <c r="DP830" s="3"/>
      <c r="DQ830" s="3"/>
      <c r="DR830" s="3"/>
      <c r="DS830" s="3"/>
      <c r="DT830" s="3"/>
      <c r="DU830" s="3"/>
      <c r="DV830" s="3"/>
      <c r="DW830" s="3"/>
      <c r="DX830" s="3"/>
      <c r="DY830" s="3"/>
      <c r="DZ830" s="3"/>
      <c r="EA830" s="3"/>
      <c r="EB830" s="3"/>
      <c r="EC830" s="3"/>
      <c r="ED830" s="3"/>
      <c r="EE830" s="3"/>
      <c r="EF830" s="3"/>
      <c r="EG830" s="3"/>
      <c r="EH830" s="3"/>
      <c r="EI830" s="3"/>
      <c r="EJ830" s="3"/>
      <c r="EK830" s="3"/>
      <c r="EL830" s="3"/>
      <c r="EM830" s="3"/>
      <c r="EN830" s="3"/>
      <c r="EO830" s="3"/>
      <c r="EP830" s="3"/>
      <c r="EQ830" s="3"/>
      <c r="ER830" s="3"/>
      <c r="ES830" s="3"/>
      <c r="ET830" s="3"/>
      <c r="EU830" s="3"/>
      <c r="EV830" s="3"/>
      <c r="EW830" s="3"/>
      <c r="EX830" s="3"/>
      <c r="EY830" s="3"/>
      <c r="EZ830" s="3"/>
      <c r="FA830" s="3"/>
      <c r="FB830" s="3"/>
      <c r="FC830" s="3"/>
      <c r="FD830" s="3"/>
      <c r="FE830" s="3"/>
      <c r="FF830" s="3"/>
      <c r="FG830" s="3"/>
      <c r="FH830" s="3"/>
      <c r="FI830" s="3"/>
      <c r="FJ830" s="3"/>
      <c r="FK830" s="3"/>
      <c r="FL830" s="3"/>
      <c r="FM830" s="3"/>
      <c r="FN830" s="3"/>
      <c r="FO830" s="3"/>
      <c r="FP830" s="3"/>
      <c r="FQ830" s="3"/>
      <c r="FR830" s="3"/>
      <c r="FS830" s="3"/>
      <c r="FT830" s="3"/>
      <c r="FU830" s="3"/>
      <c r="FV830" s="3"/>
      <c r="FW830" s="3"/>
      <c r="FX830" s="3"/>
      <c r="FY830" s="3"/>
    </row>
    <row r="831" spans="7:181" ht="15" x14ac:dyDescent="0.25">
      <c r="G831" s="2"/>
      <c r="H831" s="2"/>
      <c r="I831" s="2"/>
      <c r="J831" s="2"/>
      <c r="K831" s="2"/>
      <c r="L831" s="3"/>
      <c r="M831" s="3"/>
      <c r="N831" s="3"/>
      <c r="O831" s="3"/>
      <c r="P831" s="3"/>
      <c r="Q831" s="3"/>
      <c r="R831" s="3"/>
      <c r="S831" s="3"/>
      <c r="T831" s="3"/>
      <c r="U831" s="4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4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4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4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  <c r="DS831" s="3"/>
      <c r="DT831" s="3"/>
      <c r="DU831" s="3"/>
      <c r="DV831" s="3"/>
      <c r="DW831" s="3"/>
      <c r="DX831" s="3"/>
      <c r="DY831" s="3"/>
      <c r="DZ831" s="3"/>
      <c r="EA831" s="3"/>
      <c r="EB831" s="3"/>
      <c r="EC831" s="3"/>
      <c r="ED831" s="3"/>
      <c r="EE831" s="3"/>
      <c r="EF831" s="3"/>
      <c r="EG831" s="3"/>
      <c r="EH831" s="3"/>
      <c r="EI831" s="3"/>
      <c r="EJ831" s="3"/>
      <c r="EK831" s="3"/>
      <c r="EL831" s="3"/>
      <c r="EM831" s="3"/>
      <c r="EN831" s="3"/>
      <c r="EO831" s="3"/>
      <c r="EP831" s="3"/>
      <c r="EQ831" s="3"/>
      <c r="ER831" s="3"/>
      <c r="ES831" s="3"/>
      <c r="ET831" s="3"/>
      <c r="EU831" s="3"/>
      <c r="EV831" s="3"/>
      <c r="EW831" s="3"/>
      <c r="EX831" s="3"/>
      <c r="EY831" s="3"/>
      <c r="EZ831" s="3"/>
      <c r="FA831" s="3"/>
      <c r="FB831" s="3"/>
      <c r="FC831" s="3"/>
      <c r="FD831" s="3"/>
      <c r="FE831" s="3"/>
      <c r="FF831" s="3"/>
      <c r="FG831" s="3"/>
      <c r="FH831" s="3"/>
      <c r="FI831" s="3"/>
      <c r="FJ831" s="3"/>
      <c r="FK831" s="3"/>
      <c r="FL831" s="3"/>
      <c r="FM831" s="3"/>
      <c r="FN831" s="3"/>
      <c r="FO831" s="3"/>
      <c r="FP831" s="3"/>
      <c r="FQ831" s="3"/>
      <c r="FR831" s="3"/>
      <c r="FS831" s="3"/>
      <c r="FT831" s="3"/>
      <c r="FU831" s="3"/>
      <c r="FV831" s="3"/>
      <c r="FW831" s="3"/>
      <c r="FX831" s="3"/>
      <c r="FY831" s="3"/>
    </row>
    <row r="832" spans="7:181" ht="15" x14ac:dyDescent="0.25">
      <c r="G832" s="2"/>
      <c r="H832" s="2"/>
      <c r="I832" s="2"/>
      <c r="J832" s="2"/>
      <c r="K832" s="2"/>
      <c r="L832" s="3"/>
      <c r="M832" s="3"/>
      <c r="N832" s="3"/>
      <c r="O832" s="3"/>
      <c r="P832" s="3"/>
      <c r="Q832" s="3"/>
      <c r="R832" s="3"/>
      <c r="S832" s="3"/>
      <c r="T832" s="3"/>
      <c r="U832" s="4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4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4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4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  <c r="DP832" s="3"/>
      <c r="DQ832" s="3"/>
      <c r="DR832" s="3"/>
      <c r="DS832" s="3"/>
      <c r="DT832" s="3"/>
      <c r="DU832" s="3"/>
      <c r="DV832" s="3"/>
      <c r="DW832" s="3"/>
      <c r="DX832" s="3"/>
      <c r="DY832" s="3"/>
      <c r="DZ832" s="3"/>
      <c r="EA832" s="3"/>
      <c r="EB832" s="3"/>
      <c r="EC832" s="3"/>
      <c r="ED832" s="3"/>
      <c r="EE832" s="3"/>
      <c r="EF832" s="3"/>
      <c r="EG832" s="3"/>
      <c r="EH832" s="3"/>
      <c r="EI832" s="3"/>
      <c r="EJ832" s="3"/>
      <c r="EK832" s="3"/>
      <c r="EL832" s="3"/>
      <c r="EM832" s="3"/>
      <c r="EN832" s="3"/>
      <c r="EO832" s="3"/>
      <c r="EP832" s="3"/>
      <c r="EQ832" s="3"/>
      <c r="ER832" s="3"/>
      <c r="ES832" s="3"/>
      <c r="ET832" s="3"/>
      <c r="EU832" s="3"/>
      <c r="EV832" s="3"/>
      <c r="EW832" s="3"/>
      <c r="EX832" s="3"/>
      <c r="EY832" s="3"/>
      <c r="EZ832" s="3"/>
      <c r="FA832" s="3"/>
      <c r="FB832" s="3"/>
      <c r="FC832" s="3"/>
      <c r="FD832" s="3"/>
      <c r="FE832" s="3"/>
      <c r="FF832" s="3"/>
      <c r="FG832" s="3"/>
      <c r="FH832" s="3"/>
      <c r="FI832" s="3"/>
      <c r="FJ832" s="3"/>
      <c r="FK832" s="3"/>
      <c r="FL832" s="3"/>
      <c r="FM832" s="3"/>
      <c r="FN832" s="3"/>
      <c r="FO832" s="3"/>
      <c r="FP832" s="3"/>
      <c r="FQ832" s="3"/>
      <c r="FR832" s="3"/>
      <c r="FS832" s="3"/>
      <c r="FT832" s="3"/>
      <c r="FU832" s="3"/>
      <c r="FV832" s="3"/>
      <c r="FW832" s="3"/>
      <c r="FX832" s="3"/>
      <c r="FY832" s="3"/>
    </row>
    <row r="833" spans="7:181" ht="15" x14ac:dyDescent="0.25">
      <c r="G833" s="2"/>
      <c r="H833" s="2"/>
      <c r="I833" s="2"/>
      <c r="J833" s="2"/>
      <c r="K833" s="2"/>
      <c r="L833" s="3"/>
      <c r="M833" s="3"/>
      <c r="N833" s="3"/>
      <c r="O833" s="3"/>
      <c r="P833" s="3"/>
      <c r="Q833" s="3"/>
      <c r="R833" s="3"/>
      <c r="S833" s="3"/>
      <c r="T833" s="3"/>
      <c r="U833" s="4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4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4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4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  <c r="DS833" s="3"/>
      <c r="DT833" s="3"/>
      <c r="DU833" s="3"/>
      <c r="DV833" s="3"/>
      <c r="DW833" s="3"/>
      <c r="DX833" s="3"/>
      <c r="DY833" s="3"/>
      <c r="DZ833" s="3"/>
      <c r="EA833" s="3"/>
      <c r="EB833" s="3"/>
      <c r="EC833" s="3"/>
      <c r="ED833" s="3"/>
      <c r="EE833" s="3"/>
      <c r="EF833" s="3"/>
      <c r="EG833" s="3"/>
      <c r="EH833" s="3"/>
      <c r="EI833" s="3"/>
      <c r="EJ833" s="3"/>
      <c r="EK833" s="3"/>
      <c r="EL833" s="3"/>
      <c r="EM833" s="3"/>
      <c r="EN833" s="3"/>
      <c r="EO833" s="3"/>
      <c r="EP833" s="3"/>
      <c r="EQ833" s="3"/>
      <c r="ER833" s="3"/>
      <c r="ES833" s="3"/>
      <c r="ET833" s="3"/>
      <c r="EU833" s="3"/>
      <c r="EV833" s="3"/>
      <c r="EW833" s="3"/>
      <c r="EX833" s="3"/>
      <c r="EY833" s="3"/>
      <c r="EZ833" s="3"/>
      <c r="FA833" s="3"/>
      <c r="FB833" s="3"/>
      <c r="FC833" s="3"/>
      <c r="FD833" s="3"/>
      <c r="FE833" s="3"/>
      <c r="FF833" s="3"/>
      <c r="FG833" s="3"/>
      <c r="FH833" s="3"/>
      <c r="FI833" s="3"/>
      <c r="FJ833" s="3"/>
      <c r="FK833" s="3"/>
      <c r="FL833" s="3"/>
      <c r="FM833" s="3"/>
      <c r="FN833" s="3"/>
      <c r="FO833" s="3"/>
      <c r="FP833" s="3"/>
      <c r="FQ833" s="3"/>
      <c r="FR833" s="3"/>
      <c r="FS833" s="3"/>
      <c r="FT833" s="3"/>
      <c r="FU833" s="3"/>
      <c r="FV833" s="3"/>
      <c r="FW833" s="3"/>
      <c r="FX833" s="3"/>
      <c r="FY833" s="3"/>
    </row>
    <row r="834" spans="7:181" ht="15" x14ac:dyDescent="0.25">
      <c r="G834" s="2"/>
      <c r="H834" s="2"/>
      <c r="I834" s="2"/>
      <c r="J834" s="2"/>
      <c r="K834" s="2"/>
      <c r="L834" s="3"/>
      <c r="M834" s="3"/>
      <c r="N834" s="3"/>
      <c r="O834" s="3"/>
      <c r="P834" s="3"/>
      <c r="Q834" s="3"/>
      <c r="R834" s="3"/>
      <c r="S834" s="3"/>
      <c r="T834" s="3"/>
      <c r="U834" s="4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4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4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4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  <c r="DN834" s="3"/>
      <c r="DO834" s="3"/>
      <c r="DP834" s="3"/>
      <c r="DQ834" s="3"/>
      <c r="DR834" s="3"/>
      <c r="DS834" s="3"/>
      <c r="DT834" s="3"/>
      <c r="DU834" s="3"/>
      <c r="DV834" s="3"/>
      <c r="DW834" s="3"/>
      <c r="DX834" s="3"/>
      <c r="DY834" s="3"/>
      <c r="DZ834" s="3"/>
      <c r="EA834" s="3"/>
      <c r="EB834" s="3"/>
      <c r="EC834" s="3"/>
      <c r="ED834" s="3"/>
      <c r="EE834" s="3"/>
      <c r="EF834" s="3"/>
      <c r="EG834" s="3"/>
      <c r="EH834" s="3"/>
      <c r="EI834" s="3"/>
      <c r="EJ834" s="3"/>
      <c r="EK834" s="3"/>
      <c r="EL834" s="3"/>
      <c r="EM834" s="3"/>
      <c r="EN834" s="3"/>
      <c r="EO834" s="3"/>
      <c r="EP834" s="3"/>
      <c r="EQ834" s="3"/>
      <c r="ER834" s="3"/>
      <c r="ES834" s="3"/>
      <c r="ET834" s="3"/>
      <c r="EU834" s="3"/>
      <c r="EV834" s="3"/>
      <c r="EW834" s="3"/>
      <c r="EX834" s="3"/>
      <c r="EY834" s="3"/>
      <c r="EZ834" s="3"/>
      <c r="FA834" s="3"/>
      <c r="FB834" s="3"/>
      <c r="FC834" s="3"/>
      <c r="FD834" s="3"/>
      <c r="FE834" s="3"/>
      <c r="FF834" s="3"/>
      <c r="FG834" s="3"/>
      <c r="FH834" s="3"/>
      <c r="FI834" s="3"/>
      <c r="FJ834" s="3"/>
      <c r="FK834" s="3"/>
      <c r="FL834" s="3"/>
      <c r="FM834" s="3"/>
      <c r="FN834" s="3"/>
      <c r="FO834" s="3"/>
      <c r="FP834" s="3"/>
      <c r="FQ834" s="3"/>
      <c r="FR834" s="3"/>
      <c r="FS834" s="3"/>
      <c r="FT834" s="3"/>
      <c r="FU834" s="3"/>
      <c r="FV834" s="3"/>
      <c r="FW834" s="3"/>
      <c r="FX834" s="3"/>
      <c r="FY834" s="3"/>
    </row>
    <row r="835" spans="7:181" ht="15" x14ac:dyDescent="0.25">
      <c r="G835" s="2"/>
      <c r="H835" s="2"/>
      <c r="I835" s="2"/>
      <c r="J835" s="2"/>
      <c r="K835" s="2"/>
      <c r="L835" s="3"/>
      <c r="M835" s="3"/>
      <c r="N835" s="3"/>
      <c r="O835" s="3"/>
      <c r="P835" s="3"/>
      <c r="Q835" s="3"/>
      <c r="R835" s="3"/>
      <c r="S835" s="3"/>
      <c r="T835" s="3"/>
      <c r="U835" s="4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4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4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4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  <c r="DS835" s="3"/>
      <c r="DT835" s="3"/>
      <c r="DU835" s="3"/>
      <c r="DV835" s="3"/>
      <c r="DW835" s="3"/>
      <c r="DX835" s="3"/>
      <c r="DY835" s="3"/>
      <c r="DZ835" s="3"/>
      <c r="EA835" s="3"/>
      <c r="EB835" s="3"/>
      <c r="EC835" s="3"/>
      <c r="ED835" s="3"/>
      <c r="EE835" s="3"/>
      <c r="EF835" s="3"/>
      <c r="EG835" s="3"/>
      <c r="EH835" s="3"/>
      <c r="EI835" s="3"/>
      <c r="EJ835" s="3"/>
      <c r="EK835" s="3"/>
      <c r="EL835" s="3"/>
      <c r="EM835" s="3"/>
      <c r="EN835" s="3"/>
      <c r="EO835" s="3"/>
      <c r="EP835" s="3"/>
      <c r="EQ835" s="3"/>
      <c r="ER835" s="3"/>
      <c r="ES835" s="3"/>
      <c r="ET835" s="3"/>
      <c r="EU835" s="3"/>
      <c r="EV835" s="3"/>
      <c r="EW835" s="3"/>
      <c r="EX835" s="3"/>
      <c r="EY835" s="3"/>
      <c r="EZ835" s="3"/>
      <c r="FA835" s="3"/>
      <c r="FB835" s="3"/>
      <c r="FC835" s="3"/>
      <c r="FD835" s="3"/>
      <c r="FE835" s="3"/>
      <c r="FF835" s="3"/>
      <c r="FG835" s="3"/>
      <c r="FH835" s="3"/>
      <c r="FI835" s="3"/>
      <c r="FJ835" s="3"/>
      <c r="FK835" s="3"/>
      <c r="FL835" s="3"/>
      <c r="FM835" s="3"/>
      <c r="FN835" s="3"/>
      <c r="FO835" s="3"/>
      <c r="FP835" s="3"/>
      <c r="FQ835" s="3"/>
      <c r="FR835" s="3"/>
      <c r="FS835" s="3"/>
      <c r="FT835" s="3"/>
      <c r="FU835" s="3"/>
      <c r="FV835" s="3"/>
      <c r="FW835" s="3"/>
      <c r="FX835" s="3"/>
      <c r="FY835" s="3"/>
    </row>
    <row r="836" spans="7:181" ht="15" x14ac:dyDescent="0.25">
      <c r="G836" s="2"/>
      <c r="H836" s="2"/>
      <c r="I836" s="2"/>
      <c r="J836" s="2"/>
      <c r="K836" s="2"/>
      <c r="L836" s="3"/>
      <c r="M836" s="3"/>
      <c r="N836" s="3"/>
      <c r="O836" s="3"/>
      <c r="P836" s="3"/>
      <c r="Q836" s="3"/>
      <c r="R836" s="3"/>
      <c r="S836" s="3"/>
      <c r="T836" s="3"/>
      <c r="U836" s="4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4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4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4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  <c r="DS836" s="3"/>
      <c r="DT836" s="3"/>
      <c r="DU836" s="3"/>
      <c r="DV836" s="3"/>
      <c r="DW836" s="3"/>
      <c r="DX836" s="3"/>
      <c r="DY836" s="3"/>
      <c r="DZ836" s="3"/>
      <c r="EA836" s="3"/>
      <c r="EB836" s="3"/>
      <c r="EC836" s="3"/>
      <c r="ED836" s="3"/>
      <c r="EE836" s="3"/>
      <c r="EF836" s="3"/>
      <c r="EG836" s="3"/>
      <c r="EH836" s="3"/>
      <c r="EI836" s="3"/>
      <c r="EJ836" s="3"/>
      <c r="EK836" s="3"/>
      <c r="EL836" s="3"/>
      <c r="EM836" s="3"/>
      <c r="EN836" s="3"/>
      <c r="EO836" s="3"/>
      <c r="EP836" s="3"/>
      <c r="EQ836" s="3"/>
      <c r="ER836" s="3"/>
      <c r="ES836" s="3"/>
      <c r="ET836" s="3"/>
      <c r="EU836" s="3"/>
      <c r="EV836" s="3"/>
      <c r="EW836" s="3"/>
      <c r="EX836" s="3"/>
      <c r="EY836" s="3"/>
      <c r="EZ836" s="3"/>
      <c r="FA836" s="3"/>
      <c r="FB836" s="3"/>
      <c r="FC836" s="3"/>
      <c r="FD836" s="3"/>
      <c r="FE836" s="3"/>
      <c r="FF836" s="3"/>
      <c r="FG836" s="3"/>
      <c r="FH836" s="3"/>
      <c r="FI836" s="3"/>
      <c r="FJ836" s="3"/>
      <c r="FK836" s="3"/>
      <c r="FL836" s="3"/>
      <c r="FM836" s="3"/>
      <c r="FN836" s="3"/>
      <c r="FO836" s="3"/>
      <c r="FP836" s="3"/>
      <c r="FQ836" s="3"/>
      <c r="FR836" s="3"/>
      <c r="FS836" s="3"/>
      <c r="FT836" s="3"/>
      <c r="FU836" s="3"/>
      <c r="FV836" s="3"/>
      <c r="FW836" s="3"/>
      <c r="FX836" s="3"/>
      <c r="FY836" s="3"/>
    </row>
    <row r="837" spans="7:181" ht="15" x14ac:dyDescent="0.25">
      <c r="G837" s="2"/>
      <c r="H837" s="2"/>
      <c r="I837" s="2"/>
      <c r="J837" s="2"/>
      <c r="K837" s="2"/>
      <c r="L837" s="3"/>
      <c r="M837" s="3"/>
      <c r="N837" s="3"/>
      <c r="O837" s="3"/>
      <c r="P837" s="3"/>
      <c r="Q837" s="3"/>
      <c r="R837" s="3"/>
      <c r="S837" s="3"/>
      <c r="T837" s="3"/>
      <c r="U837" s="4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4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4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4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/>
      <c r="DS837" s="3"/>
      <c r="DT837" s="3"/>
      <c r="DU837" s="3"/>
      <c r="DV837" s="3"/>
      <c r="DW837" s="3"/>
      <c r="DX837" s="3"/>
      <c r="DY837" s="3"/>
      <c r="DZ837" s="3"/>
      <c r="EA837" s="3"/>
      <c r="EB837" s="3"/>
      <c r="EC837" s="3"/>
      <c r="ED837" s="3"/>
      <c r="EE837" s="3"/>
      <c r="EF837" s="3"/>
      <c r="EG837" s="3"/>
      <c r="EH837" s="3"/>
      <c r="EI837" s="3"/>
      <c r="EJ837" s="3"/>
      <c r="EK837" s="3"/>
      <c r="EL837" s="3"/>
      <c r="EM837" s="3"/>
      <c r="EN837" s="3"/>
      <c r="EO837" s="3"/>
      <c r="EP837" s="3"/>
      <c r="EQ837" s="3"/>
      <c r="ER837" s="3"/>
      <c r="ES837" s="3"/>
      <c r="ET837" s="3"/>
      <c r="EU837" s="3"/>
      <c r="EV837" s="3"/>
      <c r="EW837" s="3"/>
      <c r="EX837" s="3"/>
      <c r="EY837" s="3"/>
      <c r="EZ837" s="3"/>
      <c r="FA837" s="3"/>
      <c r="FB837" s="3"/>
      <c r="FC837" s="3"/>
      <c r="FD837" s="3"/>
      <c r="FE837" s="3"/>
      <c r="FF837" s="3"/>
      <c r="FG837" s="3"/>
      <c r="FH837" s="3"/>
      <c r="FI837" s="3"/>
      <c r="FJ837" s="3"/>
      <c r="FK837" s="3"/>
      <c r="FL837" s="3"/>
      <c r="FM837" s="3"/>
      <c r="FN837" s="3"/>
      <c r="FO837" s="3"/>
      <c r="FP837" s="3"/>
      <c r="FQ837" s="3"/>
      <c r="FR837" s="3"/>
      <c r="FS837" s="3"/>
      <c r="FT837" s="3"/>
      <c r="FU837" s="3"/>
      <c r="FV837" s="3"/>
      <c r="FW837" s="3"/>
      <c r="FX837" s="3"/>
      <c r="FY837" s="3"/>
    </row>
    <row r="838" spans="7:181" ht="15" x14ac:dyDescent="0.25">
      <c r="G838" s="2"/>
      <c r="H838" s="2"/>
      <c r="I838" s="2"/>
      <c r="J838" s="2"/>
      <c r="K838" s="2"/>
      <c r="L838" s="3"/>
      <c r="M838" s="3"/>
      <c r="N838" s="3"/>
      <c r="O838" s="3"/>
      <c r="P838" s="3"/>
      <c r="Q838" s="3"/>
      <c r="R838" s="3"/>
      <c r="S838" s="3"/>
      <c r="T838" s="3"/>
      <c r="U838" s="4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4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4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4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  <c r="DS838" s="3"/>
      <c r="DT838" s="3"/>
      <c r="DU838" s="3"/>
      <c r="DV838" s="3"/>
      <c r="DW838" s="3"/>
      <c r="DX838" s="3"/>
      <c r="DY838" s="3"/>
      <c r="DZ838" s="3"/>
      <c r="EA838" s="3"/>
      <c r="EB838" s="3"/>
      <c r="EC838" s="3"/>
      <c r="ED838" s="3"/>
      <c r="EE838" s="3"/>
      <c r="EF838" s="3"/>
      <c r="EG838" s="3"/>
      <c r="EH838" s="3"/>
      <c r="EI838" s="3"/>
      <c r="EJ838" s="3"/>
      <c r="EK838" s="3"/>
      <c r="EL838" s="3"/>
      <c r="EM838" s="3"/>
      <c r="EN838" s="3"/>
      <c r="EO838" s="3"/>
      <c r="EP838" s="3"/>
      <c r="EQ838" s="3"/>
      <c r="ER838" s="3"/>
      <c r="ES838" s="3"/>
      <c r="ET838" s="3"/>
      <c r="EU838" s="3"/>
      <c r="EV838" s="3"/>
      <c r="EW838" s="3"/>
      <c r="EX838" s="3"/>
      <c r="EY838" s="3"/>
      <c r="EZ838" s="3"/>
      <c r="FA838" s="3"/>
      <c r="FB838" s="3"/>
      <c r="FC838" s="3"/>
      <c r="FD838" s="3"/>
      <c r="FE838" s="3"/>
      <c r="FF838" s="3"/>
      <c r="FG838" s="3"/>
      <c r="FH838" s="3"/>
      <c r="FI838" s="3"/>
      <c r="FJ838" s="3"/>
      <c r="FK838" s="3"/>
      <c r="FL838" s="3"/>
      <c r="FM838" s="3"/>
      <c r="FN838" s="3"/>
      <c r="FO838" s="3"/>
      <c r="FP838" s="3"/>
      <c r="FQ838" s="3"/>
      <c r="FR838" s="3"/>
      <c r="FS838" s="3"/>
      <c r="FT838" s="3"/>
      <c r="FU838" s="3"/>
      <c r="FV838" s="3"/>
      <c r="FW838" s="3"/>
      <c r="FX838" s="3"/>
      <c r="FY838" s="3"/>
    </row>
    <row r="839" spans="7:181" ht="15" x14ac:dyDescent="0.25">
      <c r="G839" s="2"/>
      <c r="H839" s="2"/>
      <c r="I839" s="2"/>
      <c r="J839" s="2"/>
      <c r="K839" s="2"/>
      <c r="L839" s="3"/>
      <c r="M839" s="3"/>
      <c r="N839" s="3"/>
      <c r="O839" s="3"/>
      <c r="P839" s="3"/>
      <c r="Q839" s="3"/>
      <c r="R839" s="3"/>
      <c r="S839" s="3"/>
      <c r="T839" s="3"/>
      <c r="U839" s="4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4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4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4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/>
      <c r="DS839" s="3"/>
      <c r="DT839" s="3"/>
      <c r="DU839" s="3"/>
      <c r="DV839" s="3"/>
      <c r="DW839" s="3"/>
      <c r="DX839" s="3"/>
      <c r="DY839" s="3"/>
      <c r="DZ839" s="3"/>
      <c r="EA839" s="3"/>
      <c r="EB839" s="3"/>
      <c r="EC839" s="3"/>
      <c r="ED839" s="3"/>
      <c r="EE839" s="3"/>
      <c r="EF839" s="3"/>
      <c r="EG839" s="3"/>
      <c r="EH839" s="3"/>
      <c r="EI839" s="3"/>
      <c r="EJ839" s="3"/>
      <c r="EK839" s="3"/>
      <c r="EL839" s="3"/>
      <c r="EM839" s="3"/>
      <c r="EN839" s="3"/>
      <c r="EO839" s="3"/>
      <c r="EP839" s="3"/>
      <c r="EQ839" s="3"/>
      <c r="ER839" s="3"/>
      <c r="ES839" s="3"/>
      <c r="ET839" s="3"/>
      <c r="EU839" s="3"/>
      <c r="EV839" s="3"/>
      <c r="EW839" s="3"/>
      <c r="EX839" s="3"/>
      <c r="EY839" s="3"/>
      <c r="EZ839" s="3"/>
      <c r="FA839" s="3"/>
      <c r="FB839" s="3"/>
      <c r="FC839" s="3"/>
      <c r="FD839" s="3"/>
      <c r="FE839" s="3"/>
      <c r="FF839" s="3"/>
      <c r="FG839" s="3"/>
      <c r="FH839" s="3"/>
      <c r="FI839" s="3"/>
      <c r="FJ839" s="3"/>
      <c r="FK839" s="3"/>
      <c r="FL839" s="3"/>
      <c r="FM839" s="3"/>
      <c r="FN839" s="3"/>
      <c r="FO839" s="3"/>
      <c r="FP839" s="3"/>
      <c r="FQ839" s="3"/>
      <c r="FR839" s="3"/>
      <c r="FS839" s="3"/>
      <c r="FT839" s="3"/>
      <c r="FU839" s="3"/>
      <c r="FV839" s="3"/>
      <c r="FW839" s="3"/>
      <c r="FX839" s="3"/>
      <c r="FY839" s="3"/>
    </row>
    <row r="840" spans="7:181" ht="15" x14ac:dyDescent="0.25">
      <c r="G840" s="2"/>
      <c r="H840" s="2"/>
      <c r="I840" s="2"/>
      <c r="J840" s="2"/>
      <c r="K840" s="2"/>
      <c r="L840" s="3"/>
      <c r="M840" s="3"/>
      <c r="N840" s="3"/>
      <c r="O840" s="3"/>
      <c r="P840" s="3"/>
      <c r="Q840" s="3"/>
      <c r="R840" s="3"/>
      <c r="S840" s="3"/>
      <c r="T840" s="3"/>
      <c r="U840" s="4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4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4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4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  <c r="DS840" s="3"/>
      <c r="DT840" s="3"/>
      <c r="DU840" s="3"/>
      <c r="DV840" s="3"/>
      <c r="DW840" s="3"/>
      <c r="DX840" s="3"/>
      <c r="DY840" s="3"/>
      <c r="DZ840" s="3"/>
      <c r="EA840" s="3"/>
      <c r="EB840" s="3"/>
      <c r="EC840" s="3"/>
      <c r="ED840" s="3"/>
      <c r="EE840" s="3"/>
      <c r="EF840" s="3"/>
      <c r="EG840" s="3"/>
      <c r="EH840" s="3"/>
      <c r="EI840" s="3"/>
      <c r="EJ840" s="3"/>
      <c r="EK840" s="3"/>
      <c r="EL840" s="3"/>
      <c r="EM840" s="3"/>
      <c r="EN840" s="3"/>
      <c r="EO840" s="3"/>
      <c r="EP840" s="3"/>
      <c r="EQ840" s="3"/>
      <c r="ER840" s="3"/>
      <c r="ES840" s="3"/>
      <c r="ET840" s="3"/>
      <c r="EU840" s="3"/>
      <c r="EV840" s="3"/>
      <c r="EW840" s="3"/>
      <c r="EX840" s="3"/>
      <c r="EY840" s="3"/>
      <c r="EZ840" s="3"/>
      <c r="FA840" s="3"/>
      <c r="FB840" s="3"/>
      <c r="FC840" s="3"/>
      <c r="FD840" s="3"/>
      <c r="FE840" s="3"/>
      <c r="FF840" s="3"/>
      <c r="FG840" s="3"/>
      <c r="FH840" s="3"/>
      <c r="FI840" s="3"/>
      <c r="FJ840" s="3"/>
      <c r="FK840" s="3"/>
      <c r="FL840" s="3"/>
      <c r="FM840" s="3"/>
      <c r="FN840" s="3"/>
      <c r="FO840" s="3"/>
      <c r="FP840" s="3"/>
      <c r="FQ840" s="3"/>
      <c r="FR840" s="3"/>
      <c r="FS840" s="3"/>
      <c r="FT840" s="3"/>
      <c r="FU840" s="3"/>
      <c r="FV840" s="3"/>
      <c r="FW840" s="3"/>
      <c r="FX840" s="3"/>
      <c r="FY840" s="3"/>
    </row>
    <row r="841" spans="7:181" ht="15" x14ac:dyDescent="0.25">
      <c r="G841" s="2"/>
      <c r="H841" s="2"/>
      <c r="I841" s="2"/>
      <c r="J841" s="2"/>
      <c r="K841" s="2"/>
      <c r="L841" s="3"/>
      <c r="M841" s="3"/>
      <c r="N841" s="3"/>
      <c r="O841" s="3"/>
      <c r="P841" s="3"/>
      <c r="Q841" s="3"/>
      <c r="R841" s="3"/>
      <c r="S841" s="3"/>
      <c r="T841" s="3"/>
      <c r="U841" s="4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4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4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4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  <c r="DS841" s="3"/>
      <c r="DT841" s="3"/>
      <c r="DU841" s="3"/>
      <c r="DV841" s="3"/>
      <c r="DW841" s="3"/>
      <c r="DX841" s="3"/>
      <c r="DY841" s="3"/>
      <c r="DZ841" s="3"/>
      <c r="EA841" s="3"/>
      <c r="EB841" s="3"/>
      <c r="EC841" s="3"/>
      <c r="ED841" s="3"/>
      <c r="EE841" s="3"/>
      <c r="EF841" s="3"/>
      <c r="EG841" s="3"/>
      <c r="EH841" s="3"/>
      <c r="EI841" s="3"/>
      <c r="EJ841" s="3"/>
      <c r="EK841" s="3"/>
      <c r="EL841" s="3"/>
      <c r="EM841" s="3"/>
      <c r="EN841" s="3"/>
      <c r="EO841" s="3"/>
      <c r="EP841" s="3"/>
      <c r="EQ841" s="3"/>
      <c r="ER841" s="3"/>
      <c r="ES841" s="3"/>
      <c r="ET841" s="3"/>
      <c r="EU841" s="3"/>
      <c r="EV841" s="3"/>
      <c r="EW841" s="3"/>
      <c r="EX841" s="3"/>
      <c r="EY841" s="3"/>
      <c r="EZ841" s="3"/>
      <c r="FA841" s="3"/>
      <c r="FB841" s="3"/>
      <c r="FC841" s="3"/>
      <c r="FD841" s="3"/>
      <c r="FE841" s="3"/>
      <c r="FF841" s="3"/>
      <c r="FG841" s="3"/>
      <c r="FH841" s="3"/>
      <c r="FI841" s="3"/>
      <c r="FJ841" s="3"/>
      <c r="FK841" s="3"/>
      <c r="FL841" s="3"/>
      <c r="FM841" s="3"/>
      <c r="FN841" s="3"/>
      <c r="FO841" s="3"/>
      <c r="FP841" s="3"/>
      <c r="FQ841" s="3"/>
      <c r="FR841" s="3"/>
      <c r="FS841" s="3"/>
      <c r="FT841" s="3"/>
      <c r="FU841" s="3"/>
      <c r="FV841" s="3"/>
      <c r="FW841" s="3"/>
      <c r="FX841" s="3"/>
      <c r="FY841" s="3"/>
    </row>
    <row r="842" spans="7:181" ht="15" x14ac:dyDescent="0.25">
      <c r="G842" s="2"/>
      <c r="H842" s="2"/>
      <c r="I842" s="2"/>
      <c r="J842" s="2"/>
      <c r="K842" s="2"/>
      <c r="L842" s="3"/>
      <c r="M842" s="3"/>
      <c r="N842" s="3"/>
      <c r="O842" s="3"/>
      <c r="P842" s="3"/>
      <c r="Q842" s="3"/>
      <c r="R842" s="3"/>
      <c r="S842" s="3"/>
      <c r="T842" s="3"/>
      <c r="U842" s="4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4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4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4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  <c r="DS842" s="3"/>
      <c r="DT842" s="3"/>
      <c r="DU842" s="3"/>
      <c r="DV842" s="3"/>
      <c r="DW842" s="3"/>
      <c r="DX842" s="3"/>
      <c r="DY842" s="3"/>
      <c r="DZ842" s="3"/>
      <c r="EA842" s="3"/>
      <c r="EB842" s="3"/>
      <c r="EC842" s="3"/>
      <c r="ED842" s="3"/>
      <c r="EE842" s="3"/>
      <c r="EF842" s="3"/>
      <c r="EG842" s="3"/>
      <c r="EH842" s="3"/>
      <c r="EI842" s="3"/>
      <c r="EJ842" s="3"/>
      <c r="EK842" s="3"/>
      <c r="EL842" s="3"/>
      <c r="EM842" s="3"/>
      <c r="EN842" s="3"/>
      <c r="EO842" s="3"/>
      <c r="EP842" s="3"/>
      <c r="EQ842" s="3"/>
      <c r="ER842" s="3"/>
      <c r="ES842" s="3"/>
      <c r="ET842" s="3"/>
      <c r="EU842" s="3"/>
      <c r="EV842" s="3"/>
      <c r="EW842" s="3"/>
      <c r="EX842" s="3"/>
      <c r="EY842" s="3"/>
      <c r="EZ842" s="3"/>
      <c r="FA842" s="3"/>
      <c r="FB842" s="3"/>
      <c r="FC842" s="3"/>
      <c r="FD842" s="3"/>
      <c r="FE842" s="3"/>
      <c r="FF842" s="3"/>
      <c r="FG842" s="3"/>
      <c r="FH842" s="3"/>
      <c r="FI842" s="3"/>
      <c r="FJ842" s="3"/>
      <c r="FK842" s="3"/>
      <c r="FL842" s="3"/>
      <c r="FM842" s="3"/>
      <c r="FN842" s="3"/>
      <c r="FO842" s="3"/>
      <c r="FP842" s="3"/>
      <c r="FQ842" s="3"/>
      <c r="FR842" s="3"/>
      <c r="FS842" s="3"/>
      <c r="FT842" s="3"/>
      <c r="FU842" s="3"/>
      <c r="FV842" s="3"/>
      <c r="FW842" s="3"/>
      <c r="FX842" s="3"/>
      <c r="FY842" s="3"/>
    </row>
    <row r="843" spans="7:181" ht="15" x14ac:dyDescent="0.25">
      <c r="G843" s="2"/>
      <c r="H843" s="2"/>
      <c r="I843" s="2"/>
      <c r="J843" s="2"/>
      <c r="K843" s="2"/>
      <c r="L843" s="3"/>
      <c r="M843" s="3"/>
      <c r="N843" s="3"/>
      <c r="O843" s="3"/>
      <c r="P843" s="3"/>
      <c r="Q843" s="3"/>
      <c r="R843" s="3"/>
      <c r="S843" s="3"/>
      <c r="T843" s="3"/>
      <c r="U843" s="4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4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4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4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  <c r="DS843" s="3"/>
      <c r="DT843" s="3"/>
      <c r="DU843" s="3"/>
      <c r="DV843" s="3"/>
      <c r="DW843" s="3"/>
      <c r="DX843" s="3"/>
      <c r="DY843" s="3"/>
      <c r="DZ843" s="3"/>
      <c r="EA843" s="3"/>
      <c r="EB843" s="3"/>
      <c r="EC843" s="3"/>
      <c r="ED843" s="3"/>
      <c r="EE843" s="3"/>
      <c r="EF843" s="3"/>
      <c r="EG843" s="3"/>
      <c r="EH843" s="3"/>
      <c r="EI843" s="3"/>
      <c r="EJ843" s="3"/>
      <c r="EK843" s="3"/>
      <c r="EL843" s="3"/>
      <c r="EM843" s="3"/>
      <c r="EN843" s="3"/>
      <c r="EO843" s="3"/>
      <c r="EP843" s="3"/>
      <c r="EQ843" s="3"/>
      <c r="ER843" s="3"/>
      <c r="ES843" s="3"/>
      <c r="ET843" s="3"/>
      <c r="EU843" s="3"/>
      <c r="EV843" s="3"/>
      <c r="EW843" s="3"/>
      <c r="EX843" s="3"/>
      <c r="EY843" s="3"/>
      <c r="EZ843" s="3"/>
      <c r="FA843" s="3"/>
      <c r="FB843" s="3"/>
      <c r="FC843" s="3"/>
      <c r="FD843" s="3"/>
      <c r="FE843" s="3"/>
      <c r="FF843" s="3"/>
      <c r="FG843" s="3"/>
      <c r="FH843" s="3"/>
      <c r="FI843" s="3"/>
      <c r="FJ843" s="3"/>
      <c r="FK843" s="3"/>
      <c r="FL843" s="3"/>
      <c r="FM843" s="3"/>
      <c r="FN843" s="3"/>
      <c r="FO843" s="3"/>
      <c r="FP843" s="3"/>
      <c r="FQ843" s="3"/>
      <c r="FR843" s="3"/>
      <c r="FS843" s="3"/>
      <c r="FT843" s="3"/>
      <c r="FU843" s="3"/>
      <c r="FV843" s="3"/>
      <c r="FW843" s="3"/>
      <c r="FX843" s="3"/>
      <c r="FY843" s="3"/>
    </row>
    <row r="844" spans="7:181" ht="15" x14ac:dyDescent="0.25">
      <c r="G844" s="2"/>
      <c r="H844" s="2"/>
      <c r="I844" s="2"/>
      <c r="J844" s="2"/>
      <c r="K844" s="2"/>
      <c r="L844" s="3"/>
      <c r="M844" s="3"/>
      <c r="N844" s="3"/>
      <c r="O844" s="3"/>
      <c r="P844" s="3"/>
      <c r="Q844" s="3"/>
      <c r="R844" s="3"/>
      <c r="S844" s="3"/>
      <c r="T844" s="3"/>
      <c r="U844" s="4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4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4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4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  <c r="DN844" s="3"/>
      <c r="DO844" s="3"/>
      <c r="DP844" s="3"/>
      <c r="DQ844" s="3"/>
      <c r="DR844" s="3"/>
      <c r="DS844" s="3"/>
      <c r="DT844" s="3"/>
      <c r="DU844" s="3"/>
      <c r="DV844" s="3"/>
      <c r="DW844" s="3"/>
      <c r="DX844" s="3"/>
      <c r="DY844" s="3"/>
      <c r="DZ844" s="3"/>
      <c r="EA844" s="3"/>
      <c r="EB844" s="3"/>
      <c r="EC844" s="3"/>
      <c r="ED844" s="3"/>
      <c r="EE844" s="3"/>
      <c r="EF844" s="3"/>
      <c r="EG844" s="3"/>
      <c r="EH844" s="3"/>
      <c r="EI844" s="3"/>
      <c r="EJ844" s="3"/>
      <c r="EK844" s="3"/>
      <c r="EL844" s="3"/>
      <c r="EM844" s="3"/>
      <c r="EN844" s="3"/>
      <c r="EO844" s="3"/>
      <c r="EP844" s="3"/>
      <c r="EQ844" s="3"/>
      <c r="ER844" s="3"/>
      <c r="ES844" s="3"/>
      <c r="ET844" s="3"/>
      <c r="EU844" s="3"/>
      <c r="EV844" s="3"/>
      <c r="EW844" s="3"/>
      <c r="EX844" s="3"/>
      <c r="EY844" s="3"/>
      <c r="EZ844" s="3"/>
      <c r="FA844" s="3"/>
      <c r="FB844" s="3"/>
      <c r="FC844" s="3"/>
      <c r="FD844" s="3"/>
      <c r="FE844" s="3"/>
      <c r="FF844" s="3"/>
      <c r="FG844" s="3"/>
      <c r="FH844" s="3"/>
      <c r="FI844" s="3"/>
      <c r="FJ844" s="3"/>
      <c r="FK844" s="3"/>
      <c r="FL844" s="3"/>
      <c r="FM844" s="3"/>
      <c r="FN844" s="3"/>
      <c r="FO844" s="3"/>
      <c r="FP844" s="3"/>
      <c r="FQ844" s="3"/>
      <c r="FR844" s="3"/>
      <c r="FS844" s="3"/>
      <c r="FT844" s="3"/>
      <c r="FU844" s="3"/>
      <c r="FV844" s="3"/>
      <c r="FW844" s="3"/>
      <c r="FX844" s="3"/>
      <c r="FY844" s="3"/>
    </row>
    <row r="845" spans="7:181" ht="15" x14ac:dyDescent="0.25">
      <c r="G845" s="2"/>
      <c r="H845" s="2"/>
      <c r="I845" s="2"/>
      <c r="J845" s="2"/>
      <c r="K845" s="2"/>
      <c r="L845" s="3"/>
      <c r="M845" s="3"/>
      <c r="N845" s="3"/>
      <c r="O845" s="3"/>
      <c r="P845" s="3"/>
      <c r="Q845" s="3"/>
      <c r="R845" s="3"/>
      <c r="S845" s="3"/>
      <c r="T845" s="3"/>
      <c r="U845" s="4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4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4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4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  <c r="DS845" s="3"/>
      <c r="DT845" s="3"/>
      <c r="DU845" s="3"/>
      <c r="DV845" s="3"/>
      <c r="DW845" s="3"/>
      <c r="DX845" s="3"/>
      <c r="DY845" s="3"/>
      <c r="DZ845" s="3"/>
      <c r="EA845" s="3"/>
      <c r="EB845" s="3"/>
      <c r="EC845" s="3"/>
      <c r="ED845" s="3"/>
      <c r="EE845" s="3"/>
      <c r="EF845" s="3"/>
      <c r="EG845" s="3"/>
      <c r="EH845" s="3"/>
      <c r="EI845" s="3"/>
      <c r="EJ845" s="3"/>
      <c r="EK845" s="3"/>
      <c r="EL845" s="3"/>
      <c r="EM845" s="3"/>
      <c r="EN845" s="3"/>
      <c r="EO845" s="3"/>
      <c r="EP845" s="3"/>
      <c r="EQ845" s="3"/>
      <c r="ER845" s="3"/>
      <c r="ES845" s="3"/>
      <c r="ET845" s="3"/>
      <c r="EU845" s="3"/>
      <c r="EV845" s="3"/>
      <c r="EW845" s="3"/>
      <c r="EX845" s="3"/>
      <c r="EY845" s="3"/>
      <c r="EZ845" s="3"/>
      <c r="FA845" s="3"/>
      <c r="FB845" s="3"/>
      <c r="FC845" s="3"/>
      <c r="FD845" s="3"/>
      <c r="FE845" s="3"/>
      <c r="FF845" s="3"/>
      <c r="FG845" s="3"/>
      <c r="FH845" s="3"/>
      <c r="FI845" s="3"/>
      <c r="FJ845" s="3"/>
      <c r="FK845" s="3"/>
      <c r="FL845" s="3"/>
      <c r="FM845" s="3"/>
      <c r="FN845" s="3"/>
      <c r="FO845" s="3"/>
      <c r="FP845" s="3"/>
      <c r="FQ845" s="3"/>
      <c r="FR845" s="3"/>
      <c r="FS845" s="3"/>
      <c r="FT845" s="3"/>
      <c r="FU845" s="3"/>
      <c r="FV845" s="3"/>
      <c r="FW845" s="3"/>
      <c r="FX845" s="3"/>
      <c r="FY845" s="3"/>
    </row>
    <row r="846" spans="7:181" ht="15" x14ac:dyDescent="0.25">
      <c r="G846" s="2"/>
      <c r="H846" s="2"/>
      <c r="I846" s="2"/>
      <c r="J846" s="2"/>
      <c r="K846" s="2"/>
      <c r="L846" s="3"/>
      <c r="M846" s="3"/>
      <c r="N846" s="3"/>
      <c r="O846" s="3"/>
      <c r="P846" s="3"/>
      <c r="Q846" s="3"/>
      <c r="R846" s="3"/>
      <c r="S846" s="3"/>
      <c r="T846" s="3"/>
      <c r="U846" s="4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4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4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4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  <c r="DN846" s="3"/>
      <c r="DO846" s="3"/>
      <c r="DP846" s="3"/>
      <c r="DQ846" s="3"/>
      <c r="DR846" s="3"/>
      <c r="DS846" s="3"/>
      <c r="DT846" s="3"/>
      <c r="DU846" s="3"/>
      <c r="DV846" s="3"/>
      <c r="DW846" s="3"/>
      <c r="DX846" s="3"/>
      <c r="DY846" s="3"/>
      <c r="DZ846" s="3"/>
      <c r="EA846" s="3"/>
      <c r="EB846" s="3"/>
      <c r="EC846" s="3"/>
      <c r="ED846" s="3"/>
      <c r="EE846" s="3"/>
      <c r="EF846" s="3"/>
      <c r="EG846" s="3"/>
      <c r="EH846" s="3"/>
      <c r="EI846" s="3"/>
      <c r="EJ846" s="3"/>
      <c r="EK846" s="3"/>
      <c r="EL846" s="3"/>
      <c r="EM846" s="3"/>
      <c r="EN846" s="3"/>
      <c r="EO846" s="3"/>
      <c r="EP846" s="3"/>
      <c r="EQ846" s="3"/>
      <c r="ER846" s="3"/>
      <c r="ES846" s="3"/>
      <c r="ET846" s="3"/>
      <c r="EU846" s="3"/>
      <c r="EV846" s="3"/>
      <c r="EW846" s="3"/>
      <c r="EX846" s="3"/>
      <c r="EY846" s="3"/>
      <c r="EZ846" s="3"/>
      <c r="FA846" s="3"/>
      <c r="FB846" s="3"/>
      <c r="FC846" s="3"/>
      <c r="FD846" s="3"/>
      <c r="FE846" s="3"/>
      <c r="FF846" s="3"/>
      <c r="FG846" s="3"/>
      <c r="FH846" s="3"/>
      <c r="FI846" s="3"/>
      <c r="FJ846" s="3"/>
      <c r="FK846" s="3"/>
      <c r="FL846" s="3"/>
      <c r="FM846" s="3"/>
      <c r="FN846" s="3"/>
      <c r="FO846" s="3"/>
      <c r="FP846" s="3"/>
      <c r="FQ846" s="3"/>
      <c r="FR846" s="3"/>
      <c r="FS846" s="3"/>
      <c r="FT846" s="3"/>
      <c r="FU846" s="3"/>
      <c r="FV846" s="3"/>
      <c r="FW846" s="3"/>
      <c r="FX846" s="3"/>
      <c r="FY846" s="3"/>
    </row>
    <row r="847" spans="7:181" ht="15" x14ac:dyDescent="0.25">
      <c r="G847" s="2"/>
      <c r="H847" s="2"/>
      <c r="I847" s="2"/>
      <c r="J847" s="2"/>
      <c r="K847" s="2"/>
      <c r="L847" s="3"/>
      <c r="M847" s="3"/>
      <c r="N847" s="3"/>
      <c r="O847" s="3"/>
      <c r="P847" s="3"/>
      <c r="Q847" s="3"/>
      <c r="R847" s="3"/>
      <c r="S847" s="3"/>
      <c r="T847" s="3"/>
      <c r="U847" s="4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4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4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4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  <c r="DN847" s="3"/>
      <c r="DO847" s="3"/>
      <c r="DP847" s="3"/>
      <c r="DQ847" s="3"/>
      <c r="DR847" s="3"/>
      <c r="DS847" s="3"/>
      <c r="DT847" s="3"/>
      <c r="DU847" s="3"/>
      <c r="DV847" s="3"/>
      <c r="DW847" s="3"/>
      <c r="DX847" s="3"/>
      <c r="DY847" s="3"/>
      <c r="DZ847" s="3"/>
      <c r="EA847" s="3"/>
      <c r="EB847" s="3"/>
      <c r="EC847" s="3"/>
      <c r="ED847" s="3"/>
      <c r="EE847" s="3"/>
      <c r="EF847" s="3"/>
      <c r="EG847" s="3"/>
      <c r="EH847" s="3"/>
      <c r="EI847" s="3"/>
      <c r="EJ847" s="3"/>
      <c r="EK847" s="3"/>
      <c r="EL847" s="3"/>
      <c r="EM847" s="3"/>
      <c r="EN847" s="3"/>
      <c r="EO847" s="3"/>
      <c r="EP847" s="3"/>
      <c r="EQ847" s="3"/>
      <c r="ER847" s="3"/>
      <c r="ES847" s="3"/>
      <c r="ET847" s="3"/>
      <c r="EU847" s="3"/>
      <c r="EV847" s="3"/>
      <c r="EW847" s="3"/>
      <c r="EX847" s="3"/>
      <c r="EY847" s="3"/>
      <c r="EZ847" s="3"/>
      <c r="FA847" s="3"/>
      <c r="FB847" s="3"/>
      <c r="FC847" s="3"/>
      <c r="FD847" s="3"/>
      <c r="FE847" s="3"/>
      <c r="FF847" s="3"/>
      <c r="FG847" s="3"/>
      <c r="FH847" s="3"/>
      <c r="FI847" s="3"/>
      <c r="FJ847" s="3"/>
      <c r="FK847" s="3"/>
      <c r="FL847" s="3"/>
      <c r="FM847" s="3"/>
      <c r="FN847" s="3"/>
      <c r="FO847" s="3"/>
      <c r="FP847" s="3"/>
      <c r="FQ847" s="3"/>
      <c r="FR847" s="3"/>
      <c r="FS847" s="3"/>
      <c r="FT847" s="3"/>
      <c r="FU847" s="3"/>
      <c r="FV847" s="3"/>
      <c r="FW847" s="3"/>
      <c r="FX847" s="3"/>
      <c r="FY847" s="3"/>
    </row>
    <row r="848" spans="7:181" ht="15" x14ac:dyDescent="0.25">
      <c r="G848" s="2"/>
      <c r="H848" s="2"/>
      <c r="I848" s="2"/>
      <c r="J848" s="2"/>
      <c r="K848" s="2"/>
      <c r="L848" s="3"/>
      <c r="M848" s="3"/>
      <c r="N848" s="3"/>
      <c r="O848" s="3"/>
      <c r="P848" s="3"/>
      <c r="Q848" s="3"/>
      <c r="R848" s="3"/>
      <c r="S848" s="3"/>
      <c r="T848" s="3"/>
      <c r="U848" s="4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4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4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4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  <c r="DS848" s="3"/>
      <c r="DT848" s="3"/>
      <c r="DU848" s="3"/>
      <c r="DV848" s="3"/>
      <c r="DW848" s="3"/>
      <c r="DX848" s="3"/>
      <c r="DY848" s="3"/>
      <c r="DZ848" s="3"/>
      <c r="EA848" s="3"/>
      <c r="EB848" s="3"/>
      <c r="EC848" s="3"/>
      <c r="ED848" s="3"/>
      <c r="EE848" s="3"/>
      <c r="EF848" s="3"/>
      <c r="EG848" s="3"/>
      <c r="EH848" s="3"/>
      <c r="EI848" s="3"/>
      <c r="EJ848" s="3"/>
      <c r="EK848" s="3"/>
      <c r="EL848" s="3"/>
      <c r="EM848" s="3"/>
      <c r="EN848" s="3"/>
      <c r="EO848" s="3"/>
      <c r="EP848" s="3"/>
      <c r="EQ848" s="3"/>
      <c r="ER848" s="3"/>
      <c r="ES848" s="3"/>
      <c r="ET848" s="3"/>
      <c r="EU848" s="3"/>
      <c r="EV848" s="3"/>
      <c r="EW848" s="3"/>
      <c r="EX848" s="3"/>
      <c r="EY848" s="3"/>
      <c r="EZ848" s="3"/>
      <c r="FA848" s="3"/>
      <c r="FB848" s="3"/>
      <c r="FC848" s="3"/>
      <c r="FD848" s="3"/>
      <c r="FE848" s="3"/>
      <c r="FF848" s="3"/>
      <c r="FG848" s="3"/>
      <c r="FH848" s="3"/>
      <c r="FI848" s="3"/>
      <c r="FJ848" s="3"/>
      <c r="FK848" s="3"/>
      <c r="FL848" s="3"/>
      <c r="FM848" s="3"/>
      <c r="FN848" s="3"/>
      <c r="FO848" s="3"/>
      <c r="FP848" s="3"/>
      <c r="FQ848" s="3"/>
      <c r="FR848" s="3"/>
      <c r="FS848" s="3"/>
      <c r="FT848" s="3"/>
      <c r="FU848" s="3"/>
      <c r="FV848" s="3"/>
      <c r="FW848" s="3"/>
      <c r="FX848" s="3"/>
      <c r="FY848" s="3"/>
    </row>
    <row r="849" spans="7:181" ht="15" x14ac:dyDescent="0.25">
      <c r="G849" s="2"/>
      <c r="H849" s="2"/>
      <c r="I849" s="2"/>
      <c r="J849" s="2"/>
      <c r="K849" s="2"/>
      <c r="L849" s="3"/>
      <c r="M849" s="3"/>
      <c r="N849" s="3"/>
      <c r="O849" s="3"/>
      <c r="P849" s="3"/>
      <c r="Q849" s="3"/>
      <c r="R849" s="3"/>
      <c r="S849" s="3"/>
      <c r="T849" s="3"/>
      <c r="U849" s="4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4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4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4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  <c r="DS849" s="3"/>
      <c r="DT849" s="3"/>
      <c r="DU849" s="3"/>
      <c r="DV849" s="3"/>
      <c r="DW849" s="3"/>
      <c r="DX849" s="3"/>
      <c r="DY849" s="3"/>
      <c r="DZ849" s="3"/>
      <c r="EA849" s="3"/>
      <c r="EB849" s="3"/>
      <c r="EC849" s="3"/>
      <c r="ED849" s="3"/>
      <c r="EE849" s="3"/>
      <c r="EF849" s="3"/>
      <c r="EG849" s="3"/>
      <c r="EH849" s="3"/>
      <c r="EI849" s="3"/>
      <c r="EJ849" s="3"/>
      <c r="EK849" s="3"/>
      <c r="EL849" s="3"/>
      <c r="EM849" s="3"/>
      <c r="EN849" s="3"/>
      <c r="EO849" s="3"/>
      <c r="EP849" s="3"/>
      <c r="EQ849" s="3"/>
      <c r="ER849" s="3"/>
      <c r="ES849" s="3"/>
      <c r="ET849" s="3"/>
      <c r="EU849" s="3"/>
      <c r="EV849" s="3"/>
      <c r="EW849" s="3"/>
      <c r="EX849" s="3"/>
      <c r="EY849" s="3"/>
      <c r="EZ849" s="3"/>
      <c r="FA849" s="3"/>
      <c r="FB849" s="3"/>
      <c r="FC849" s="3"/>
      <c r="FD849" s="3"/>
      <c r="FE849" s="3"/>
      <c r="FF849" s="3"/>
      <c r="FG849" s="3"/>
      <c r="FH849" s="3"/>
      <c r="FI849" s="3"/>
      <c r="FJ849" s="3"/>
      <c r="FK849" s="3"/>
      <c r="FL849" s="3"/>
      <c r="FM849" s="3"/>
      <c r="FN849" s="3"/>
      <c r="FO849" s="3"/>
      <c r="FP849" s="3"/>
      <c r="FQ849" s="3"/>
      <c r="FR849" s="3"/>
      <c r="FS849" s="3"/>
      <c r="FT849" s="3"/>
      <c r="FU849" s="3"/>
      <c r="FV849" s="3"/>
      <c r="FW849" s="3"/>
      <c r="FX849" s="3"/>
      <c r="FY849" s="3"/>
    </row>
    <row r="850" spans="7:181" ht="15" x14ac:dyDescent="0.25">
      <c r="G850" s="2"/>
      <c r="H850" s="2"/>
      <c r="I850" s="2"/>
      <c r="J850" s="2"/>
      <c r="K850" s="2"/>
      <c r="L850" s="3"/>
      <c r="M850" s="3"/>
      <c r="N850" s="3"/>
      <c r="O850" s="3"/>
      <c r="P850" s="3"/>
      <c r="Q850" s="3"/>
      <c r="R850" s="3"/>
      <c r="S850" s="3"/>
      <c r="T850" s="3"/>
      <c r="U850" s="4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4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4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4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  <c r="DS850" s="3"/>
      <c r="DT850" s="3"/>
      <c r="DU850" s="3"/>
      <c r="DV850" s="3"/>
      <c r="DW850" s="3"/>
      <c r="DX850" s="3"/>
      <c r="DY850" s="3"/>
      <c r="DZ850" s="3"/>
      <c r="EA850" s="3"/>
      <c r="EB850" s="3"/>
      <c r="EC850" s="3"/>
      <c r="ED850" s="3"/>
      <c r="EE850" s="3"/>
      <c r="EF850" s="3"/>
      <c r="EG850" s="3"/>
      <c r="EH850" s="3"/>
      <c r="EI850" s="3"/>
      <c r="EJ850" s="3"/>
      <c r="EK850" s="3"/>
      <c r="EL850" s="3"/>
      <c r="EM850" s="3"/>
      <c r="EN850" s="3"/>
      <c r="EO850" s="3"/>
      <c r="EP850" s="3"/>
      <c r="EQ850" s="3"/>
      <c r="ER850" s="3"/>
      <c r="ES850" s="3"/>
      <c r="ET850" s="3"/>
      <c r="EU850" s="3"/>
      <c r="EV850" s="3"/>
      <c r="EW850" s="3"/>
      <c r="EX850" s="3"/>
      <c r="EY850" s="3"/>
      <c r="EZ850" s="3"/>
      <c r="FA850" s="3"/>
      <c r="FB850" s="3"/>
      <c r="FC850" s="3"/>
      <c r="FD850" s="3"/>
      <c r="FE850" s="3"/>
      <c r="FF850" s="3"/>
      <c r="FG850" s="3"/>
      <c r="FH850" s="3"/>
      <c r="FI850" s="3"/>
      <c r="FJ850" s="3"/>
      <c r="FK850" s="3"/>
      <c r="FL850" s="3"/>
      <c r="FM850" s="3"/>
      <c r="FN850" s="3"/>
      <c r="FO850" s="3"/>
      <c r="FP850" s="3"/>
      <c r="FQ850" s="3"/>
      <c r="FR850" s="3"/>
      <c r="FS850" s="3"/>
      <c r="FT850" s="3"/>
      <c r="FU850" s="3"/>
      <c r="FV850" s="3"/>
      <c r="FW850" s="3"/>
      <c r="FX850" s="3"/>
      <c r="FY850" s="3"/>
    </row>
    <row r="851" spans="7:181" ht="15" x14ac:dyDescent="0.25">
      <c r="G851" s="2"/>
      <c r="H851" s="2"/>
      <c r="I851" s="2"/>
      <c r="J851" s="2"/>
      <c r="K851" s="2"/>
      <c r="L851" s="3"/>
      <c r="M851" s="3"/>
      <c r="N851" s="3"/>
      <c r="O851" s="3"/>
      <c r="P851" s="3"/>
      <c r="Q851" s="3"/>
      <c r="R851" s="3"/>
      <c r="S851" s="3"/>
      <c r="T851" s="3"/>
      <c r="U851" s="4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4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4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4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  <c r="DS851" s="3"/>
      <c r="DT851" s="3"/>
      <c r="DU851" s="3"/>
      <c r="DV851" s="3"/>
      <c r="DW851" s="3"/>
      <c r="DX851" s="3"/>
      <c r="DY851" s="3"/>
      <c r="DZ851" s="3"/>
      <c r="EA851" s="3"/>
      <c r="EB851" s="3"/>
      <c r="EC851" s="3"/>
      <c r="ED851" s="3"/>
      <c r="EE851" s="3"/>
      <c r="EF851" s="3"/>
      <c r="EG851" s="3"/>
      <c r="EH851" s="3"/>
      <c r="EI851" s="3"/>
      <c r="EJ851" s="3"/>
      <c r="EK851" s="3"/>
      <c r="EL851" s="3"/>
      <c r="EM851" s="3"/>
      <c r="EN851" s="3"/>
      <c r="EO851" s="3"/>
      <c r="EP851" s="3"/>
      <c r="EQ851" s="3"/>
      <c r="ER851" s="3"/>
      <c r="ES851" s="3"/>
      <c r="ET851" s="3"/>
      <c r="EU851" s="3"/>
      <c r="EV851" s="3"/>
      <c r="EW851" s="3"/>
      <c r="EX851" s="3"/>
      <c r="EY851" s="3"/>
      <c r="EZ851" s="3"/>
      <c r="FA851" s="3"/>
      <c r="FB851" s="3"/>
      <c r="FC851" s="3"/>
      <c r="FD851" s="3"/>
      <c r="FE851" s="3"/>
      <c r="FF851" s="3"/>
      <c r="FG851" s="3"/>
      <c r="FH851" s="3"/>
      <c r="FI851" s="3"/>
      <c r="FJ851" s="3"/>
      <c r="FK851" s="3"/>
      <c r="FL851" s="3"/>
      <c r="FM851" s="3"/>
      <c r="FN851" s="3"/>
      <c r="FO851" s="3"/>
      <c r="FP851" s="3"/>
      <c r="FQ851" s="3"/>
      <c r="FR851" s="3"/>
      <c r="FS851" s="3"/>
      <c r="FT851" s="3"/>
      <c r="FU851" s="3"/>
      <c r="FV851" s="3"/>
      <c r="FW851" s="3"/>
      <c r="FX851" s="3"/>
      <c r="FY851" s="3"/>
    </row>
    <row r="852" spans="7:181" ht="15" x14ac:dyDescent="0.25">
      <c r="G852" s="2"/>
      <c r="H852" s="2"/>
      <c r="I852" s="2"/>
      <c r="J852" s="2"/>
      <c r="K852" s="2"/>
      <c r="L852" s="3"/>
      <c r="M852" s="3"/>
      <c r="N852" s="3"/>
      <c r="O852" s="3"/>
      <c r="P852" s="3"/>
      <c r="Q852" s="3"/>
      <c r="R852" s="3"/>
      <c r="S852" s="3"/>
      <c r="T852" s="3"/>
      <c r="U852" s="4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4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4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4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  <c r="DS852" s="3"/>
      <c r="DT852" s="3"/>
      <c r="DU852" s="3"/>
      <c r="DV852" s="3"/>
      <c r="DW852" s="3"/>
      <c r="DX852" s="3"/>
      <c r="DY852" s="3"/>
      <c r="DZ852" s="3"/>
      <c r="EA852" s="3"/>
      <c r="EB852" s="3"/>
      <c r="EC852" s="3"/>
      <c r="ED852" s="3"/>
      <c r="EE852" s="3"/>
      <c r="EF852" s="3"/>
      <c r="EG852" s="3"/>
      <c r="EH852" s="3"/>
      <c r="EI852" s="3"/>
      <c r="EJ852" s="3"/>
      <c r="EK852" s="3"/>
      <c r="EL852" s="3"/>
      <c r="EM852" s="3"/>
      <c r="EN852" s="3"/>
      <c r="EO852" s="3"/>
      <c r="EP852" s="3"/>
      <c r="EQ852" s="3"/>
      <c r="ER852" s="3"/>
      <c r="ES852" s="3"/>
      <c r="ET852" s="3"/>
      <c r="EU852" s="3"/>
      <c r="EV852" s="3"/>
      <c r="EW852" s="3"/>
      <c r="EX852" s="3"/>
      <c r="EY852" s="3"/>
      <c r="EZ852" s="3"/>
      <c r="FA852" s="3"/>
      <c r="FB852" s="3"/>
      <c r="FC852" s="3"/>
      <c r="FD852" s="3"/>
      <c r="FE852" s="3"/>
      <c r="FF852" s="3"/>
      <c r="FG852" s="3"/>
      <c r="FH852" s="3"/>
      <c r="FI852" s="3"/>
      <c r="FJ852" s="3"/>
      <c r="FK852" s="3"/>
      <c r="FL852" s="3"/>
      <c r="FM852" s="3"/>
      <c r="FN852" s="3"/>
      <c r="FO852" s="3"/>
      <c r="FP852" s="3"/>
      <c r="FQ852" s="3"/>
      <c r="FR852" s="3"/>
      <c r="FS852" s="3"/>
      <c r="FT852" s="3"/>
      <c r="FU852" s="3"/>
      <c r="FV852" s="3"/>
      <c r="FW852" s="3"/>
      <c r="FX852" s="3"/>
      <c r="FY852" s="3"/>
    </row>
    <row r="853" spans="7:181" ht="15" x14ac:dyDescent="0.25">
      <c r="G853" s="2"/>
      <c r="H853" s="2"/>
      <c r="I853" s="2"/>
      <c r="J853" s="2"/>
      <c r="K853" s="2"/>
      <c r="L853" s="3"/>
      <c r="M853" s="3"/>
      <c r="N853" s="3"/>
      <c r="O853" s="3"/>
      <c r="P853" s="3"/>
      <c r="Q853" s="3"/>
      <c r="R853" s="3"/>
      <c r="S853" s="3"/>
      <c r="T853" s="3"/>
      <c r="U853" s="4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4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4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4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  <c r="DS853" s="3"/>
      <c r="DT853" s="3"/>
      <c r="DU853" s="3"/>
      <c r="DV853" s="3"/>
      <c r="DW853" s="3"/>
      <c r="DX853" s="3"/>
      <c r="DY853" s="3"/>
      <c r="DZ853" s="3"/>
      <c r="EA853" s="3"/>
      <c r="EB853" s="3"/>
      <c r="EC853" s="3"/>
      <c r="ED853" s="3"/>
      <c r="EE853" s="3"/>
      <c r="EF853" s="3"/>
      <c r="EG853" s="3"/>
      <c r="EH853" s="3"/>
      <c r="EI853" s="3"/>
      <c r="EJ853" s="3"/>
      <c r="EK853" s="3"/>
      <c r="EL853" s="3"/>
      <c r="EM853" s="3"/>
      <c r="EN853" s="3"/>
      <c r="EO853" s="3"/>
      <c r="EP853" s="3"/>
      <c r="EQ853" s="3"/>
      <c r="ER853" s="3"/>
      <c r="ES853" s="3"/>
      <c r="ET853" s="3"/>
      <c r="EU853" s="3"/>
      <c r="EV853" s="3"/>
      <c r="EW853" s="3"/>
      <c r="EX853" s="3"/>
      <c r="EY853" s="3"/>
      <c r="EZ853" s="3"/>
      <c r="FA853" s="3"/>
      <c r="FB853" s="3"/>
      <c r="FC853" s="3"/>
      <c r="FD853" s="3"/>
      <c r="FE853" s="3"/>
      <c r="FF853" s="3"/>
      <c r="FG853" s="3"/>
      <c r="FH853" s="3"/>
      <c r="FI853" s="3"/>
      <c r="FJ853" s="3"/>
      <c r="FK853" s="3"/>
      <c r="FL853" s="3"/>
      <c r="FM853" s="3"/>
      <c r="FN853" s="3"/>
      <c r="FO853" s="3"/>
      <c r="FP853" s="3"/>
      <c r="FQ853" s="3"/>
      <c r="FR853" s="3"/>
      <c r="FS853" s="3"/>
      <c r="FT853" s="3"/>
      <c r="FU853" s="3"/>
      <c r="FV853" s="3"/>
      <c r="FW853" s="3"/>
      <c r="FX853" s="3"/>
      <c r="FY853" s="3"/>
    </row>
    <row r="854" spans="7:181" ht="15" x14ac:dyDescent="0.25">
      <c r="G854" s="2"/>
      <c r="H854" s="2"/>
      <c r="I854" s="2"/>
      <c r="J854" s="2"/>
      <c r="K854" s="2"/>
      <c r="L854" s="3"/>
      <c r="M854" s="3"/>
      <c r="N854" s="3"/>
      <c r="O854" s="3"/>
      <c r="P854" s="3"/>
      <c r="Q854" s="3"/>
      <c r="R854" s="3"/>
      <c r="S854" s="3"/>
      <c r="T854" s="3"/>
      <c r="U854" s="4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4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4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4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  <c r="DS854" s="3"/>
      <c r="DT854" s="3"/>
      <c r="DU854" s="3"/>
      <c r="DV854" s="3"/>
      <c r="DW854" s="3"/>
      <c r="DX854" s="3"/>
      <c r="DY854" s="3"/>
      <c r="DZ854" s="3"/>
      <c r="EA854" s="3"/>
      <c r="EB854" s="3"/>
      <c r="EC854" s="3"/>
      <c r="ED854" s="3"/>
      <c r="EE854" s="3"/>
      <c r="EF854" s="3"/>
      <c r="EG854" s="3"/>
      <c r="EH854" s="3"/>
      <c r="EI854" s="3"/>
      <c r="EJ854" s="3"/>
      <c r="EK854" s="3"/>
      <c r="EL854" s="3"/>
      <c r="EM854" s="3"/>
      <c r="EN854" s="3"/>
      <c r="EO854" s="3"/>
      <c r="EP854" s="3"/>
      <c r="EQ854" s="3"/>
      <c r="ER854" s="3"/>
      <c r="ES854" s="3"/>
      <c r="ET854" s="3"/>
      <c r="EU854" s="3"/>
      <c r="EV854" s="3"/>
      <c r="EW854" s="3"/>
      <c r="EX854" s="3"/>
      <c r="EY854" s="3"/>
      <c r="EZ854" s="3"/>
      <c r="FA854" s="3"/>
      <c r="FB854" s="3"/>
      <c r="FC854" s="3"/>
      <c r="FD854" s="3"/>
      <c r="FE854" s="3"/>
      <c r="FF854" s="3"/>
      <c r="FG854" s="3"/>
      <c r="FH854" s="3"/>
      <c r="FI854" s="3"/>
      <c r="FJ854" s="3"/>
      <c r="FK854" s="3"/>
      <c r="FL854" s="3"/>
      <c r="FM854" s="3"/>
      <c r="FN854" s="3"/>
      <c r="FO854" s="3"/>
      <c r="FP854" s="3"/>
      <c r="FQ854" s="3"/>
      <c r="FR854" s="3"/>
      <c r="FS854" s="3"/>
      <c r="FT854" s="3"/>
      <c r="FU854" s="3"/>
      <c r="FV854" s="3"/>
      <c r="FW854" s="3"/>
      <c r="FX854" s="3"/>
      <c r="FY854" s="3"/>
    </row>
    <row r="855" spans="7:181" ht="15" x14ac:dyDescent="0.25">
      <c r="G855" s="2"/>
      <c r="H855" s="2"/>
      <c r="I855" s="2"/>
      <c r="J855" s="2"/>
      <c r="K855" s="2"/>
      <c r="L855" s="3"/>
      <c r="M855" s="3"/>
      <c r="N855" s="3"/>
      <c r="O855" s="3"/>
      <c r="P855" s="3"/>
      <c r="Q855" s="3"/>
      <c r="R855" s="3"/>
      <c r="S855" s="3"/>
      <c r="T855" s="3"/>
      <c r="U855" s="4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4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4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4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  <c r="DS855" s="3"/>
      <c r="DT855" s="3"/>
      <c r="DU855" s="3"/>
      <c r="DV855" s="3"/>
      <c r="DW855" s="3"/>
      <c r="DX855" s="3"/>
      <c r="DY855" s="3"/>
      <c r="DZ855" s="3"/>
      <c r="EA855" s="3"/>
      <c r="EB855" s="3"/>
      <c r="EC855" s="3"/>
      <c r="ED855" s="3"/>
      <c r="EE855" s="3"/>
      <c r="EF855" s="3"/>
      <c r="EG855" s="3"/>
      <c r="EH855" s="3"/>
      <c r="EI855" s="3"/>
      <c r="EJ855" s="3"/>
      <c r="EK855" s="3"/>
      <c r="EL855" s="3"/>
      <c r="EM855" s="3"/>
      <c r="EN855" s="3"/>
      <c r="EO855" s="3"/>
      <c r="EP855" s="3"/>
      <c r="EQ855" s="3"/>
      <c r="ER855" s="3"/>
      <c r="ES855" s="3"/>
      <c r="ET855" s="3"/>
      <c r="EU855" s="3"/>
      <c r="EV855" s="3"/>
      <c r="EW855" s="3"/>
      <c r="EX855" s="3"/>
      <c r="EY855" s="3"/>
      <c r="EZ855" s="3"/>
      <c r="FA855" s="3"/>
      <c r="FB855" s="3"/>
      <c r="FC855" s="3"/>
      <c r="FD855" s="3"/>
      <c r="FE855" s="3"/>
      <c r="FF855" s="3"/>
      <c r="FG855" s="3"/>
      <c r="FH855" s="3"/>
      <c r="FI855" s="3"/>
      <c r="FJ855" s="3"/>
      <c r="FK855" s="3"/>
      <c r="FL855" s="3"/>
      <c r="FM855" s="3"/>
      <c r="FN855" s="3"/>
      <c r="FO855" s="3"/>
      <c r="FP855" s="3"/>
      <c r="FQ855" s="3"/>
      <c r="FR855" s="3"/>
      <c r="FS855" s="3"/>
      <c r="FT855" s="3"/>
      <c r="FU855" s="3"/>
      <c r="FV855" s="3"/>
      <c r="FW855" s="3"/>
      <c r="FX855" s="3"/>
      <c r="FY855" s="3"/>
    </row>
    <row r="856" spans="7:181" ht="15" x14ac:dyDescent="0.25">
      <c r="G856" s="2"/>
      <c r="H856" s="2"/>
      <c r="I856" s="2"/>
      <c r="J856" s="2"/>
      <c r="K856" s="2"/>
      <c r="L856" s="3"/>
      <c r="M856" s="3"/>
      <c r="N856" s="3"/>
      <c r="O856" s="3"/>
      <c r="P856" s="3"/>
      <c r="Q856" s="3"/>
      <c r="R856" s="3"/>
      <c r="S856" s="3"/>
      <c r="T856" s="3"/>
      <c r="U856" s="4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4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4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4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  <c r="DS856" s="3"/>
      <c r="DT856" s="3"/>
      <c r="DU856" s="3"/>
      <c r="DV856" s="3"/>
      <c r="DW856" s="3"/>
      <c r="DX856" s="3"/>
      <c r="DY856" s="3"/>
      <c r="DZ856" s="3"/>
      <c r="EA856" s="3"/>
      <c r="EB856" s="3"/>
      <c r="EC856" s="3"/>
      <c r="ED856" s="3"/>
      <c r="EE856" s="3"/>
      <c r="EF856" s="3"/>
      <c r="EG856" s="3"/>
      <c r="EH856" s="3"/>
      <c r="EI856" s="3"/>
      <c r="EJ856" s="3"/>
      <c r="EK856" s="3"/>
      <c r="EL856" s="3"/>
      <c r="EM856" s="3"/>
      <c r="EN856" s="3"/>
      <c r="EO856" s="3"/>
      <c r="EP856" s="3"/>
      <c r="EQ856" s="3"/>
      <c r="ER856" s="3"/>
      <c r="ES856" s="3"/>
      <c r="ET856" s="3"/>
      <c r="EU856" s="3"/>
      <c r="EV856" s="3"/>
      <c r="EW856" s="3"/>
      <c r="EX856" s="3"/>
      <c r="EY856" s="3"/>
      <c r="EZ856" s="3"/>
      <c r="FA856" s="3"/>
      <c r="FB856" s="3"/>
      <c r="FC856" s="3"/>
      <c r="FD856" s="3"/>
      <c r="FE856" s="3"/>
      <c r="FF856" s="3"/>
      <c r="FG856" s="3"/>
      <c r="FH856" s="3"/>
      <c r="FI856" s="3"/>
      <c r="FJ856" s="3"/>
      <c r="FK856" s="3"/>
      <c r="FL856" s="3"/>
      <c r="FM856" s="3"/>
      <c r="FN856" s="3"/>
      <c r="FO856" s="3"/>
      <c r="FP856" s="3"/>
      <c r="FQ856" s="3"/>
      <c r="FR856" s="3"/>
      <c r="FS856" s="3"/>
      <c r="FT856" s="3"/>
      <c r="FU856" s="3"/>
      <c r="FV856" s="3"/>
      <c r="FW856" s="3"/>
      <c r="FX856" s="3"/>
      <c r="FY856" s="3"/>
    </row>
    <row r="857" spans="7:181" ht="15" x14ac:dyDescent="0.25">
      <c r="G857" s="2"/>
      <c r="H857" s="2"/>
      <c r="I857" s="2"/>
      <c r="J857" s="2"/>
      <c r="K857" s="2"/>
      <c r="L857" s="3"/>
      <c r="M857" s="3"/>
      <c r="N857" s="3"/>
      <c r="O857" s="3"/>
      <c r="P857" s="3"/>
      <c r="Q857" s="3"/>
      <c r="R857" s="3"/>
      <c r="S857" s="3"/>
      <c r="T857" s="3"/>
      <c r="U857" s="4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4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4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4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  <c r="DS857" s="3"/>
      <c r="DT857" s="3"/>
      <c r="DU857" s="3"/>
      <c r="DV857" s="3"/>
      <c r="DW857" s="3"/>
      <c r="DX857" s="3"/>
      <c r="DY857" s="3"/>
      <c r="DZ857" s="3"/>
      <c r="EA857" s="3"/>
      <c r="EB857" s="3"/>
      <c r="EC857" s="3"/>
      <c r="ED857" s="3"/>
      <c r="EE857" s="3"/>
      <c r="EF857" s="3"/>
      <c r="EG857" s="3"/>
      <c r="EH857" s="3"/>
      <c r="EI857" s="3"/>
      <c r="EJ857" s="3"/>
      <c r="EK857" s="3"/>
      <c r="EL857" s="3"/>
      <c r="EM857" s="3"/>
      <c r="EN857" s="3"/>
      <c r="EO857" s="3"/>
      <c r="EP857" s="3"/>
      <c r="EQ857" s="3"/>
      <c r="ER857" s="3"/>
      <c r="ES857" s="3"/>
      <c r="ET857" s="3"/>
      <c r="EU857" s="3"/>
      <c r="EV857" s="3"/>
      <c r="EW857" s="3"/>
      <c r="EX857" s="3"/>
      <c r="EY857" s="3"/>
      <c r="EZ857" s="3"/>
      <c r="FA857" s="3"/>
      <c r="FB857" s="3"/>
      <c r="FC857" s="3"/>
      <c r="FD857" s="3"/>
      <c r="FE857" s="3"/>
      <c r="FF857" s="3"/>
      <c r="FG857" s="3"/>
      <c r="FH857" s="3"/>
      <c r="FI857" s="3"/>
      <c r="FJ857" s="3"/>
      <c r="FK857" s="3"/>
      <c r="FL857" s="3"/>
      <c r="FM857" s="3"/>
      <c r="FN857" s="3"/>
      <c r="FO857" s="3"/>
      <c r="FP857" s="3"/>
      <c r="FQ857" s="3"/>
      <c r="FR857" s="3"/>
      <c r="FS857" s="3"/>
      <c r="FT857" s="3"/>
      <c r="FU857" s="3"/>
      <c r="FV857" s="3"/>
      <c r="FW857" s="3"/>
      <c r="FX857" s="3"/>
      <c r="FY857" s="3"/>
    </row>
    <row r="858" spans="7:181" ht="15" x14ac:dyDescent="0.25">
      <c r="G858" s="2"/>
      <c r="H858" s="2"/>
      <c r="I858" s="2"/>
      <c r="J858" s="2"/>
      <c r="K858" s="2"/>
      <c r="L858" s="3"/>
      <c r="M858" s="3"/>
      <c r="N858" s="3"/>
      <c r="O858" s="3"/>
      <c r="P858" s="3"/>
      <c r="Q858" s="3"/>
      <c r="R858" s="3"/>
      <c r="S858" s="3"/>
      <c r="T858" s="3"/>
      <c r="U858" s="4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4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4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4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  <c r="DS858" s="3"/>
      <c r="DT858" s="3"/>
      <c r="DU858" s="3"/>
      <c r="DV858" s="3"/>
      <c r="DW858" s="3"/>
      <c r="DX858" s="3"/>
      <c r="DY858" s="3"/>
      <c r="DZ858" s="3"/>
      <c r="EA858" s="3"/>
      <c r="EB858" s="3"/>
      <c r="EC858" s="3"/>
      <c r="ED858" s="3"/>
      <c r="EE858" s="3"/>
      <c r="EF858" s="3"/>
      <c r="EG858" s="3"/>
      <c r="EH858" s="3"/>
      <c r="EI858" s="3"/>
      <c r="EJ858" s="3"/>
      <c r="EK858" s="3"/>
      <c r="EL858" s="3"/>
      <c r="EM858" s="3"/>
      <c r="EN858" s="3"/>
      <c r="EO858" s="3"/>
      <c r="EP858" s="3"/>
      <c r="EQ858" s="3"/>
      <c r="ER858" s="3"/>
      <c r="ES858" s="3"/>
      <c r="ET858" s="3"/>
      <c r="EU858" s="3"/>
      <c r="EV858" s="3"/>
      <c r="EW858" s="3"/>
      <c r="EX858" s="3"/>
      <c r="EY858" s="3"/>
      <c r="EZ858" s="3"/>
      <c r="FA858" s="3"/>
      <c r="FB858" s="3"/>
      <c r="FC858" s="3"/>
      <c r="FD858" s="3"/>
      <c r="FE858" s="3"/>
      <c r="FF858" s="3"/>
      <c r="FG858" s="3"/>
      <c r="FH858" s="3"/>
      <c r="FI858" s="3"/>
      <c r="FJ858" s="3"/>
      <c r="FK858" s="3"/>
      <c r="FL858" s="3"/>
      <c r="FM858" s="3"/>
      <c r="FN858" s="3"/>
      <c r="FO858" s="3"/>
      <c r="FP858" s="3"/>
      <c r="FQ858" s="3"/>
      <c r="FR858" s="3"/>
      <c r="FS858" s="3"/>
      <c r="FT858" s="3"/>
      <c r="FU858" s="3"/>
      <c r="FV858" s="3"/>
      <c r="FW858" s="3"/>
      <c r="FX858" s="3"/>
      <c r="FY858" s="3"/>
    </row>
    <row r="859" spans="7:181" ht="15" x14ac:dyDescent="0.25">
      <c r="G859" s="2"/>
      <c r="H859" s="2"/>
      <c r="I859" s="2"/>
      <c r="J859" s="2"/>
      <c r="K859" s="2"/>
      <c r="L859" s="3"/>
      <c r="M859" s="3"/>
      <c r="N859" s="3"/>
      <c r="O859" s="3"/>
      <c r="P859" s="3"/>
      <c r="Q859" s="3"/>
      <c r="R859" s="3"/>
      <c r="S859" s="3"/>
      <c r="T859" s="3"/>
      <c r="U859" s="4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4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4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4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  <c r="BT859" s="3"/>
      <c r="BU859" s="3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  <c r="DS859" s="3"/>
      <c r="DT859" s="3"/>
      <c r="DU859" s="3"/>
      <c r="DV859" s="3"/>
      <c r="DW859" s="3"/>
      <c r="DX859" s="3"/>
      <c r="DY859" s="3"/>
      <c r="DZ859" s="3"/>
      <c r="EA859" s="3"/>
      <c r="EB859" s="3"/>
      <c r="EC859" s="3"/>
      <c r="ED859" s="3"/>
      <c r="EE859" s="3"/>
      <c r="EF859" s="3"/>
      <c r="EG859" s="3"/>
      <c r="EH859" s="3"/>
      <c r="EI859" s="3"/>
      <c r="EJ859" s="3"/>
      <c r="EK859" s="3"/>
      <c r="EL859" s="3"/>
      <c r="EM859" s="3"/>
      <c r="EN859" s="3"/>
      <c r="EO859" s="3"/>
      <c r="EP859" s="3"/>
      <c r="EQ859" s="3"/>
      <c r="ER859" s="3"/>
      <c r="ES859" s="3"/>
      <c r="ET859" s="3"/>
      <c r="EU859" s="3"/>
      <c r="EV859" s="3"/>
      <c r="EW859" s="3"/>
      <c r="EX859" s="3"/>
      <c r="EY859" s="3"/>
      <c r="EZ859" s="3"/>
      <c r="FA859" s="3"/>
      <c r="FB859" s="3"/>
      <c r="FC859" s="3"/>
      <c r="FD859" s="3"/>
      <c r="FE859" s="3"/>
      <c r="FF859" s="3"/>
      <c r="FG859" s="3"/>
      <c r="FH859" s="3"/>
      <c r="FI859" s="3"/>
      <c r="FJ859" s="3"/>
      <c r="FK859" s="3"/>
      <c r="FL859" s="3"/>
      <c r="FM859" s="3"/>
      <c r="FN859" s="3"/>
      <c r="FO859" s="3"/>
      <c r="FP859" s="3"/>
      <c r="FQ859" s="3"/>
      <c r="FR859" s="3"/>
      <c r="FS859" s="3"/>
      <c r="FT859" s="3"/>
      <c r="FU859" s="3"/>
      <c r="FV859" s="3"/>
      <c r="FW859" s="3"/>
      <c r="FX859" s="3"/>
      <c r="FY859" s="3"/>
    </row>
    <row r="860" spans="7:181" ht="15" x14ac:dyDescent="0.25">
      <c r="G860" s="2"/>
      <c r="H860" s="2"/>
      <c r="I860" s="2"/>
      <c r="J860" s="2"/>
      <c r="K860" s="2"/>
      <c r="L860" s="3"/>
      <c r="M860" s="3"/>
      <c r="N860" s="3"/>
      <c r="O860" s="3"/>
      <c r="P860" s="3"/>
      <c r="Q860" s="3"/>
      <c r="R860" s="3"/>
      <c r="S860" s="3"/>
      <c r="T860" s="3"/>
      <c r="U860" s="4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4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4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4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  <c r="DN860" s="3"/>
      <c r="DO860" s="3"/>
      <c r="DP860" s="3"/>
      <c r="DQ860" s="3"/>
      <c r="DR860" s="3"/>
      <c r="DS860" s="3"/>
      <c r="DT860" s="3"/>
      <c r="DU860" s="3"/>
      <c r="DV860" s="3"/>
      <c r="DW860" s="3"/>
      <c r="DX860" s="3"/>
      <c r="DY860" s="3"/>
      <c r="DZ860" s="3"/>
      <c r="EA860" s="3"/>
      <c r="EB860" s="3"/>
      <c r="EC860" s="3"/>
      <c r="ED860" s="3"/>
      <c r="EE860" s="3"/>
      <c r="EF860" s="3"/>
      <c r="EG860" s="3"/>
      <c r="EH860" s="3"/>
      <c r="EI860" s="3"/>
      <c r="EJ860" s="3"/>
      <c r="EK860" s="3"/>
      <c r="EL860" s="3"/>
      <c r="EM860" s="3"/>
      <c r="EN860" s="3"/>
      <c r="EO860" s="3"/>
      <c r="EP860" s="3"/>
      <c r="EQ860" s="3"/>
      <c r="ER860" s="3"/>
      <c r="ES860" s="3"/>
      <c r="ET860" s="3"/>
      <c r="EU860" s="3"/>
      <c r="EV860" s="3"/>
      <c r="EW860" s="3"/>
      <c r="EX860" s="3"/>
      <c r="EY860" s="3"/>
      <c r="EZ860" s="3"/>
      <c r="FA860" s="3"/>
      <c r="FB860" s="3"/>
      <c r="FC860" s="3"/>
      <c r="FD860" s="3"/>
      <c r="FE860" s="3"/>
      <c r="FF860" s="3"/>
      <c r="FG860" s="3"/>
      <c r="FH860" s="3"/>
      <c r="FI860" s="3"/>
      <c r="FJ860" s="3"/>
      <c r="FK860" s="3"/>
      <c r="FL860" s="3"/>
      <c r="FM860" s="3"/>
      <c r="FN860" s="3"/>
      <c r="FO860" s="3"/>
      <c r="FP860" s="3"/>
      <c r="FQ860" s="3"/>
      <c r="FR860" s="3"/>
      <c r="FS860" s="3"/>
      <c r="FT860" s="3"/>
      <c r="FU860" s="3"/>
      <c r="FV860" s="3"/>
      <c r="FW860" s="3"/>
      <c r="FX860" s="3"/>
      <c r="FY860" s="3"/>
    </row>
    <row r="861" spans="7:181" ht="15" x14ac:dyDescent="0.25">
      <c r="G861" s="2"/>
      <c r="H861" s="2"/>
      <c r="I861" s="2"/>
      <c r="J861" s="2"/>
      <c r="K861" s="2"/>
      <c r="L861" s="3"/>
      <c r="M861" s="3"/>
      <c r="N861" s="3"/>
      <c r="O861" s="3"/>
      <c r="P861" s="3"/>
      <c r="Q861" s="3"/>
      <c r="R861" s="3"/>
      <c r="S861" s="3"/>
      <c r="T861" s="3"/>
      <c r="U861" s="4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4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4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4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  <c r="DN861" s="3"/>
      <c r="DO861" s="3"/>
      <c r="DP861" s="3"/>
      <c r="DQ861" s="3"/>
      <c r="DR861" s="3"/>
      <c r="DS861" s="3"/>
      <c r="DT861" s="3"/>
      <c r="DU861" s="3"/>
      <c r="DV861" s="3"/>
      <c r="DW861" s="3"/>
      <c r="DX861" s="3"/>
      <c r="DY861" s="3"/>
      <c r="DZ861" s="3"/>
      <c r="EA861" s="3"/>
      <c r="EB861" s="3"/>
      <c r="EC861" s="3"/>
      <c r="ED861" s="3"/>
      <c r="EE861" s="3"/>
      <c r="EF861" s="3"/>
      <c r="EG861" s="3"/>
      <c r="EH861" s="3"/>
      <c r="EI861" s="3"/>
      <c r="EJ861" s="3"/>
      <c r="EK861" s="3"/>
      <c r="EL861" s="3"/>
      <c r="EM861" s="3"/>
      <c r="EN861" s="3"/>
      <c r="EO861" s="3"/>
      <c r="EP861" s="3"/>
      <c r="EQ861" s="3"/>
      <c r="ER861" s="3"/>
      <c r="ES861" s="3"/>
      <c r="ET861" s="3"/>
      <c r="EU861" s="3"/>
      <c r="EV861" s="3"/>
      <c r="EW861" s="3"/>
      <c r="EX861" s="3"/>
      <c r="EY861" s="3"/>
      <c r="EZ861" s="3"/>
      <c r="FA861" s="3"/>
      <c r="FB861" s="3"/>
      <c r="FC861" s="3"/>
      <c r="FD861" s="3"/>
      <c r="FE861" s="3"/>
      <c r="FF861" s="3"/>
      <c r="FG861" s="3"/>
      <c r="FH861" s="3"/>
      <c r="FI861" s="3"/>
      <c r="FJ861" s="3"/>
      <c r="FK861" s="3"/>
      <c r="FL861" s="3"/>
      <c r="FM861" s="3"/>
      <c r="FN861" s="3"/>
      <c r="FO861" s="3"/>
      <c r="FP861" s="3"/>
      <c r="FQ861" s="3"/>
      <c r="FR861" s="3"/>
      <c r="FS861" s="3"/>
      <c r="FT861" s="3"/>
      <c r="FU861" s="3"/>
      <c r="FV861" s="3"/>
      <c r="FW861" s="3"/>
      <c r="FX861" s="3"/>
      <c r="FY861" s="3"/>
    </row>
    <row r="862" spans="7:181" ht="15" x14ac:dyDescent="0.25">
      <c r="G862" s="2"/>
      <c r="H862" s="2"/>
      <c r="I862" s="2"/>
      <c r="J862" s="2"/>
      <c r="K862" s="2"/>
      <c r="L862" s="3"/>
      <c r="M862" s="3"/>
      <c r="N862" s="3"/>
      <c r="O862" s="3"/>
      <c r="P862" s="3"/>
      <c r="Q862" s="3"/>
      <c r="R862" s="3"/>
      <c r="S862" s="3"/>
      <c r="T862" s="3"/>
      <c r="U862" s="4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4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4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4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  <c r="DN862" s="3"/>
      <c r="DO862" s="3"/>
      <c r="DP862" s="3"/>
      <c r="DQ862" s="3"/>
      <c r="DR862" s="3"/>
      <c r="DS862" s="3"/>
      <c r="DT862" s="3"/>
      <c r="DU862" s="3"/>
      <c r="DV862" s="3"/>
      <c r="DW862" s="3"/>
      <c r="DX862" s="3"/>
      <c r="DY862" s="3"/>
      <c r="DZ862" s="3"/>
      <c r="EA862" s="3"/>
      <c r="EB862" s="3"/>
      <c r="EC862" s="3"/>
      <c r="ED862" s="3"/>
      <c r="EE862" s="3"/>
      <c r="EF862" s="3"/>
      <c r="EG862" s="3"/>
      <c r="EH862" s="3"/>
      <c r="EI862" s="3"/>
      <c r="EJ862" s="3"/>
      <c r="EK862" s="3"/>
      <c r="EL862" s="3"/>
      <c r="EM862" s="3"/>
      <c r="EN862" s="3"/>
      <c r="EO862" s="3"/>
      <c r="EP862" s="3"/>
      <c r="EQ862" s="3"/>
      <c r="ER862" s="3"/>
      <c r="ES862" s="3"/>
      <c r="ET862" s="3"/>
      <c r="EU862" s="3"/>
      <c r="EV862" s="3"/>
      <c r="EW862" s="3"/>
      <c r="EX862" s="3"/>
      <c r="EY862" s="3"/>
      <c r="EZ862" s="3"/>
      <c r="FA862" s="3"/>
      <c r="FB862" s="3"/>
      <c r="FC862" s="3"/>
      <c r="FD862" s="3"/>
      <c r="FE862" s="3"/>
      <c r="FF862" s="3"/>
      <c r="FG862" s="3"/>
      <c r="FH862" s="3"/>
      <c r="FI862" s="3"/>
      <c r="FJ862" s="3"/>
      <c r="FK862" s="3"/>
      <c r="FL862" s="3"/>
      <c r="FM862" s="3"/>
      <c r="FN862" s="3"/>
      <c r="FO862" s="3"/>
      <c r="FP862" s="3"/>
      <c r="FQ862" s="3"/>
      <c r="FR862" s="3"/>
      <c r="FS862" s="3"/>
      <c r="FT862" s="3"/>
      <c r="FU862" s="3"/>
      <c r="FV862" s="3"/>
      <c r="FW862" s="3"/>
      <c r="FX862" s="3"/>
      <c r="FY862" s="3"/>
    </row>
    <row r="863" spans="7:181" ht="15" x14ac:dyDescent="0.25">
      <c r="G863" s="2"/>
      <c r="H863" s="2"/>
      <c r="I863" s="2"/>
      <c r="J863" s="2"/>
      <c r="K863" s="2"/>
      <c r="L863" s="3"/>
      <c r="M863" s="3"/>
      <c r="N863" s="3"/>
      <c r="O863" s="3"/>
      <c r="P863" s="3"/>
      <c r="Q863" s="3"/>
      <c r="R863" s="3"/>
      <c r="S863" s="3"/>
      <c r="T863" s="3"/>
      <c r="U863" s="4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4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4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4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  <c r="DN863" s="3"/>
      <c r="DO863" s="3"/>
      <c r="DP863" s="3"/>
      <c r="DQ863" s="3"/>
      <c r="DR863" s="3"/>
      <c r="DS863" s="3"/>
      <c r="DT863" s="3"/>
      <c r="DU863" s="3"/>
      <c r="DV863" s="3"/>
      <c r="DW863" s="3"/>
      <c r="DX863" s="3"/>
      <c r="DY863" s="3"/>
      <c r="DZ863" s="3"/>
      <c r="EA863" s="3"/>
      <c r="EB863" s="3"/>
      <c r="EC863" s="3"/>
      <c r="ED863" s="3"/>
      <c r="EE863" s="3"/>
      <c r="EF863" s="3"/>
      <c r="EG863" s="3"/>
      <c r="EH863" s="3"/>
      <c r="EI863" s="3"/>
      <c r="EJ863" s="3"/>
      <c r="EK863" s="3"/>
      <c r="EL863" s="3"/>
      <c r="EM863" s="3"/>
      <c r="EN863" s="3"/>
      <c r="EO863" s="3"/>
      <c r="EP863" s="3"/>
      <c r="EQ863" s="3"/>
      <c r="ER863" s="3"/>
      <c r="ES863" s="3"/>
      <c r="ET863" s="3"/>
      <c r="EU863" s="3"/>
      <c r="EV863" s="3"/>
      <c r="EW863" s="3"/>
      <c r="EX863" s="3"/>
      <c r="EY863" s="3"/>
      <c r="EZ863" s="3"/>
      <c r="FA863" s="3"/>
      <c r="FB863" s="3"/>
      <c r="FC863" s="3"/>
      <c r="FD863" s="3"/>
      <c r="FE863" s="3"/>
      <c r="FF863" s="3"/>
      <c r="FG863" s="3"/>
      <c r="FH863" s="3"/>
      <c r="FI863" s="3"/>
      <c r="FJ863" s="3"/>
      <c r="FK863" s="3"/>
      <c r="FL863" s="3"/>
      <c r="FM863" s="3"/>
      <c r="FN863" s="3"/>
      <c r="FO863" s="3"/>
      <c r="FP863" s="3"/>
      <c r="FQ863" s="3"/>
      <c r="FR863" s="3"/>
      <c r="FS863" s="3"/>
      <c r="FT863" s="3"/>
      <c r="FU863" s="3"/>
      <c r="FV863" s="3"/>
      <c r="FW863" s="3"/>
      <c r="FX863" s="3"/>
      <c r="FY863" s="3"/>
    </row>
    <row r="864" spans="7:181" ht="15" x14ac:dyDescent="0.25">
      <c r="G864" s="2"/>
      <c r="H864" s="2"/>
      <c r="I864" s="2"/>
      <c r="J864" s="2"/>
      <c r="K864" s="2"/>
      <c r="L864" s="3"/>
      <c r="M864" s="3"/>
      <c r="N864" s="3"/>
      <c r="O864" s="3"/>
      <c r="P864" s="3"/>
      <c r="Q864" s="3"/>
      <c r="R864" s="3"/>
      <c r="S864" s="3"/>
      <c r="T864" s="3"/>
      <c r="U864" s="4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4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4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4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  <c r="DN864" s="3"/>
      <c r="DO864" s="3"/>
      <c r="DP864" s="3"/>
      <c r="DQ864" s="3"/>
      <c r="DR864" s="3"/>
      <c r="DS864" s="3"/>
      <c r="DT864" s="3"/>
      <c r="DU864" s="3"/>
      <c r="DV864" s="3"/>
      <c r="DW864" s="3"/>
      <c r="DX864" s="3"/>
      <c r="DY864" s="3"/>
      <c r="DZ864" s="3"/>
      <c r="EA864" s="3"/>
      <c r="EB864" s="3"/>
      <c r="EC864" s="3"/>
      <c r="ED864" s="3"/>
      <c r="EE864" s="3"/>
      <c r="EF864" s="3"/>
      <c r="EG864" s="3"/>
      <c r="EH864" s="3"/>
      <c r="EI864" s="3"/>
      <c r="EJ864" s="3"/>
      <c r="EK864" s="3"/>
      <c r="EL864" s="3"/>
      <c r="EM864" s="3"/>
      <c r="EN864" s="3"/>
      <c r="EO864" s="3"/>
      <c r="EP864" s="3"/>
      <c r="EQ864" s="3"/>
      <c r="ER864" s="3"/>
      <c r="ES864" s="3"/>
      <c r="ET864" s="3"/>
      <c r="EU864" s="3"/>
      <c r="EV864" s="3"/>
      <c r="EW864" s="3"/>
      <c r="EX864" s="3"/>
      <c r="EY864" s="3"/>
      <c r="EZ864" s="3"/>
      <c r="FA864" s="3"/>
      <c r="FB864" s="3"/>
      <c r="FC864" s="3"/>
      <c r="FD864" s="3"/>
      <c r="FE864" s="3"/>
      <c r="FF864" s="3"/>
      <c r="FG864" s="3"/>
      <c r="FH864" s="3"/>
      <c r="FI864" s="3"/>
      <c r="FJ864" s="3"/>
      <c r="FK864" s="3"/>
      <c r="FL864" s="3"/>
      <c r="FM864" s="3"/>
      <c r="FN864" s="3"/>
      <c r="FO864" s="3"/>
      <c r="FP864" s="3"/>
      <c r="FQ864" s="3"/>
      <c r="FR864" s="3"/>
      <c r="FS864" s="3"/>
      <c r="FT864" s="3"/>
      <c r="FU864" s="3"/>
      <c r="FV864" s="3"/>
      <c r="FW864" s="3"/>
      <c r="FX864" s="3"/>
      <c r="FY864" s="3"/>
    </row>
    <row r="865" spans="7:181" ht="15" x14ac:dyDescent="0.25">
      <c r="G865" s="2"/>
      <c r="H865" s="2"/>
      <c r="I865" s="2"/>
      <c r="J865" s="2"/>
      <c r="K865" s="2"/>
      <c r="L865" s="3"/>
      <c r="M865" s="3"/>
      <c r="N865" s="3"/>
      <c r="O865" s="3"/>
      <c r="P865" s="3"/>
      <c r="Q865" s="3"/>
      <c r="R865" s="3"/>
      <c r="S865" s="3"/>
      <c r="T865" s="3"/>
      <c r="U865" s="4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4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4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4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  <c r="DN865" s="3"/>
      <c r="DO865" s="3"/>
      <c r="DP865" s="3"/>
      <c r="DQ865" s="3"/>
      <c r="DR865" s="3"/>
      <c r="DS865" s="3"/>
      <c r="DT865" s="3"/>
      <c r="DU865" s="3"/>
      <c r="DV865" s="3"/>
      <c r="DW865" s="3"/>
      <c r="DX865" s="3"/>
      <c r="DY865" s="3"/>
      <c r="DZ865" s="3"/>
      <c r="EA865" s="3"/>
      <c r="EB865" s="3"/>
      <c r="EC865" s="3"/>
      <c r="ED865" s="3"/>
      <c r="EE865" s="3"/>
      <c r="EF865" s="3"/>
      <c r="EG865" s="3"/>
      <c r="EH865" s="3"/>
      <c r="EI865" s="3"/>
      <c r="EJ865" s="3"/>
      <c r="EK865" s="3"/>
      <c r="EL865" s="3"/>
      <c r="EM865" s="3"/>
      <c r="EN865" s="3"/>
      <c r="EO865" s="3"/>
      <c r="EP865" s="3"/>
      <c r="EQ865" s="3"/>
      <c r="ER865" s="3"/>
      <c r="ES865" s="3"/>
      <c r="ET865" s="3"/>
      <c r="EU865" s="3"/>
      <c r="EV865" s="3"/>
      <c r="EW865" s="3"/>
      <c r="EX865" s="3"/>
      <c r="EY865" s="3"/>
      <c r="EZ865" s="3"/>
      <c r="FA865" s="3"/>
      <c r="FB865" s="3"/>
      <c r="FC865" s="3"/>
      <c r="FD865" s="3"/>
      <c r="FE865" s="3"/>
      <c r="FF865" s="3"/>
      <c r="FG865" s="3"/>
      <c r="FH865" s="3"/>
      <c r="FI865" s="3"/>
      <c r="FJ865" s="3"/>
      <c r="FK865" s="3"/>
      <c r="FL865" s="3"/>
      <c r="FM865" s="3"/>
      <c r="FN865" s="3"/>
      <c r="FO865" s="3"/>
      <c r="FP865" s="3"/>
      <c r="FQ865" s="3"/>
      <c r="FR865" s="3"/>
      <c r="FS865" s="3"/>
      <c r="FT865" s="3"/>
      <c r="FU865" s="3"/>
      <c r="FV865" s="3"/>
      <c r="FW865" s="3"/>
      <c r="FX865" s="3"/>
      <c r="FY865" s="3"/>
    </row>
    <row r="866" spans="7:181" ht="15" x14ac:dyDescent="0.25">
      <c r="G866" s="2"/>
      <c r="H866" s="2"/>
      <c r="I866" s="2"/>
      <c r="J866" s="2"/>
      <c r="K866" s="2"/>
      <c r="L866" s="3"/>
      <c r="M866" s="3"/>
      <c r="N866" s="3"/>
      <c r="O866" s="3"/>
      <c r="P866" s="3"/>
      <c r="Q866" s="3"/>
      <c r="R866" s="3"/>
      <c r="S866" s="3"/>
      <c r="T866" s="3"/>
      <c r="U866" s="4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4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4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4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  <c r="DN866" s="3"/>
      <c r="DO866" s="3"/>
      <c r="DP866" s="3"/>
      <c r="DQ866" s="3"/>
      <c r="DR866" s="3"/>
      <c r="DS866" s="3"/>
      <c r="DT866" s="3"/>
      <c r="DU866" s="3"/>
      <c r="DV866" s="3"/>
      <c r="DW866" s="3"/>
      <c r="DX866" s="3"/>
      <c r="DY866" s="3"/>
      <c r="DZ866" s="3"/>
      <c r="EA866" s="3"/>
      <c r="EB866" s="3"/>
      <c r="EC866" s="3"/>
      <c r="ED866" s="3"/>
      <c r="EE866" s="3"/>
      <c r="EF866" s="3"/>
      <c r="EG866" s="3"/>
      <c r="EH866" s="3"/>
      <c r="EI866" s="3"/>
      <c r="EJ866" s="3"/>
      <c r="EK866" s="3"/>
      <c r="EL866" s="3"/>
      <c r="EM866" s="3"/>
      <c r="EN866" s="3"/>
      <c r="EO866" s="3"/>
      <c r="EP866" s="3"/>
      <c r="EQ866" s="3"/>
      <c r="ER866" s="3"/>
      <c r="ES866" s="3"/>
      <c r="ET866" s="3"/>
      <c r="EU866" s="3"/>
      <c r="EV866" s="3"/>
      <c r="EW866" s="3"/>
      <c r="EX866" s="3"/>
      <c r="EY866" s="3"/>
      <c r="EZ866" s="3"/>
      <c r="FA866" s="3"/>
      <c r="FB866" s="3"/>
      <c r="FC866" s="3"/>
      <c r="FD866" s="3"/>
      <c r="FE866" s="3"/>
      <c r="FF866" s="3"/>
      <c r="FG866" s="3"/>
      <c r="FH866" s="3"/>
      <c r="FI866" s="3"/>
      <c r="FJ866" s="3"/>
      <c r="FK866" s="3"/>
      <c r="FL866" s="3"/>
      <c r="FM866" s="3"/>
      <c r="FN866" s="3"/>
      <c r="FO866" s="3"/>
      <c r="FP866" s="3"/>
      <c r="FQ866" s="3"/>
      <c r="FR866" s="3"/>
      <c r="FS866" s="3"/>
      <c r="FT866" s="3"/>
      <c r="FU866" s="3"/>
      <c r="FV866" s="3"/>
      <c r="FW866" s="3"/>
      <c r="FX866" s="3"/>
      <c r="FY866" s="3"/>
    </row>
    <row r="867" spans="7:181" ht="15" x14ac:dyDescent="0.25">
      <c r="G867" s="2"/>
      <c r="H867" s="2"/>
      <c r="I867" s="2"/>
      <c r="J867" s="2"/>
      <c r="K867" s="2"/>
      <c r="L867" s="3"/>
      <c r="M867" s="3"/>
      <c r="N867" s="3"/>
      <c r="O867" s="3"/>
      <c r="P867" s="3"/>
      <c r="Q867" s="3"/>
      <c r="R867" s="3"/>
      <c r="S867" s="3"/>
      <c r="T867" s="3"/>
      <c r="U867" s="4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4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4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4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  <c r="DN867" s="3"/>
      <c r="DO867" s="3"/>
      <c r="DP867" s="3"/>
      <c r="DQ867" s="3"/>
      <c r="DR867" s="3"/>
      <c r="DS867" s="3"/>
      <c r="DT867" s="3"/>
      <c r="DU867" s="3"/>
      <c r="DV867" s="3"/>
      <c r="DW867" s="3"/>
      <c r="DX867" s="3"/>
      <c r="DY867" s="3"/>
      <c r="DZ867" s="3"/>
      <c r="EA867" s="3"/>
      <c r="EB867" s="3"/>
      <c r="EC867" s="3"/>
      <c r="ED867" s="3"/>
      <c r="EE867" s="3"/>
      <c r="EF867" s="3"/>
      <c r="EG867" s="3"/>
      <c r="EH867" s="3"/>
      <c r="EI867" s="3"/>
      <c r="EJ867" s="3"/>
      <c r="EK867" s="3"/>
      <c r="EL867" s="3"/>
      <c r="EM867" s="3"/>
      <c r="EN867" s="3"/>
      <c r="EO867" s="3"/>
      <c r="EP867" s="3"/>
      <c r="EQ867" s="3"/>
      <c r="ER867" s="3"/>
      <c r="ES867" s="3"/>
      <c r="ET867" s="3"/>
      <c r="EU867" s="3"/>
      <c r="EV867" s="3"/>
      <c r="EW867" s="3"/>
      <c r="EX867" s="3"/>
      <c r="EY867" s="3"/>
      <c r="EZ867" s="3"/>
      <c r="FA867" s="3"/>
      <c r="FB867" s="3"/>
      <c r="FC867" s="3"/>
      <c r="FD867" s="3"/>
      <c r="FE867" s="3"/>
      <c r="FF867" s="3"/>
      <c r="FG867" s="3"/>
      <c r="FH867" s="3"/>
      <c r="FI867" s="3"/>
      <c r="FJ867" s="3"/>
      <c r="FK867" s="3"/>
      <c r="FL867" s="3"/>
      <c r="FM867" s="3"/>
      <c r="FN867" s="3"/>
      <c r="FO867" s="3"/>
      <c r="FP867" s="3"/>
      <c r="FQ867" s="3"/>
      <c r="FR867" s="3"/>
      <c r="FS867" s="3"/>
      <c r="FT867" s="3"/>
      <c r="FU867" s="3"/>
      <c r="FV867" s="3"/>
      <c r="FW867" s="3"/>
      <c r="FX867" s="3"/>
      <c r="FY867" s="3"/>
    </row>
    <row r="868" spans="7:181" ht="15" x14ac:dyDescent="0.25">
      <c r="G868" s="2"/>
      <c r="H868" s="2"/>
      <c r="I868" s="2"/>
      <c r="J868" s="2"/>
      <c r="K868" s="2"/>
      <c r="L868" s="3"/>
      <c r="M868" s="3"/>
      <c r="N868" s="3"/>
      <c r="O868" s="3"/>
      <c r="P868" s="3"/>
      <c r="Q868" s="3"/>
      <c r="R868" s="3"/>
      <c r="S868" s="3"/>
      <c r="T868" s="3"/>
      <c r="U868" s="4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4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4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4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  <c r="DN868" s="3"/>
      <c r="DO868" s="3"/>
      <c r="DP868" s="3"/>
      <c r="DQ868" s="3"/>
      <c r="DR868" s="3"/>
      <c r="DS868" s="3"/>
      <c r="DT868" s="3"/>
      <c r="DU868" s="3"/>
      <c r="DV868" s="3"/>
      <c r="DW868" s="3"/>
      <c r="DX868" s="3"/>
      <c r="DY868" s="3"/>
      <c r="DZ868" s="3"/>
      <c r="EA868" s="3"/>
      <c r="EB868" s="3"/>
      <c r="EC868" s="3"/>
      <c r="ED868" s="3"/>
      <c r="EE868" s="3"/>
      <c r="EF868" s="3"/>
      <c r="EG868" s="3"/>
      <c r="EH868" s="3"/>
      <c r="EI868" s="3"/>
      <c r="EJ868" s="3"/>
      <c r="EK868" s="3"/>
      <c r="EL868" s="3"/>
      <c r="EM868" s="3"/>
      <c r="EN868" s="3"/>
      <c r="EO868" s="3"/>
      <c r="EP868" s="3"/>
      <c r="EQ868" s="3"/>
      <c r="ER868" s="3"/>
      <c r="ES868" s="3"/>
      <c r="ET868" s="3"/>
      <c r="EU868" s="3"/>
      <c r="EV868" s="3"/>
      <c r="EW868" s="3"/>
      <c r="EX868" s="3"/>
      <c r="EY868" s="3"/>
      <c r="EZ868" s="3"/>
      <c r="FA868" s="3"/>
      <c r="FB868" s="3"/>
      <c r="FC868" s="3"/>
      <c r="FD868" s="3"/>
      <c r="FE868" s="3"/>
      <c r="FF868" s="3"/>
      <c r="FG868" s="3"/>
      <c r="FH868" s="3"/>
      <c r="FI868" s="3"/>
      <c r="FJ868" s="3"/>
      <c r="FK868" s="3"/>
      <c r="FL868" s="3"/>
      <c r="FM868" s="3"/>
      <c r="FN868" s="3"/>
      <c r="FO868" s="3"/>
      <c r="FP868" s="3"/>
      <c r="FQ868" s="3"/>
      <c r="FR868" s="3"/>
      <c r="FS868" s="3"/>
      <c r="FT868" s="3"/>
      <c r="FU868" s="3"/>
      <c r="FV868" s="3"/>
      <c r="FW868" s="3"/>
      <c r="FX868" s="3"/>
      <c r="FY868" s="3"/>
    </row>
    <row r="869" spans="7:181" ht="15" x14ac:dyDescent="0.25">
      <c r="G869" s="2"/>
      <c r="H869" s="2"/>
      <c r="I869" s="2"/>
      <c r="J869" s="2"/>
      <c r="K869" s="2"/>
      <c r="L869" s="3"/>
      <c r="M869" s="3"/>
      <c r="N869" s="3"/>
      <c r="O869" s="3"/>
      <c r="P869" s="3"/>
      <c r="Q869" s="3"/>
      <c r="R869" s="3"/>
      <c r="S869" s="3"/>
      <c r="T869" s="3"/>
      <c r="U869" s="4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4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4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4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  <c r="DN869" s="3"/>
      <c r="DO869" s="3"/>
      <c r="DP869" s="3"/>
      <c r="DQ869" s="3"/>
      <c r="DR869" s="3"/>
      <c r="DS869" s="3"/>
      <c r="DT869" s="3"/>
      <c r="DU869" s="3"/>
      <c r="DV869" s="3"/>
      <c r="DW869" s="3"/>
      <c r="DX869" s="3"/>
      <c r="DY869" s="3"/>
      <c r="DZ869" s="3"/>
      <c r="EA869" s="3"/>
      <c r="EB869" s="3"/>
      <c r="EC869" s="3"/>
      <c r="ED869" s="3"/>
      <c r="EE869" s="3"/>
      <c r="EF869" s="3"/>
      <c r="EG869" s="3"/>
      <c r="EH869" s="3"/>
      <c r="EI869" s="3"/>
      <c r="EJ869" s="3"/>
      <c r="EK869" s="3"/>
      <c r="EL869" s="3"/>
      <c r="EM869" s="3"/>
      <c r="EN869" s="3"/>
      <c r="EO869" s="3"/>
      <c r="EP869" s="3"/>
      <c r="EQ869" s="3"/>
      <c r="ER869" s="3"/>
      <c r="ES869" s="3"/>
      <c r="ET869" s="3"/>
      <c r="EU869" s="3"/>
      <c r="EV869" s="3"/>
      <c r="EW869" s="3"/>
      <c r="EX869" s="3"/>
      <c r="EY869" s="3"/>
      <c r="EZ869" s="3"/>
      <c r="FA869" s="3"/>
      <c r="FB869" s="3"/>
      <c r="FC869" s="3"/>
      <c r="FD869" s="3"/>
      <c r="FE869" s="3"/>
      <c r="FF869" s="3"/>
      <c r="FG869" s="3"/>
      <c r="FH869" s="3"/>
      <c r="FI869" s="3"/>
      <c r="FJ869" s="3"/>
      <c r="FK869" s="3"/>
      <c r="FL869" s="3"/>
      <c r="FM869" s="3"/>
      <c r="FN869" s="3"/>
      <c r="FO869" s="3"/>
      <c r="FP869" s="3"/>
      <c r="FQ869" s="3"/>
      <c r="FR869" s="3"/>
      <c r="FS869" s="3"/>
      <c r="FT869" s="3"/>
      <c r="FU869" s="3"/>
      <c r="FV869" s="3"/>
      <c r="FW869" s="3"/>
      <c r="FX869" s="3"/>
      <c r="FY869" s="3"/>
    </row>
    <row r="870" spans="7:181" ht="15" x14ac:dyDescent="0.25">
      <c r="G870" s="2"/>
      <c r="H870" s="2"/>
      <c r="I870" s="2"/>
      <c r="J870" s="2"/>
      <c r="K870" s="2"/>
      <c r="L870" s="3"/>
      <c r="M870" s="3"/>
      <c r="N870" s="3"/>
      <c r="O870" s="3"/>
      <c r="P870" s="3"/>
      <c r="Q870" s="3"/>
      <c r="R870" s="3"/>
      <c r="S870" s="3"/>
      <c r="T870" s="3"/>
      <c r="U870" s="4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4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4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4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  <c r="DN870" s="3"/>
      <c r="DO870" s="3"/>
      <c r="DP870" s="3"/>
      <c r="DQ870" s="3"/>
      <c r="DR870" s="3"/>
      <c r="DS870" s="3"/>
      <c r="DT870" s="3"/>
      <c r="DU870" s="3"/>
      <c r="DV870" s="3"/>
      <c r="DW870" s="3"/>
      <c r="DX870" s="3"/>
      <c r="DY870" s="3"/>
      <c r="DZ870" s="3"/>
      <c r="EA870" s="3"/>
      <c r="EB870" s="3"/>
      <c r="EC870" s="3"/>
      <c r="ED870" s="3"/>
      <c r="EE870" s="3"/>
      <c r="EF870" s="3"/>
      <c r="EG870" s="3"/>
      <c r="EH870" s="3"/>
      <c r="EI870" s="3"/>
      <c r="EJ870" s="3"/>
      <c r="EK870" s="3"/>
      <c r="EL870" s="3"/>
      <c r="EM870" s="3"/>
      <c r="EN870" s="3"/>
      <c r="EO870" s="3"/>
      <c r="EP870" s="3"/>
      <c r="EQ870" s="3"/>
      <c r="ER870" s="3"/>
      <c r="ES870" s="3"/>
      <c r="ET870" s="3"/>
      <c r="EU870" s="3"/>
      <c r="EV870" s="3"/>
      <c r="EW870" s="3"/>
      <c r="EX870" s="3"/>
      <c r="EY870" s="3"/>
      <c r="EZ870" s="3"/>
      <c r="FA870" s="3"/>
      <c r="FB870" s="3"/>
      <c r="FC870" s="3"/>
      <c r="FD870" s="3"/>
      <c r="FE870" s="3"/>
      <c r="FF870" s="3"/>
      <c r="FG870" s="3"/>
      <c r="FH870" s="3"/>
      <c r="FI870" s="3"/>
      <c r="FJ870" s="3"/>
      <c r="FK870" s="3"/>
      <c r="FL870" s="3"/>
      <c r="FM870" s="3"/>
      <c r="FN870" s="3"/>
      <c r="FO870" s="3"/>
      <c r="FP870" s="3"/>
      <c r="FQ870" s="3"/>
      <c r="FR870" s="3"/>
      <c r="FS870" s="3"/>
      <c r="FT870" s="3"/>
      <c r="FU870" s="3"/>
      <c r="FV870" s="3"/>
      <c r="FW870" s="3"/>
      <c r="FX870" s="3"/>
      <c r="FY870" s="3"/>
    </row>
    <row r="871" spans="7:181" ht="15" x14ac:dyDescent="0.25">
      <c r="G871" s="2"/>
      <c r="H871" s="2"/>
      <c r="I871" s="2"/>
      <c r="J871" s="2"/>
      <c r="K871" s="2"/>
      <c r="L871" s="3"/>
      <c r="M871" s="3"/>
      <c r="N871" s="3"/>
      <c r="O871" s="3"/>
      <c r="P871" s="3"/>
      <c r="Q871" s="3"/>
      <c r="R871" s="3"/>
      <c r="S871" s="3"/>
      <c r="T871" s="3"/>
      <c r="U871" s="4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4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4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4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  <c r="DN871" s="3"/>
      <c r="DO871" s="3"/>
      <c r="DP871" s="3"/>
      <c r="DQ871" s="3"/>
      <c r="DR871" s="3"/>
      <c r="DS871" s="3"/>
      <c r="DT871" s="3"/>
      <c r="DU871" s="3"/>
      <c r="DV871" s="3"/>
      <c r="DW871" s="3"/>
      <c r="DX871" s="3"/>
      <c r="DY871" s="3"/>
      <c r="DZ871" s="3"/>
      <c r="EA871" s="3"/>
      <c r="EB871" s="3"/>
      <c r="EC871" s="3"/>
      <c r="ED871" s="3"/>
      <c r="EE871" s="3"/>
      <c r="EF871" s="3"/>
      <c r="EG871" s="3"/>
      <c r="EH871" s="3"/>
      <c r="EI871" s="3"/>
      <c r="EJ871" s="3"/>
      <c r="EK871" s="3"/>
      <c r="EL871" s="3"/>
      <c r="EM871" s="3"/>
      <c r="EN871" s="3"/>
      <c r="EO871" s="3"/>
      <c r="EP871" s="3"/>
      <c r="EQ871" s="3"/>
      <c r="ER871" s="3"/>
      <c r="ES871" s="3"/>
      <c r="ET871" s="3"/>
      <c r="EU871" s="3"/>
      <c r="EV871" s="3"/>
      <c r="EW871" s="3"/>
      <c r="EX871" s="3"/>
      <c r="EY871" s="3"/>
      <c r="EZ871" s="3"/>
      <c r="FA871" s="3"/>
      <c r="FB871" s="3"/>
      <c r="FC871" s="3"/>
      <c r="FD871" s="3"/>
      <c r="FE871" s="3"/>
      <c r="FF871" s="3"/>
      <c r="FG871" s="3"/>
      <c r="FH871" s="3"/>
      <c r="FI871" s="3"/>
      <c r="FJ871" s="3"/>
      <c r="FK871" s="3"/>
      <c r="FL871" s="3"/>
      <c r="FM871" s="3"/>
      <c r="FN871" s="3"/>
      <c r="FO871" s="3"/>
      <c r="FP871" s="3"/>
      <c r="FQ871" s="3"/>
      <c r="FR871" s="3"/>
      <c r="FS871" s="3"/>
      <c r="FT871" s="3"/>
      <c r="FU871" s="3"/>
      <c r="FV871" s="3"/>
      <c r="FW871" s="3"/>
      <c r="FX871" s="3"/>
      <c r="FY871" s="3"/>
    </row>
    <row r="872" spans="7:181" ht="15" x14ac:dyDescent="0.25">
      <c r="G872" s="2"/>
      <c r="H872" s="2"/>
      <c r="I872" s="2"/>
      <c r="J872" s="2"/>
      <c r="K872" s="2"/>
      <c r="L872" s="3"/>
      <c r="M872" s="3"/>
      <c r="N872" s="3"/>
      <c r="O872" s="3"/>
      <c r="P872" s="3"/>
      <c r="Q872" s="3"/>
      <c r="R872" s="3"/>
      <c r="S872" s="3"/>
      <c r="T872" s="3"/>
      <c r="U872" s="4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4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4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4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  <c r="DN872" s="3"/>
      <c r="DO872" s="3"/>
      <c r="DP872" s="3"/>
      <c r="DQ872" s="3"/>
      <c r="DR872" s="3"/>
      <c r="DS872" s="3"/>
      <c r="DT872" s="3"/>
      <c r="DU872" s="3"/>
      <c r="DV872" s="3"/>
      <c r="DW872" s="3"/>
      <c r="DX872" s="3"/>
      <c r="DY872" s="3"/>
      <c r="DZ872" s="3"/>
      <c r="EA872" s="3"/>
      <c r="EB872" s="3"/>
      <c r="EC872" s="3"/>
      <c r="ED872" s="3"/>
      <c r="EE872" s="3"/>
      <c r="EF872" s="3"/>
      <c r="EG872" s="3"/>
      <c r="EH872" s="3"/>
      <c r="EI872" s="3"/>
      <c r="EJ872" s="3"/>
      <c r="EK872" s="3"/>
      <c r="EL872" s="3"/>
      <c r="EM872" s="3"/>
      <c r="EN872" s="3"/>
      <c r="EO872" s="3"/>
      <c r="EP872" s="3"/>
      <c r="EQ872" s="3"/>
      <c r="ER872" s="3"/>
      <c r="ES872" s="3"/>
      <c r="ET872" s="3"/>
      <c r="EU872" s="3"/>
      <c r="EV872" s="3"/>
      <c r="EW872" s="3"/>
      <c r="EX872" s="3"/>
      <c r="EY872" s="3"/>
      <c r="EZ872" s="3"/>
      <c r="FA872" s="3"/>
      <c r="FB872" s="3"/>
      <c r="FC872" s="3"/>
      <c r="FD872" s="3"/>
      <c r="FE872" s="3"/>
      <c r="FF872" s="3"/>
      <c r="FG872" s="3"/>
      <c r="FH872" s="3"/>
      <c r="FI872" s="3"/>
      <c r="FJ872" s="3"/>
      <c r="FK872" s="3"/>
      <c r="FL872" s="3"/>
      <c r="FM872" s="3"/>
      <c r="FN872" s="3"/>
      <c r="FO872" s="3"/>
      <c r="FP872" s="3"/>
      <c r="FQ872" s="3"/>
      <c r="FR872" s="3"/>
      <c r="FS872" s="3"/>
      <c r="FT872" s="3"/>
      <c r="FU872" s="3"/>
      <c r="FV872" s="3"/>
      <c r="FW872" s="3"/>
      <c r="FX872" s="3"/>
      <c r="FY872" s="3"/>
    </row>
    <row r="873" spans="7:181" ht="15" x14ac:dyDescent="0.25">
      <c r="G873" s="2"/>
      <c r="H873" s="2"/>
      <c r="I873" s="2"/>
      <c r="J873" s="2"/>
      <c r="K873" s="2"/>
      <c r="L873" s="3"/>
      <c r="M873" s="3"/>
      <c r="N873" s="3"/>
      <c r="O873" s="3"/>
      <c r="P873" s="3"/>
      <c r="Q873" s="3"/>
      <c r="R873" s="3"/>
      <c r="S873" s="3"/>
      <c r="T873" s="3"/>
      <c r="U873" s="4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4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4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4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  <c r="DN873" s="3"/>
      <c r="DO873" s="3"/>
      <c r="DP873" s="3"/>
      <c r="DQ873" s="3"/>
      <c r="DR873" s="3"/>
      <c r="DS873" s="3"/>
      <c r="DT873" s="3"/>
      <c r="DU873" s="3"/>
      <c r="DV873" s="3"/>
      <c r="DW873" s="3"/>
      <c r="DX873" s="3"/>
      <c r="DY873" s="3"/>
      <c r="DZ873" s="3"/>
      <c r="EA873" s="3"/>
      <c r="EB873" s="3"/>
      <c r="EC873" s="3"/>
      <c r="ED873" s="3"/>
      <c r="EE873" s="3"/>
      <c r="EF873" s="3"/>
      <c r="EG873" s="3"/>
      <c r="EH873" s="3"/>
      <c r="EI873" s="3"/>
      <c r="EJ873" s="3"/>
      <c r="EK873" s="3"/>
      <c r="EL873" s="3"/>
      <c r="EM873" s="3"/>
      <c r="EN873" s="3"/>
      <c r="EO873" s="3"/>
      <c r="EP873" s="3"/>
      <c r="EQ873" s="3"/>
      <c r="ER873" s="3"/>
      <c r="ES873" s="3"/>
      <c r="ET873" s="3"/>
      <c r="EU873" s="3"/>
      <c r="EV873" s="3"/>
      <c r="EW873" s="3"/>
      <c r="EX873" s="3"/>
      <c r="EY873" s="3"/>
      <c r="EZ873" s="3"/>
      <c r="FA873" s="3"/>
      <c r="FB873" s="3"/>
      <c r="FC873" s="3"/>
      <c r="FD873" s="3"/>
      <c r="FE873" s="3"/>
      <c r="FF873" s="3"/>
      <c r="FG873" s="3"/>
      <c r="FH873" s="3"/>
      <c r="FI873" s="3"/>
      <c r="FJ873" s="3"/>
      <c r="FK873" s="3"/>
      <c r="FL873" s="3"/>
      <c r="FM873" s="3"/>
      <c r="FN873" s="3"/>
      <c r="FO873" s="3"/>
      <c r="FP873" s="3"/>
      <c r="FQ873" s="3"/>
      <c r="FR873" s="3"/>
      <c r="FS873" s="3"/>
      <c r="FT873" s="3"/>
      <c r="FU873" s="3"/>
      <c r="FV873" s="3"/>
      <c r="FW873" s="3"/>
      <c r="FX873" s="3"/>
      <c r="FY873" s="3"/>
    </row>
    <row r="874" spans="7:181" ht="15" x14ac:dyDescent="0.25">
      <c r="G874" s="2"/>
      <c r="H874" s="2"/>
      <c r="I874" s="2"/>
      <c r="J874" s="2"/>
      <c r="K874" s="2"/>
      <c r="L874" s="3"/>
      <c r="M874" s="3"/>
      <c r="N874" s="3"/>
      <c r="O874" s="3"/>
      <c r="P874" s="3"/>
      <c r="Q874" s="3"/>
      <c r="R874" s="3"/>
      <c r="S874" s="3"/>
      <c r="T874" s="3"/>
      <c r="U874" s="4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4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4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4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  <c r="DN874" s="3"/>
      <c r="DO874" s="3"/>
      <c r="DP874" s="3"/>
      <c r="DQ874" s="3"/>
      <c r="DR874" s="3"/>
      <c r="DS874" s="3"/>
      <c r="DT874" s="3"/>
      <c r="DU874" s="3"/>
      <c r="DV874" s="3"/>
      <c r="DW874" s="3"/>
      <c r="DX874" s="3"/>
      <c r="DY874" s="3"/>
      <c r="DZ874" s="3"/>
      <c r="EA874" s="3"/>
      <c r="EB874" s="3"/>
      <c r="EC874" s="3"/>
      <c r="ED874" s="3"/>
      <c r="EE874" s="3"/>
      <c r="EF874" s="3"/>
      <c r="EG874" s="3"/>
      <c r="EH874" s="3"/>
      <c r="EI874" s="3"/>
      <c r="EJ874" s="3"/>
      <c r="EK874" s="3"/>
      <c r="EL874" s="3"/>
      <c r="EM874" s="3"/>
      <c r="EN874" s="3"/>
      <c r="EO874" s="3"/>
      <c r="EP874" s="3"/>
      <c r="EQ874" s="3"/>
      <c r="ER874" s="3"/>
      <c r="ES874" s="3"/>
      <c r="ET874" s="3"/>
      <c r="EU874" s="3"/>
      <c r="EV874" s="3"/>
      <c r="EW874" s="3"/>
      <c r="EX874" s="3"/>
      <c r="EY874" s="3"/>
      <c r="EZ874" s="3"/>
      <c r="FA874" s="3"/>
      <c r="FB874" s="3"/>
      <c r="FC874" s="3"/>
      <c r="FD874" s="3"/>
      <c r="FE874" s="3"/>
      <c r="FF874" s="3"/>
      <c r="FG874" s="3"/>
      <c r="FH874" s="3"/>
      <c r="FI874" s="3"/>
      <c r="FJ874" s="3"/>
      <c r="FK874" s="3"/>
      <c r="FL874" s="3"/>
      <c r="FM874" s="3"/>
      <c r="FN874" s="3"/>
      <c r="FO874" s="3"/>
      <c r="FP874" s="3"/>
      <c r="FQ874" s="3"/>
      <c r="FR874" s="3"/>
      <c r="FS874" s="3"/>
      <c r="FT874" s="3"/>
      <c r="FU874" s="3"/>
      <c r="FV874" s="3"/>
      <c r="FW874" s="3"/>
      <c r="FX874" s="3"/>
      <c r="FY874" s="3"/>
    </row>
    <row r="875" spans="7:181" ht="15" x14ac:dyDescent="0.25">
      <c r="G875" s="2"/>
      <c r="H875" s="2"/>
      <c r="I875" s="2"/>
      <c r="J875" s="2"/>
      <c r="K875" s="2"/>
      <c r="L875" s="3"/>
      <c r="M875" s="3"/>
      <c r="N875" s="3"/>
      <c r="O875" s="3"/>
      <c r="P875" s="3"/>
      <c r="Q875" s="3"/>
      <c r="R875" s="3"/>
      <c r="S875" s="3"/>
      <c r="T875" s="3"/>
      <c r="U875" s="4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4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4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4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/>
      <c r="DS875" s="3"/>
      <c r="DT875" s="3"/>
      <c r="DU875" s="3"/>
      <c r="DV875" s="3"/>
      <c r="DW875" s="3"/>
      <c r="DX875" s="3"/>
      <c r="DY875" s="3"/>
      <c r="DZ875" s="3"/>
      <c r="EA875" s="3"/>
      <c r="EB875" s="3"/>
      <c r="EC875" s="3"/>
      <c r="ED875" s="3"/>
      <c r="EE875" s="3"/>
      <c r="EF875" s="3"/>
      <c r="EG875" s="3"/>
      <c r="EH875" s="3"/>
      <c r="EI875" s="3"/>
      <c r="EJ875" s="3"/>
      <c r="EK875" s="3"/>
      <c r="EL875" s="3"/>
      <c r="EM875" s="3"/>
      <c r="EN875" s="3"/>
      <c r="EO875" s="3"/>
      <c r="EP875" s="3"/>
      <c r="EQ875" s="3"/>
      <c r="ER875" s="3"/>
      <c r="ES875" s="3"/>
      <c r="ET875" s="3"/>
      <c r="EU875" s="3"/>
      <c r="EV875" s="3"/>
      <c r="EW875" s="3"/>
      <c r="EX875" s="3"/>
      <c r="EY875" s="3"/>
      <c r="EZ875" s="3"/>
      <c r="FA875" s="3"/>
      <c r="FB875" s="3"/>
      <c r="FC875" s="3"/>
      <c r="FD875" s="3"/>
      <c r="FE875" s="3"/>
      <c r="FF875" s="3"/>
      <c r="FG875" s="3"/>
      <c r="FH875" s="3"/>
      <c r="FI875" s="3"/>
      <c r="FJ875" s="3"/>
      <c r="FK875" s="3"/>
      <c r="FL875" s="3"/>
      <c r="FM875" s="3"/>
      <c r="FN875" s="3"/>
      <c r="FO875" s="3"/>
      <c r="FP875" s="3"/>
      <c r="FQ875" s="3"/>
      <c r="FR875" s="3"/>
      <c r="FS875" s="3"/>
      <c r="FT875" s="3"/>
      <c r="FU875" s="3"/>
      <c r="FV875" s="3"/>
      <c r="FW875" s="3"/>
      <c r="FX875" s="3"/>
      <c r="FY875" s="3"/>
    </row>
    <row r="876" spans="7:181" ht="15" x14ac:dyDescent="0.25">
      <c r="G876" s="2"/>
      <c r="H876" s="2"/>
      <c r="I876" s="2"/>
      <c r="J876" s="2"/>
      <c r="K876" s="2"/>
      <c r="L876" s="3"/>
      <c r="M876" s="3"/>
      <c r="N876" s="3"/>
      <c r="O876" s="3"/>
      <c r="P876" s="3"/>
      <c r="Q876" s="3"/>
      <c r="R876" s="3"/>
      <c r="S876" s="3"/>
      <c r="T876" s="3"/>
      <c r="U876" s="4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4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4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4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/>
      <c r="DY876" s="3"/>
      <c r="DZ876" s="3"/>
      <c r="EA876" s="3"/>
      <c r="EB876" s="3"/>
      <c r="EC876" s="3"/>
      <c r="ED876" s="3"/>
      <c r="EE876" s="3"/>
      <c r="EF876" s="3"/>
      <c r="EG876" s="3"/>
      <c r="EH876" s="3"/>
      <c r="EI876" s="3"/>
      <c r="EJ876" s="3"/>
      <c r="EK876" s="3"/>
      <c r="EL876" s="3"/>
      <c r="EM876" s="3"/>
      <c r="EN876" s="3"/>
      <c r="EO876" s="3"/>
      <c r="EP876" s="3"/>
      <c r="EQ876" s="3"/>
      <c r="ER876" s="3"/>
      <c r="ES876" s="3"/>
      <c r="ET876" s="3"/>
      <c r="EU876" s="3"/>
      <c r="EV876" s="3"/>
      <c r="EW876" s="3"/>
      <c r="EX876" s="3"/>
      <c r="EY876" s="3"/>
      <c r="EZ876" s="3"/>
      <c r="FA876" s="3"/>
      <c r="FB876" s="3"/>
      <c r="FC876" s="3"/>
      <c r="FD876" s="3"/>
      <c r="FE876" s="3"/>
      <c r="FF876" s="3"/>
      <c r="FG876" s="3"/>
      <c r="FH876" s="3"/>
      <c r="FI876" s="3"/>
      <c r="FJ876" s="3"/>
      <c r="FK876" s="3"/>
      <c r="FL876" s="3"/>
      <c r="FM876" s="3"/>
      <c r="FN876" s="3"/>
      <c r="FO876" s="3"/>
      <c r="FP876" s="3"/>
      <c r="FQ876" s="3"/>
      <c r="FR876" s="3"/>
      <c r="FS876" s="3"/>
      <c r="FT876" s="3"/>
      <c r="FU876" s="3"/>
      <c r="FV876" s="3"/>
      <c r="FW876" s="3"/>
      <c r="FX876" s="3"/>
      <c r="FY876" s="3"/>
    </row>
    <row r="877" spans="7:181" ht="15" x14ac:dyDescent="0.25">
      <c r="G877" s="2"/>
      <c r="H877" s="2"/>
      <c r="I877" s="2"/>
      <c r="J877" s="2"/>
      <c r="K877" s="2"/>
      <c r="L877" s="3"/>
      <c r="M877" s="3"/>
      <c r="N877" s="3"/>
      <c r="O877" s="3"/>
      <c r="P877" s="3"/>
      <c r="Q877" s="3"/>
      <c r="R877" s="3"/>
      <c r="S877" s="3"/>
      <c r="T877" s="3"/>
      <c r="U877" s="4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4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4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4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/>
      <c r="DS877" s="3"/>
      <c r="DT877" s="3"/>
      <c r="DU877" s="3"/>
      <c r="DV877" s="3"/>
      <c r="DW877" s="3"/>
      <c r="DX877" s="3"/>
      <c r="DY877" s="3"/>
      <c r="DZ877" s="3"/>
      <c r="EA877" s="3"/>
      <c r="EB877" s="3"/>
      <c r="EC877" s="3"/>
      <c r="ED877" s="3"/>
      <c r="EE877" s="3"/>
      <c r="EF877" s="3"/>
      <c r="EG877" s="3"/>
      <c r="EH877" s="3"/>
      <c r="EI877" s="3"/>
      <c r="EJ877" s="3"/>
      <c r="EK877" s="3"/>
      <c r="EL877" s="3"/>
      <c r="EM877" s="3"/>
      <c r="EN877" s="3"/>
      <c r="EO877" s="3"/>
      <c r="EP877" s="3"/>
      <c r="EQ877" s="3"/>
      <c r="ER877" s="3"/>
      <c r="ES877" s="3"/>
      <c r="ET877" s="3"/>
      <c r="EU877" s="3"/>
      <c r="EV877" s="3"/>
      <c r="EW877" s="3"/>
      <c r="EX877" s="3"/>
      <c r="EY877" s="3"/>
      <c r="EZ877" s="3"/>
      <c r="FA877" s="3"/>
      <c r="FB877" s="3"/>
      <c r="FC877" s="3"/>
      <c r="FD877" s="3"/>
      <c r="FE877" s="3"/>
      <c r="FF877" s="3"/>
      <c r="FG877" s="3"/>
      <c r="FH877" s="3"/>
      <c r="FI877" s="3"/>
      <c r="FJ877" s="3"/>
      <c r="FK877" s="3"/>
      <c r="FL877" s="3"/>
      <c r="FM877" s="3"/>
      <c r="FN877" s="3"/>
      <c r="FO877" s="3"/>
      <c r="FP877" s="3"/>
      <c r="FQ877" s="3"/>
      <c r="FR877" s="3"/>
      <c r="FS877" s="3"/>
      <c r="FT877" s="3"/>
      <c r="FU877" s="3"/>
      <c r="FV877" s="3"/>
      <c r="FW877" s="3"/>
      <c r="FX877" s="3"/>
      <c r="FY877" s="3"/>
    </row>
    <row r="878" spans="7:181" ht="15" x14ac:dyDescent="0.25">
      <c r="G878" s="2"/>
      <c r="H878" s="2"/>
      <c r="I878" s="2"/>
      <c r="J878" s="2"/>
      <c r="K878" s="2"/>
      <c r="L878" s="3"/>
      <c r="M878" s="3"/>
      <c r="N878" s="3"/>
      <c r="O878" s="3"/>
      <c r="P878" s="3"/>
      <c r="Q878" s="3"/>
      <c r="R878" s="3"/>
      <c r="S878" s="3"/>
      <c r="T878" s="3"/>
      <c r="U878" s="4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4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4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4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  <c r="DP878" s="3"/>
      <c r="DQ878" s="3"/>
      <c r="DR878" s="3"/>
      <c r="DS878" s="3"/>
      <c r="DT878" s="3"/>
      <c r="DU878" s="3"/>
      <c r="DV878" s="3"/>
      <c r="DW878" s="3"/>
      <c r="DX878" s="3"/>
      <c r="DY878" s="3"/>
      <c r="DZ878" s="3"/>
      <c r="EA878" s="3"/>
      <c r="EB878" s="3"/>
      <c r="EC878" s="3"/>
      <c r="ED878" s="3"/>
      <c r="EE878" s="3"/>
      <c r="EF878" s="3"/>
      <c r="EG878" s="3"/>
      <c r="EH878" s="3"/>
      <c r="EI878" s="3"/>
      <c r="EJ878" s="3"/>
      <c r="EK878" s="3"/>
      <c r="EL878" s="3"/>
      <c r="EM878" s="3"/>
      <c r="EN878" s="3"/>
      <c r="EO878" s="3"/>
      <c r="EP878" s="3"/>
      <c r="EQ878" s="3"/>
      <c r="ER878" s="3"/>
      <c r="ES878" s="3"/>
      <c r="ET878" s="3"/>
      <c r="EU878" s="3"/>
      <c r="EV878" s="3"/>
      <c r="EW878" s="3"/>
      <c r="EX878" s="3"/>
      <c r="EY878" s="3"/>
      <c r="EZ878" s="3"/>
      <c r="FA878" s="3"/>
      <c r="FB878" s="3"/>
      <c r="FC878" s="3"/>
      <c r="FD878" s="3"/>
      <c r="FE878" s="3"/>
      <c r="FF878" s="3"/>
      <c r="FG878" s="3"/>
      <c r="FH878" s="3"/>
      <c r="FI878" s="3"/>
      <c r="FJ878" s="3"/>
      <c r="FK878" s="3"/>
      <c r="FL878" s="3"/>
      <c r="FM878" s="3"/>
      <c r="FN878" s="3"/>
      <c r="FO878" s="3"/>
      <c r="FP878" s="3"/>
      <c r="FQ878" s="3"/>
      <c r="FR878" s="3"/>
      <c r="FS878" s="3"/>
      <c r="FT878" s="3"/>
      <c r="FU878" s="3"/>
      <c r="FV878" s="3"/>
      <c r="FW878" s="3"/>
      <c r="FX878" s="3"/>
      <c r="FY878" s="3"/>
    </row>
    <row r="879" spans="7:181" ht="15" x14ac:dyDescent="0.25">
      <c r="G879" s="2"/>
      <c r="H879" s="2"/>
      <c r="I879" s="2"/>
      <c r="J879" s="2"/>
      <c r="K879" s="2"/>
      <c r="L879" s="3"/>
      <c r="M879" s="3"/>
      <c r="N879" s="3"/>
      <c r="O879" s="3"/>
      <c r="P879" s="3"/>
      <c r="Q879" s="3"/>
      <c r="R879" s="3"/>
      <c r="S879" s="3"/>
      <c r="T879" s="3"/>
      <c r="U879" s="4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4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4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4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  <c r="DP879" s="3"/>
      <c r="DQ879" s="3"/>
      <c r="DR879" s="3"/>
      <c r="DS879" s="3"/>
      <c r="DT879" s="3"/>
      <c r="DU879" s="3"/>
      <c r="DV879" s="3"/>
      <c r="DW879" s="3"/>
      <c r="DX879" s="3"/>
      <c r="DY879" s="3"/>
      <c r="DZ879" s="3"/>
      <c r="EA879" s="3"/>
      <c r="EB879" s="3"/>
      <c r="EC879" s="3"/>
      <c r="ED879" s="3"/>
      <c r="EE879" s="3"/>
      <c r="EF879" s="3"/>
      <c r="EG879" s="3"/>
      <c r="EH879" s="3"/>
      <c r="EI879" s="3"/>
      <c r="EJ879" s="3"/>
      <c r="EK879" s="3"/>
      <c r="EL879" s="3"/>
      <c r="EM879" s="3"/>
      <c r="EN879" s="3"/>
      <c r="EO879" s="3"/>
      <c r="EP879" s="3"/>
      <c r="EQ879" s="3"/>
      <c r="ER879" s="3"/>
      <c r="ES879" s="3"/>
      <c r="ET879" s="3"/>
      <c r="EU879" s="3"/>
      <c r="EV879" s="3"/>
      <c r="EW879" s="3"/>
      <c r="EX879" s="3"/>
      <c r="EY879" s="3"/>
      <c r="EZ879" s="3"/>
      <c r="FA879" s="3"/>
      <c r="FB879" s="3"/>
      <c r="FC879" s="3"/>
      <c r="FD879" s="3"/>
      <c r="FE879" s="3"/>
      <c r="FF879" s="3"/>
      <c r="FG879" s="3"/>
      <c r="FH879" s="3"/>
      <c r="FI879" s="3"/>
      <c r="FJ879" s="3"/>
      <c r="FK879" s="3"/>
      <c r="FL879" s="3"/>
      <c r="FM879" s="3"/>
      <c r="FN879" s="3"/>
      <c r="FO879" s="3"/>
      <c r="FP879" s="3"/>
      <c r="FQ879" s="3"/>
      <c r="FR879" s="3"/>
      <c r="FS879" s="3"/>
      <c r="FT879" s="3"/>
      <c r="FU879" s="3"/>
      <c r="FV879" s="3"/>
      <c r="FW879" s="3"/>
      <c r="FX879" s="3"/>
      <c r="FY879" s="3"/>
    </row>
    <row r="880" spans="7:181" ht="15" x14ac:dyDescent="0.25">
      <c r="G880" s="2"/>
      <c r="H880" s="2"/>
      <c r="I880" s="2"/>
      <c r="J880" s="2"/>
      <c r="K880" s="2"/>
      <c r="L880" s="3"/>
      <c r="M880" s="3"/>
      <c r="N880" s="3"/>
      <c r="O880" s="3"/>
      <c r="P880" s="3"/>
      <c r="Q880" s="3"/>
      <c r="R880" s="3"/>
      <c r="S880" s="3"/>
      <c r="T880" s="3"/>
      <c r="U880" s="4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4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4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4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  <c r="DP880" s="3"/>
      <c r="DQ880" s="3"/>
      <c r="DR880" s="3"/>
      <c r="DS880" s="3"/>
      <c r="DT880" s="3"/>
      <c r="DU880" s="3"/>
      <c r="DV880" s="3"/>
      <c r="DW880" s="3"/>
      <c r="DX880" s="3"/>
      <c r="DY880" s="3"/>
      <c r="DZ880" s="3"/>
      <c r="EA880" s="3"/>
      <c r="EB880" s="3"/>
      <c r="EC880" s="3"/>
      <c r="ED880" s="3"/>
      <c r="EE880" s="3"/>
      <c r="EF880" s="3"/>
      <c r="EG880" s="3"/>
      <c r="EH880" s="3"/>
      <c r="EI880" s="3"/>
      <c r="EJ880" s="3"/>
      <c r="EK880" s="3"/>
      <c r="EL880" s="3"/>
      <c r="EM880" s="3"/>
      <c r="EN880" s="3"/>
      <c r="EO880" s="3"/>
      <c r="EP880" s="3"/>
      <c r="EQ880" s="3"/>
      <c r="ER880" s="3"/>
      <c r="ES880" s="3"/>
      <c r="ET880" s="3"/>
      <c r="EU880" s="3"/>
      <c r="EV880" s="3"/>
      <c r="EW880" s="3"/>
      <c r="EX880" s="3"/>
      <c r="EY880" s="3"/>
      <c r="EZ880" s="3"/>
      <c r="FA880" s="3"/>
      <c r="FB880" s="3"/>
      <c r="FC880" s="3"/>
      <c r="FD880" s="3"/>
      <c r="FE880" s="3"/>
      <c r="FF880" s="3"/>
      <c r="FG880" s="3"/>
      <c r="FH880" s="3"/>
      <c r="FI880" s="3"/>
      <c r="FJ880" s="3"/>
      <c r="FK880" s="3"/>
      <c r="FL880" s="3"/>
      <c r="FM880" s="3"/>
      <c r="FN880" s="3"/>
      <c r="FO880" s="3"/>
      <c r="FP880" s="3"/>
      <c r="FQ880" s="3"/>
      <c r="FR880" s="3"/>
      <c r="FS880" s="3"/>
      <c r="FT880" s="3"/>
      <c r="FU880" s="3"/>
      <c r="FV880" s="3"/>
      <c r="FW880" s="3"/>
      <c r="FX880" s="3"/>
      <c r="FY880" s="3"/>
    </row>
    <row r="881" spans="7:181" ht="15" x14ac:dyDescent="0.25">
      <c r="G881" s="2"/>
      <c r="H881" s="2"/>
      <c r="I881" s="2"/>
      <c r="J881" s="2"/>
      <c r="K881" s="2"/>
      <c r="L881" s="3"/>
      <c r="M881" s="3"/>
      <c r="N881" s="3"/>
      <c r="O881" s="3"/>
      <c r="P881" s="3"/>
      <c r="Q881" s="3"/>
      <c r="R881" s="3"/>
      <c r="S881" s="3"/>
      <c r="T881" s="3"/>
      <c r="U881" s="4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4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4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4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  <c r="DP881" s="3"/>
      <c r="DQ881" s="3"/>
      <c r="DR881" s="3"/>
      <c r="DS881" s="3"/>
      <c r="DT881" s="3"/>
      <c r="DU881" s="3"/>
      <c r="DV881" s="3"/>
      <c r="DW881" s="3"/>
      <c r="DX881" s="3"/>
      <c r="DY881" s="3"/>
      <c r="DZ881" s="3"/>
      <c r="EA881" s="3"/>
      <c r="EB881" s="3"/>
      <c r="EC881" s="3"/>
      <c r="ED881" s="3"/>
      <c r="EE881" s="3"/>
      <c r="EF881" s="3"/>
      <c r="EG881" s="3"/>
      <c r="EH881" s="3"/>
      <c r="EI881" s="3"/>
      <c r="EJ881" s="3"/>
      <c r="EK881" s="3"/>
      <c r="EL881" s="3"/>
      <c r="EM881" s="3"/>
      <c r="EN881" s="3"/>
      <c r="EO881" s="3"/>
      <c r="EP881" s="3"/>
      <c r="EQ881" s="3"/>
      <c r="ER881" s="3"/>
      <c r="ES881" s="3"/>
      <c r="ET881" s="3"/>
      <c r="EU881" s="3"/>
      <c r="EV881" s="3"/>
      <c r="EW881" s="3"/>
      <c r="EX881" s="3"/>
      <c r="EY881" s="3"/>
      <c r="EZ881" s="3"/>
      <c r="FA881" s="3"/>
      <c r="FB881" s="3"/>
      <c r="FC881" s="3"/>
      <c r="FD881" s="3"/>
      <c r="FE881" s="3"/>
      <c r="FF881" s="3"/>
      <c r="FG881" s="3"/>
      <c r="FH881" s="3"/>
      <c r="FI881" s="3"/>
      <c r="FJ881" s="3"/>
      <c r="FK881" s="3"/>
      <c r="FL881" s="3"/>
      <c r="FM881" s="3"/>
      <c r="FN881" s="3"/>
      <c r="FO881" s="3"/>
      <c r="FP881" s="3"/>
      <c r="FQ881" s="3"/>
      <c r="FR881" s="3"/>
      <c r="FS881" s="3"/>
      <c r="FT881" s="3"/>
      <c r="FU881" s="3"/>
      <c r="FV881" s="3"/>
      <c r="FW881" s="3"/>
      <c r="FX881" s="3"/>
      <c r="FY881" s="3"/>
    </row>
    <row r="882" spans="7:181" ht="15" x14ac:dyDescent="0.25">
      <c r="G882" s="2"/>
      <c r="H882" s="2"/>
      <c r="I882" s="2"/>
      <c r="J882" s="2"/>
      <c r="K882" s="2"/>
      <c r="L882" s="3"/>
      <c r="M882" s="3"/>
      <c r="N882" s="3"/>
      <c r="O882" s="3"/>
      <c r="P882" s="3"/>
      <c r="Q882" s="3"/>
      <c r="R882" s="3"/>
      <c r="S882" s="3"/>
      <c r="T882" s="3"/>
      <c r="U882" s="4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4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4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4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  <c r="DN882" s="3"/>
      <c r="DO882" s="3"/>
      <c r="DP882" s="3"/>
      <c r="DQ882" s="3"/>
      <c r="DR882" s="3"/>
      <c r="DS882" s="3"/>
      <c r="DT882" s="3"/>
      <c r="DU882" s="3"/>
      <c r="DV882" s="3"/>
      <c r="DW882" s="3"/>
      <c r="DX882" s="3"/>
      <c r="DY882" s="3"/>
      <c r="DZ882" s="3"/>
      <c r="EA882" s="3"/>
      <c r="EB882" s="3"/>
      <c r="EC882" s="3"/>
      <c r="ED882" s="3"/>
      <c r="EE882" s="3"/>
      <c r="EF882" s="3"/>
      <c r="EG882" s="3"/>
      <c r="EH882" s="3"/>
      <c r="EI882" s="3"/>
      <c r="EJ882" s="3"/>
      <c r="EK882" s="3"/>
      <c r="EL882" s="3"/>
      <c r="EM882" s="3"/>
      <c r="EN882" s="3"/>
      <c r="EO882" s="3"/>
      <c r="EP882" s="3"/>
      <c r="EQ882" s="3"/>
      <c r="ER882" s="3"/>
      <c r="ES882" s="3"/>
      <c r="ET882" s="3"/>
      <c r="EU882" s="3"/>
      <c r="EV882" s="3"/>
      <c r="EW882" s="3"/>
      <c r="EX882" s="3"/>
      <c r="EY882" s="3"/>
      <c r="EZ882" s="3"/>
      <c r="FA882" s="3"/>
      <c r="FB882" s="3"/>
      <c r="FC882" s="3"/>
      <c r="FD882" s="3"/>
      <c r="FE882" s="3"/>
      <c r="FF882" s="3"/>
      <c r="FG882" s="3"/>
      <c r="FH882" s="3"/>
      <c r="FI882" s="3"/>
      <c r="FJ882" s="3"/>
      <c r="FK882" s="3"/>
      <c r="FL882" s="3"/>
      <c r="FM882" s="3"/>
      <c r="FN882" s="3"/>
      <c r="FO882" s="3"/>
      <c r="FP882" s="3"/>
      <c r="FQ882" s="3"/>
      <c r="FR882" s="3"/>
      <c r="FS882" s="3"/>
      <c r="FT882" s="3"/>
      <c r="FU882" s="3"/>
      <c r="FV882" s="3"/>
      <c r="FW882" s="3"/>
      <c r="FX882" s="3"/>
      <c r="FY882" s="3"/>
    </row>
    <row r="883" spans="7:181" ht="15" x14ac:dyDescent="0.25">
      <c r="G883" s="2"/>
      <c r="H883" s="2"/>
      <c r="I883" s="2"/>
      <c r="J883" s="2"/>
      <c r="K883" s="2"/>
      <c r="L883" s="3"/>
      <c r="M883" s="3"/>
      <c r="N883" s="3"/>
      <c r="O883" s="3"/>
      <c r="P883" s="3"/>
      <c r="Q883" s="3"/>
      <c r="R883" s="3"/>
      <c r="S883" s="3"/>
      <c r="T883" s="3"/>
      <c r="U883" s="4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4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4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4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  <c r="DN883" s="3"/>
      <c r="DO883" s="3"/>
      <c r="DP883" s="3"/>
      <c r="DQ883" s="3"/>
      <c r="DR883" s="3"/>
      <c r="DS883" s="3"/>
      <c r="DT883" s="3"/>
      <c r="DU883" s="3"/>
      <c r="DV883" s="3"/>
      <c r="DW883" s="3"/>
      <c r="DX883" s="3"/>
      <c r="DY883" s="3"/>
      <c r="DZ883" s="3"/>
      <c r="EA883" s="3"/>
      <c r="EB883" s="3"/>
      <c r="EC883" s="3"/>
      <c r="ED883" s="3"/>
      <c r="EE883" s="3"/>
      <c r="EF883" s="3"/>
      <c r="EG883" s="3"/>
      <c r="EH883" s="3"/>
      <c r="EI883" s="3"/>
      <c r="EJ883" s="3"/>
      <c r="EK883" s="3"/>
      <c r="EL883" s="3"/>
      <c r="EM883" s="3"/>
      <c r="EN883" s="3"/>
      <c r="EO883" s="3"/>
      <c r="EP883" s="3"/>
      <c r="EQ883" s="3"/>
      <c r="ER883" s="3"/>
      <c r="ES883" s="3"/>
      <c r="ET883" s="3"/>
      <c r="EU883" s="3"/>
      <c r="EV883" s="3"/>
      <c r="EW883" s="3"/>
      <c r="EX883" s="3"/>
      <c r="EY883" s="3"/>
      <c r="EZ883" s="3"/>
      <c r="FA883" s="3"/>
      <c r="FB883" s="3"/>
      <c r="FC883" s="3"/>
      <c r="FD883" s="3"/>
      <c r="FE883" s="3"/>
      <c r="FF883" s="3"/>
      <c r="FG883" s="3"/>
      <c r="FH883" s="3"/>
      <c r="FI883" s="3"/>
      <c r="FJ883" s="3"/>
      <c r="FK883" s="3"/>
      <c r="FL883" s="3"/>
      <c r="FM883" s="3"/>
      <c r="FN883" s="3"/>
      <c r="FO883" s="3"/>
      <c r="FP883" s="3"/>
      <c r="FQ883" s="3"/>
      <c r="FR883" s="3"/>
      <c r="FS883" s="3"/>
      <c r="FT883" s="3"/>
      <c r="FU883" s="3"/>
      <c r="FV883" s="3"/>
      <c r="FW883" s="3"/>
      <c r="FX883" s="3"/>
      <c r="FY883" s="3"/>
    </row>
    <row r="884" spans="7:181" ht="15" x14ac:dyDescent="0.25">
      <c r="G884" s="2"/>
      <c r="H884" s="2"/>
      <c r="I884" s="2"/>
      <c r="J884" s="2"/>
      <c r="K884" s="2"/>
      <c r="L884" s="3"/>
      <c r="M884" s="3"/>
      <c r="N884" s="3"/>
      <c r="O884" s="3"/>
      <c r="P884" s="3"/>
      <c r="Q884" s="3"/>
      <c r="R884" s="3"/>
      <c r="S884" s="3"/>
      <c r="T884" s="3"/>
      <c r="U884" s="4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4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4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4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/>
      <c r="DS884" s="3"/>
      <c r="DT884" s="3"/>
      <c r="DU884" s="3"/>
      <c r="DV884" s="3"/>
      <c r="DW884" s="3"/>
      <c r="DX884" s="3"/>
      <c r="DY884" s="3"/>
      <c r="DZ884" s="3"/>
      <c r="EA884" s="3"/>
      <c r="EB884" s="3"/>
      <c r="EC884" s="3"/>
      <c r="ED884" s="3"/>
      <c r="EE884" s="3"/>
      <c r="EF884" s="3"/>
      <c r="EG884" s="3"/>
      <c r="EH884" s="3"/>
      <c r="EI884" s="3"/>
      <c r="EJ884" s="3"/>
      <c r="EK884" s="3"/>
      <c r="EL884" s="3"/>
      <c r="EM884" s="3"/>
      <c r="EN884" s="3"/>
      <c r="EO884" s="3"/>
      <c r="EP884" s="3"/>
      <c r="EQ884" s="3"/>
      <c r="ER884" s="3"/>
      <c r="ES884" s="3"/>
      <c r="ET884" s="3"/>
      <c r="EU884" s="3"/>
      <c r="EV884" s="3"/>
      <c r="EW884" s="3"/>
      <c r="EX884" s="3"/>
      <c r="EY884" s="3"/>
      <c r="EZ884" s="3"/>
      <c r="FA884" s="3"/>
      <c r="FB884" s="3"/>
      <c r="FC884" s="3"/>
      <c r="FD884" s="3"/>
      <c r="FE884" s="3"/>
      <c r="FF884" s="3"/>
      <c r="FG884" s="3"/>
      <c r="FH884" s="3"/>
      <c r="FI884" s="3"/>
      <c r="FJ884" s="3"/>
      <c r="FK884" s="3"/>
      <c r="FL884" s="3"/>
      <c r="FM884" s="3"/>
      <c r="FN884" s="3"/>
      <c r="FO884" s="3"/>
      <c r="FP884" s="3"/>
      <c r="FQ884" s="3"/>
      <c r="FR884" s="3"/>
      <c r="FS884" s="3"/>
      <c r="FT884" s="3"/>
      <c r="FU884" s="3"/>
      <c r="FV884" s="3"/>
      <c r="FW884" s="3"/>
      <c r="FX884" s="3"/>
      <c r="FY884" s="3"/>
    </row>
    <row r="885" spans="7:181" ht="15" x14ac:dyDescent="0.25">
      <c r="G885" s="2"/>
      <c r="H885" s="2"/>
      <c r="I885" s="2"/>
      <c r="J885" s="2"/>
      <c r="K885" s="2"/>
      <c r="L885" s="3"/>
      <c r="M885" s="3"/>
      <c r="N885" s="3"/>
      <c r="O885" s="3"/>
      <c r="P885" s="3"/>
      <c r="Q885" s="3"/>
      <c r="R885" s="3"/>
      <c r="S885" s="3"/>
      <c r="T885" s="3"/>
      <c r="U885" s="4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4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4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4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/>
      <c r="DS885" s="3"/>
      <c r="DT885" s="3"/>
      <c r="DU885" s="3"/>
      <c r="DV885" s="3"/>
      <c r="DW885" s="3"/>
      <c r="DX885" s="3"/>
      <c r="DY885" s="3"/>
      <c r="DZ885" s="3"/>
      <c r="EA885" s="3"/>
      <c r="EB885" s="3"/>
      <c r="EC885" s="3"/>
      <c r="ED885" s="3"/>
      <c r="EE885" s="3"/>
      <c r="EF885" s="3"/>
      <c r="EG885" s="3"/>
      <c r="EH885" s="3"/>
      <c r="EI885" s="3"/>
      <c r="EJ885" s="3"/>
      <c r="EK885" s="3"/>
      <c r="EL885" s="3"/>
      <c r="EM885" s="3"/>
      <c r="EN885" s="3"/>
      <c r="EO885" s="3"/>
      <c r="EP885" s="3"/>
      <c r="EQ885" s="3"/>
      <c r="ER885" s="3"/>
      <c r="ES885" s="3"/>
      <c r="ET885" s="3"/>
      <c r="EU885" s="3"/>
      <c r="EV885" s="3"/>
      <c r="EW885" s="3"/>
      <c r="EX885" s="3"/>
      <c r="EY885" s="3"/>
      <c r="EZ885" s="3"/>
      <c r="FA885" s="3"/>
      <c r="FB885" s="3"/>
      <c r="FC885" s="3"/>
      <c r="FD885" s="3"/>
      <c r="FE885" s="3"/>
      <c r="FF885" s="3"/>
      <c r="FG885" s="3"/>
      <c r="FH885" s="3"/>
      <c r="FI885" s="3"/>
      <c r="FJ885" s="3"/>
      <c r="FK885" s="3"/>
      <c r="FL885" s="3"/>
      <c r="FM885" s="3"/>
      <c r="FN885" s="3"/>
      <c r="FO885" s="3"/>
      <c r="FP885" s="3"/>
      <c r="FQ885" s="3"/>
      <c r="FR885" s="3"/>
      <c r="FS885" s="3"/>
      <c r="FT885" s="3"/>
      <c r="FU885" s="3"/>
      <c r="FV885" s="3"/>
      <c r="FW885" s="3"/>
      <c r="FX885" s="3"/>
      <c r="FY885" s="3"/>
    </row>
    <row r="886" spans="7:181" ht="15" x14ac:dyDescent="0.25">
      <c r="G886" s="2"/>
      <c r="H886" s="2"/>
      <c r="I886" s="2"/>
      <c r="J886" s="2"/>
      <c r="K886" s="2"/>
      <c r="L886" s="3"/>
      <c r="M886" s="3"/>
      <c r="N886" s="3"/>
      <c r="O886" s="3"/>
      <c r="P886" s="3"/>
      <c r="Q886" s="3"/>
      <c r="R886" s="3"/>
      <c r="S886" s="3"/>
      <c r="T886" s="3"/>
      <c r="U886" s="4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4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4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4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  <c r="DN886" s="3"/>
      <c r="DO886" s="3"/>
      <c r="DP886" s="3"/>
      <c r="DQ886" s="3"/>
      <c r="DR886" s="3"/>
      <c r="DS886" s="3"/>
      <c r="DT886" s="3"/>
      <c r="DU886" s="3"/>
      <c r="DV886" s="3"/>
      <c r="DW886" s="3"/>
      <c r="DX886" s="3"/>
      <c r="DY886" s="3"/>
      <c r="DZ886" s="3"/>
      <c r="EA886" s="3"/>
      <c r="EB886" s="3"/>
      <c r="EC886" s="3"/>
      <c r="ED886" s="3"/>
      <c r="EE886" s="3"/>
      <c r="EF886" s="3"/>
      <c r="EG886" s="3"/>
      <c r="EH886" s="3"/>
      <c r="EI886" s="3"/>
      <c r="EJ886" s="3"/>
      <c r="EK886" s="3"/>
      <c r="EL886" s="3"/>
      <c r="EM886" s="3"/>
      <c r="EN886" s="3"/>
      <c r="EO886" s="3"/>
      <c r="EP886" s="3"/>
      <c r="EQ886" s="3"/>
      <c r="ER886" s="3"/>
      <c r="ES886" s="3"/>
      <c r="ET886" s="3"/>
      <c r="EU886" s="3"/>
      <c r="EV886" s="3"/>
      <c r="EW886" s="3"/>
      <c r="EX886" s="3"/>
      <c r="EY886" s="3"/>
      <c r="EZ886" s="3"/>
      <c r="FA886" s="3"/>
      <c r="FB886" s="3"/>
      <c r="FC886" s="3"/>
      <c r="FD886" s="3"/>
      <c r="FE886" s="3"/>
      <c r="FF886" s="3"/>
      <c r="FG886" s="3"/>
      <c r="FH886" s="3"/>
      <c r="FI886" s="3"/>
      <c r="FJ886" s="3"/>
      <c r="FK886" s="3"/>
      <c r="FL886" s="3"/>
      <c r="FM886" s="3"/>
      <c r="FN886" s="3"/>
      <c r="FO886" s="3"/>
      <c r="FP886" s="3"/>
      <c r="FQ886" s="3"/>
      <c r="FR886" s="3"/>
      <c r="FS886" s="3"/>
      <c r="FT886" s="3"/>
      <c r="FU886" s="3"/>
      <c r="FV886" s="3"/>
      <c r="FW886" s="3"/>
      <c r="FX886" s="3"/>
      <c r="FY886" s="3"/>
    </row>
    <row r="887" spans="7:181" ht="15" x14ac:dyDescent="0.25">
      <c r="G887" s="2"/>
      <c r="H887" s="2"/>
      <c r="I887" s="2"/>
      <c r="J887" s="2"/>
      <c r="K887" s="2"/>
      <c r="L887" s="3"/>
      <c r="M887" s="3"/>
      <c r="N887" s="3"/>
      <c r="O887" s="3"/>
      <c r="P887" s="3"/>
      <c r="Q887" s="3"/>
      <c r="R887" s="3"/>
      <c r="S887" s="3"/>
      <c r="T887" s="3"/>
      <c r="U887" s="4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4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4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4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  <c r="DN887" s="3"/>
      <c r="DO887" s="3"/>
      <c r="DP887" s="3"/>
      <c r="DQ887" s="3"/>
      <c r="DR887" s="3"/>
      <c r="DS887" s="3"/>
      <c r="DT887" s="3"/>
      <c r="DU887" s="3"/>
      <c r="DV887" s="3"/>
      <c r="DW887" s="3"/>
      <c r="DX887" s="3"/>
      <c r="DY887" s="3"/>
      <c r="DZ887" s="3"/>
      <c r="EA887" s="3"/>
      <c r="EB887" s="3"/>
      <c r="EC887" s="3"/>
      <c r="ED887" s="3"/>
      <c r="EE887" s="3"/>
      <c r="EF887" s="3"/>
      <c r="EG887" s="3"/>
      <c r="EH887" s="3"/>
      <c r="EI887" s="3"/>
      <c r="EJ887" s="3"/>
      <c r="EK887" s="3"/>
      <c r="EL887" s="3"/>
      <c r="EM887" s="3"/>
      <c r="EN887" s="3"/>
      <c r="EO887" s="3"/>
      <c r="EP887" s="3"/>
      <c r="EQ887" s="3"/>
      <c r="ER887" s="3"/>
      <c r="ES887" s="3"/>
      <c r="ET887" s="3"/>
      <c r="EU887" s="3"/>
      <c r="EV887" s="3"/>
      <c r="EW887" s="3"/>
      <c r="EX887" s="3"/>
      <c r="EY887" s="3"/>
      <c r="EZ887" s="3"/>
      <c r="FA887" s="3"/>
      <c r="FB887" s="3"/>
      <c r="FC887" s="3"/>
      <c r="FD887" s="3"/>
      <c r="FE887" s="3"/>
      <c r="FF887" s="3"/>
      <c r="FG887" s="3"/>
      <c r="FH887" s="3"/>
      <c r="FI887" s="3"/>
      <c r="FJ887" s="3"/>
      <c r="FK887" s="3"/>
      <c r="FL887" s="3"/>
      <c r="FM887" s="3"/>
      <c r="FN887" s="3"/>
      <c r="FO887" s="3"/>
      <c r="FP887" s="3"/>
      <c r="FQ887" s="3"/>
      <c r="FR887" s="3"/>
      <c r="FS887" s="3"/>
      <c r="FT887" s="3"/>
      <c r="FU887" s="3"/>
      <c r="FV887" s="3"/>
      <c r="FW887" s="3"/>
      <c r="FX887" s="3"/>
      <c r="FY887" s="3"/>
    </row>
    <row r="888" spans="7:181" ht="15" x14ac:dyDescent="0.25">
      <c r="G888" s="2"/>
      <c r="H888" s="2"/>
      <c r="I888" s="2"/>
      <c r="J888" s="2"/>
      <c r="K888" s="2"/>
      <c r="L888" s="3"/>
      <c r="M888" s="3"/>
      <c r="N888" s="3"/>
      <c r="O888" s="3"/>
      <c r="P888" s="3"/>
      <c r="Q888" s="3"/>
      <c r="R888" s="3"/>
      <c r="S888" s="3"/>
      <c r="T888" s="3"/>
      <c r="U888" s="4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4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4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4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  <c r="DN888" s="3"/>
      <c r="DO888" s="3"/>
      <c r="DP888" s="3"/>
      <c r="DQ888" s="3"/>
      <c r="DR888" s="3"/>
      <c r="DS888" s="3"/>
      <c r="DT888" s="3"/>
      <c r="DU888" s="3"/>
      <c r="DV888" s="3"/>
      <c r="DW888" s="3"/>
      <c r="DX888" s="3"/>
      <c r="DY888" s="3"/>
      <c r="DZ888" s="3"/>
      <c r="EA888" s="3"/>
      <c r="EB888" s="3"/>
      <c r="EC888" s="3"/>
      <c r="ED888" s="3"/>
      <c r="EE888" s="3"/>
      <c r="EF888" s="3"/>
      <c r="EG888" s="3"/>
      <c r="EH888" s="3"/>
      <c r="EI888" s="3"/>
      <c r="EJ888" s="3"/>
      <c r="EK888" s="3"/>
      <c r="EL888" s="3"/>
      <c r="EM888" s="3"/>
      <c r="EN888" s="3"/>
      <c r="EO888" s="3"/>
      <c r="EP888" s="3"/>
      <c r="EQ888" s="3"/>
      <c r="ER888" s="3"/>
      <c r="ES888" s="3"/>
      <c r="ET888" s="3"/>
      <c r="EU888" s="3"/>
      <c r="EV888" s="3"/>
      <c r="EW888" s="3"/>
      <c r="EX888" s="3"/>
      <c r="EY888" s="3"/>
      <c r="EZ888" s="3"/>
      <c r="FA888" s="3"/>
      <c r="FB888" s="3"/>
      <c r="FC888" s="3"/>
      <c r="FD888" s="3"/>
      <c r="FE888" s="3"/>
      <c r="FF888" s="3"/>
      <c r="FG888" s="3"/>
      <c r="FH888" s="3"/>
      <c r="FI888" s="3"/>
      <c r="FJ888" s="3"/>
      <c r="FK888" s="3"/>
      <c r="FL888" s="3"/>
      <c r="FM888" s="3"/>
      <c r="FN888" s="3"/>
      <c r="FO888" s="3"/>
      <c r="FP888" s="3"/>
      <c r="FQ888" s="3"/>
      <c r="FR888" s="3"/>
      <c r="FS888" s="3"/>
      <c r="FT888" s="3"/>
      <c r="FU888" s="3"/>
      <c r="FV888" s="3"/>
      <c r="FW888" s="3"/>
      <c r="FX888" s="3"/>
      <c r="FY888" s="3"/>
    </row>
    <row r="889" spans="7:181" ht="15" x14ac:dyDescent="0.25">
      <c r="G889" s="2"/>
      <c r="H889" s="2"/>
      <c r="I889" s="2"/>
      <c r="J889" s="2"/>
      <c r="K889" s="2"/>
      <c r="L889" s="3"/>
      <c r="M889" s="3"/>
      <c r="N889" s="3"/>
      <c r="O889" s="3"/>
      <c r="P889" s="3"/>
      <c r="Q889" s="3"/>
      <c r="R889" s="3"/>
      <c r="S889" s="3"/>
      <c r="T889" s="3"/>
      <c r="U889" s="4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4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4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4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  <c r="DN889" s="3"/>
      <c r="DO889" s="3"/>
      <c r="DP889" s="3"/>
      <c r="DQ889" s="3"/>
      <c r="DR889" s="3"/>
      <c r="DS889" s="3"/>
      <c r="DT889" s="3"/>
      <c r="DU889" s="3"/>
      <c r="DV889" s="3"/>
      <c r="DW889" s="3"/>
      <c r="DX889" s="3"/>
      <c r="DY889" s="3"/>
      <c r="DZ889" s="3"/>
      <c r="EA889" s="3"/>
      <c r="EB889" s="3"/>
      <c r="EC889" s="3"/>
      <c r="ED889" s="3"/>
      <c r="EE889" s="3"/>
      <c r="EF889" s="3"/>
      <c r="EG889" s="3"/>
      <c r="EH889" s="3"/>
      <c r="EI889" s="3"/>
      <c r="EJ889" s="3"/>
      <c r="EK889" s="3"/>
      <c r="EL889" s="3"/>
      <c r="EM889" s="3"/>
      <c r="EN889" s="3"/>
      <c r="EO889" s="3"/>
      <c r="EP889" s="3"/>
      <c r="EQ889" s="3"/>
      <c r="ER889" s="3"/>
      <c r="ES889" s="3"/>
      <c r="ET889" s="3"/>
      <c r="EU889" s="3"/>
      <c r="EV889" s="3"/>
      <c r="EW889" s="3"/>
      <c r="EX889" s="3"/>
      <c r="EY889" s="3"/>
      <c r="EZ889" s="3"/>
      <c r="FA889" s="3"/>
      <c r="FB889" s="3"/>
      <c r="FC889" s="3"/>
      <c r="FD889" s="3"/>
      <c r="FE889" s="3"/>
      <c r="FF889" s="3"/>
      <c r="FG889" s="3"/>
      <c r="FH889" s="3"/>
      <c r="FI889" s="3"/>
      <c r="FJ889" s="3"/>
      <c r="FK889" s="3"/>
      <c r="FL889" s="3"/>
      <c r="FM889" s="3"/>
      <c r="FN889" s="3"/>
      <c r="FO889" s="3"/>
      <c r="FP889" s="3"/>
      <c r="FQ889" s="3"/>
      <c r="FR889" s="3"/>
      <c r="FS889" s="3"/>
      <c r="FT889" s="3"/>
      <c r="FU889" s="3"/>
      <c r="FV889" s="3"/>
      <c r="FW889" s="3"/>
      <c r="FX889" s="3"/>
      <c r="FY889" s="3"/>
    </row>
    <row r="890" spans="7:181" ht="15" x14ac:dyDescent="0.25">
      <c r="G890" s="2"/>
      <c r="H890" s="2"/>
      <c r="I890" s="2"/>
      <c r="J890" s="2"/>
      <c r="K890" s="2"/>
      <c r="L890" s="3"/>
      <c r="M890" s="3"/>
      <c r="N890" s="3"/>
      <c r="O890" s="3"/>
      <c r="P890" s="3"/>
      <c r="Q890" s="3"/>
      <c r="R890" s="3"/>
      <c r="S890" s="3"/>
      <c r="T890" s="3"/>
      <c r="U890" s="4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4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4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4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  <c r="DN890" s="3"/>
      <c r="DO890" s="3"/>
      <c r="DP890" s="3"/>
      <c r="DQ890" s="3"/>
      <c r="DR890" s="3"/>
      <c r="DS890" s="3"/>
      <c r="DT890" s="3"/>
      <c r="DU890" s="3"/>
      <c r="DV890" s="3"/>
      <c r="DW890" s="3"/>
      <c r="DX890" s="3"/>
      <c r="DY890" s="3"/>
      <c r="DZ890" s="3"/>
      <c r="EA890" s="3"/>
      <c r="EB890" s="3"/>
      <c r="EC890" s="3"/>
      <c r="ED890" s="3"/>
      <c r="EE890" s="3"/>
      <c r="EF890" s="3"/>
      <c r="EG890" s="3"/>
      <c r="EH890" s="3"/>
      <c r="EI890" s="3"/>
      <c r="EJ890" s="3"/>
      <c r="EK890" s="3"/>
      <c r="EL890" s="3"/>
      <c r="EM890" s="3"/>
      <c r="EN890" s="3"/>
      <c r="EO890" s="3"/>
      <c r="EP890" s="3"/>
      <c r="EQ890" s="3"/>
      <c r="ER890" s="3"/>
      <c r="ES890" s="3"/>
      <c r="ET890" s="3"/>
      <c r="EU890" s="3"/>
      <c r="EV890" s="3"/>
      <c r="EW890" s="3"/>
      <c r="EX890" s="3"/>
      <c r="EY890" s="3"/>
      <c r="EZ890" s="3"/>
      <c r="FA890" s="3"/>
      <c r="FB890" s="3"/>
      <c r="FC890" s="3"/>
      <c r="FD890" s="3"/>
      <c r="FE890" s="3"/>
      <c r="FF890" s="3"/>
      <c r="FG890" s="3"/>
      <c r="FH890" s="3"/>
      <c r="FI890" s="3"/>
      <c r="FJ890" s="3"/>
      <c r="FK890" s="3"/>
      <c r="FL890" s="3"/>
      <c r="FM890" s="3"/>
      <c r="FN890" s="3"/>
      <c r="FO890" s="3"/>
      <c r="FP890" s="3"/>
      <c r="FQ890" s="3"/>
      <c r="FR890" s="3"/>
      <c r="FS890" s="3"/>
      <c r="FT890" s="3"/>
      <c r="FU890" s="3"/>
      <c r="FV890" s="3"/>
      <c r="FW890" s="3"/>
      <c r="FX890" s="3"/>
      <c r="FY890" s="3"/>
    </row>
    <row r="891" spans="7:181" ht="15" x14ac:dyDescent="0.25">
      <c r="G891" s="2"/>
      <c r="H891" s="2"/>
      <c r="I891" s="2"/>
      <c r="J891" s="2"/>
      <c r="K891" s="2"/>
      <c r="L891" s="3"/>
      <c r="M891" s="3"/>
      <c r="N891" s="3"/>
      <c r="O891" s="3"/>
      <c r="P891" s="3"/>
      <c r="Q891" s="3"/>
      <c r="R891" s="3"/>
      <c r="S891" s="3"/>
      <c r="T891" s="3"/>
      <c r="U891" s="4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4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4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4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/>
      <c r="DX891" s="3"/>
      <c r="DY891" s="3"/>
      <c r="DZ891" s="3"/>
      <c r="EA891" s="3"/>
      <c r="EB891" s="3"/>
      <c r="EC891" s="3"/>
      <c r="ED891" s="3"/>
      <c r="EE891" s="3"/>
      <c r="EF891" s="3"/>
      <c r="EG891" s="3"/>
      <c r="EH891" s="3"/>
      <c r="EI891" s="3"/>
      <c r="EJ891" s="3"/>
      <c r="EK891" s="3"/>
      <c r="EL891" s="3"/>
      <c r="EM891" s="3"/>
      <c r="EN891" s="3"/>
      <c r="EO891" s="3"/>
      <c r="EP891" s="3"/>
      <c r="EQ891" s="3"/>
      <c r="ER891" s="3"/>
      <c r="ES891" s="3"/>
      <c r="ET891" s="3"/>
      <c r="EU891" s="3"/>
      <c r="EV891" s="3"/>
      <c r="EW891" s="3"/>
      <c r="EX891" s="3"/>
      <c r="EY891" s="3"/>
      <c r="EZ891" s="3"/>
      <c r="FA891" s="3"/>
      <c r="FB891" s="3"/>
      <c r="FC891" s="3"/>
      <c r="FD891" s="3"/>
      <c r="FE891" s="3"/>
      <c r="FF891" s="3"/>
      <c r="FG891" s="3"/>
      <c r="FH891" s="3"/>
      <c r="FI891" s="3"/>
      <c r="FJ891" s="3"/>
      <c r="FK891" s="3"/>
      <c r="FL891" s="3"/>
      <c r="FM891" s="3"/>
      <c r="FN891" s="3"/>
      <c r="FO891" s="3"/>
      <c r="FP891" s="3"/>
      <c r="FQ891" s="3"/>
      <c r="FR891" s="3"/>
      <c r="FS891" s="3"/>
      <c r="FT891" s="3"/>
      <c r="FU891" s="3"/>
      <c r="FV891" s="3"/>
      <c r="FW891" s="3"/>
      <c r="FX891" s="3"/>
      <c r="FY891" s="3"/>
    </row>
    <row r="892" spans="7:181" ht="15" x14ac:dyDescent="0.25">
      <c r="G892" s="2"/>
      <c r="H892" s="2"/>
      <c r="I892" s="2"/>
      <c r="J892" s="2"/>
      <c r="K892" s="2"/>
      <c r="L892" s="3"/>
      <c r="M892" s="3"/>
      <c r="N892" s="3"/>
      <c r="O892" s="3"/>
      <c r="P892" s="3"/>
      <c r="Q892" s="3"/>
      <c r="R892" s="3"/>
      <c r="S892" s="3"/>
      <c r="T892" s="3"/>
      <c r="U892" s="4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4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4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4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/>
      <c r="DX892" s="3"/>
      <c r="DY892" s="3"/>
      <c r="DZ892" s="3"/>
      <c r="EA892" s="3"/>
      <c r="EB892" s="3"/>
      <c r="EC892" s="3"/>
      <c r="ED892" s="3"/>
      <c r="EE892" s="3"/>
      <c r="EF892" s="3"/>
      <c r="EG892" s="3"/>
      <c r="EH892" s="3"/>
      <c r="EI892" s="3"/>
      <c r="EJ892" s="3"/>
      <c r="EK892" s="3"/>
      <c r="EL892" s="3"/>
      <c r="EM892" s="3"/>
      <c r="EN892" s="3"/>
      <c r="EO892" s="3"/>
      <c r="EP892" s="3"/>
      <c r="EQ892" s="3"/>
      <c r="ER892" s="3"/>
      <c r="ES892" s="3"/>
      <c r="ET892" s="3"/>
      <c r="EU892" s="3"/>
      <c r="EV892" s="3"/>
      <c r="EW892" s="3"/>
      <c r="EX892" s="3"/>
      <c r="EY892" s="3"/>
      <c r="EZ892" s="3"/>
      <c r="FA892" s="3"/>
      <c r="FB892" s="3"/>
      <c r="FC892" s="3"/>
      <c r="FD892" s="3"/>
      <c r="FE892" s="3"/>
      <c r="FF892" s="3"/>
      <c r="FG892" s="3"/>
      <c r="FH892" s="3"/>
      <c r="FI892" s="3"/>
      <c r="FJ892" s="3"/>
      <c r="FK892" s="3"/>
      <c r="FL892" s="3"/>
      <c r="FM892" s="3"/>
      <c r="FN892" s="3"/>
      <c r="FO892" s="3"/>
      <c r="FP892" s="3"/>
      <c r="FQ892" s="3"/>
      <c r="FR892" s="3"/>
      <c r="FS892" s="3"/>
      <c r="FT892" s="3"/>
      <c r="FU892" s="3"/>
      <c r="FV892" s="3"/>
      <c r="FW892" s="3"/>
      <c r="FX892" s="3"/>
      <c r="FY892" s="3"/>
    </row>
    <row r="893" spans="7:181" ht="15" x14ac:dyDescent="0.25">
      <c r="G893" s="2"/>
      <c r="H893" s="2"/>
      <c r="I893" s="2"/>
      <c r="J893" s="2"/>
      <c r="K893" s="2"/>
      <c r="L893" s="3"/>
      <c r="M893" s="3"/>
      <c r="N893" s="3"/>
      <c r="O893" s="3"/>
      <c r="P893" s="3"/>
      <c r="Q893" s="3"/>
      <c r="R893" s="3"/>
      <c r="S893" s="3"/>
      <c r="T893" s="3"/>
      <c r="U893" s="4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4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4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4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  <c r="DN893" s="3"/>
      <c r="DO893" s="3"/>
      <c r="DP893" s="3"/>
      <c r="DQ893" s="3"/>
      <c r="DR893" s="3"/>
      <c r="DS893" s="3"/>
      <c r="DT893" s="3"/>
      <c r="DU893" s="3"/>
      <c r="DV893" s="3"/>
      <c r="DW893" s="3"/>
      <c r="DX893" s="3"/>
      <c r="DY893" s="3"/>
      <c r="DZ893" s="3"/>
      <c r="EA893" s="3"/>
      <c r="EB893" s="3"/>
      <c r="EC893" s="3"/>
      <c r="ED893" s="3"/>
      <c r="EE893" s="3"/>
      <c r="EF893" s="3"/>
      <c r="EG893" s="3"/>
      <c r="EH893" s="3"/>
      <c r="EI893" s="3"/>
      <c r="EJ893" s="3"/>
      <c r="EK893" s="3"/>
      <c r="EL893" s="3"/>
      <c r="EM893" s="3"/>
      <c r="EN893" s="3"/>
      <c r="EO893" s="3"/>
      <c r="EP893" s="3"/>
      <c r="EQ893" s="3"/>
      <c r="ER893" s="3"/>
      <c r="ES893" s="3"/>
      <c r="ET893" s="3"/>
      <c r="EU893" s="3"/>
      <c r="EV893" s="3"/>
      <c r="EW893" s="3"/>
      <c r="EX893" s="3"/>
      <c r="EY893" s="3"/>
      <c r="EZ893" s="3"/>
      <c r="FA893" s="3"/>
      <c r="FB893" s="3"/>
      <c r="FC893" s="3"/>
      <c r="FD893" s="3"/>
      <c r="FE893" s="3"/>
      <c r="FF893" s="3"/>
      <c r="FG893" s="3"/>
      <c r="FH893" s="3"/>
      <c r="FI893" s="3"/>
      <c r="FJ893" s="3"/>
      <c r="FK893" s="3"/>
      <c r="FL893" s="3"/>
      <c r="FM893" s="3"/>
      <c r="FN893" s="3"/>
      <c r="FO893" s="3"/>
      <c r="FP893" s="3"/>
      <c r="FQ893" s="3"/>
      <c r="FR893" s="3"/>
      <c r="FS893" s="3"/>
      <c r="FT893" s="3"/>
      <c r="FU893" s="3"/>
      <c r="FV893" s="3"/>
      <c r="FW893" s="3"/>
      <c r="FX893" s="3"/>
      <c r="FY893" s="3"/>
    </row>
    <row r="894" spans="7:181" ht="15" x14ac:dyDescent="0.25">
      <c r="G894" s="2"/>
      <c r="H894" s="2"/>
      <c r="I894" s="2"/>
      <c r="J894" s="2"/>
      <c r="K894" s="2"/>
      <c r="L894" s="3"/>
      <c r="M894" s="3"/>
      <c r="N894" s="3"/>
      <c r="O894" s="3"/>
      <c r="P894" s="3"/>
      <c r="Q894" s="3"/>
      <c r="R894" s="3"/>
      <c r="S894" s="3"/>
      <c r="T894" s="3"/>
      <c r="U894" s="4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4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4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4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  <c r="DN894" s="3"/>
      <c r="DO894" s="3"/>
      <c r="DP894" s="3"/>
      <c r="DQ894" s="3"/>
      <c r="DR894" s="3"/>
      <c r="DS894" s="3"/>
      <c r="DT894" s="3"/>
      <c r="DU894" s="3"/>
      <c r="DV894" s="3"/>
      <c r="DW894" s="3"/>
      <c r="DX894" s="3"/>
      <c r="DY894" s="3"/>
      <c r="DZ894" s="3"/>
      <c r="EA894" s="3"/>
      <c r="EB894" s="3"/>
      <c r="EC894" s="3"/>
      <c r="ED894" s="3"/>
      <c r="EE894" s="3"/>
      <c r="EF894" s="3"/>
      <c r="EG894" s="3"/>
      <c r="EH894" s="3"/>
      <c r="EI894" s="3"/>
      <c r="EJ894" s="3"/>
      <c r="EK894" s="3"/>
      <c r="EL894" s="3"/>
      <c r="EM894" s="3"/>
      <c r="EN894" s="3"/>
      <c r="EO894" s="3"/>
      <c r="EP894" s="3"/>
      <c r="EQ894" s="3"/>
      <c r="ER894" s="3"/>
      <c r="ES894" s="3"/>
      <c r="ET894" s="3"/>
      <c r="EU894" s="3"/>
      <c r="EV894" s="3"/>
      <c r="EW894" s="3"/>
      <c r="EX894" s="3"/>
      <c r="EY894" s="3"/>
      <c r="EZ894" s="3"/>
      <c r="FA894" s="3"/>
      <c r="FB894" s="3"/>
      <c r="FC894" s="3"/>
      <c r="FD894" s="3"/>
      <c r="FE894" s="3"/>
      <c r="FF894" s="3"/>
      <c r="FG894" s="3"/>
      <c r="FH894" s="3"/>
      <c r="FI894" s="3"/>
      <c r="FJ894" s="3"/>
      <c r="FK894" s="3"/>
      <c r="FL894" s="3"/>
      <c r="FM894" s="3"/>
      <c r="FN894" s="3"/>
      <c r="FO894" s="3"/>
      <c r="FP894" s="3"/>
      <c r="FQ894" s="3"/>
      <c r="FR894" s="3"/>
      <c r="FS894" s="3"/>
      <c r="FT894" s="3"/>
      <c r="FU894" s="3"/>
      <c r="FV894" s="3"/>
      <c r="FW894" s="3"/>
      <c r="FX894" s="3"/>
      <c r="FY894" s="3"/>
    </row>
    <row r="895" spans="7:181" ht="15" x14ac:dyDescent="0.25">
      <c r="G895" s="2"/>
      <c r="H895" s="2"/>
      <c r="I895" s="2"/>
      <c r="J895" s="2"/>
      <c r="K895" s="2"/>
      <c r="L895" s="3"/>
      <c r="M895" s="3"/>
      <c r="N895" s="3"/>
      <c r="O895" s="3"/>
      <c r="P895" s="3"/>
      <c r="Q895" s="3"/>
      <c r="R895" s="3"/>
      <c r="S895" s="3"/>
      <c r="T895" s="3"/>
      <c r="U895" s="4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4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4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4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  <c r="DN895" s="3"/>
      <c r="DO895" s="3"/>
      <c r="DP895" s="3"/>
      <c r="DQ895" s="3"/>
      <c r="DR895" s="3"/>
      <c r="DS895" s="3"/>
      <c r="DT895" s="3"/>
      <c r="DU895" s="3"/>
      <c r="DV895" s="3"/>
      <c r="DW895" s="3"/>
      <c r="DX895" s="3"/>
      <c r="DY895" s="3"/>
      <c r="DZ895" s="3"/>
      <c r="EA895" s="3"/>
      <c r="EB895" s="3"/>
      <c r="EC895" s="3"/>
      <c r="ED895" s="3"/>
      <c r="EE895" s="3"/>
      <c r="EF895" s="3"/>
      <c r="EG895" s="3"/>
      <c r="EH895" s="3"/>
      <c r="EI895" s="3"/>
      <c r="EJ895" s="3"/>
      <c r="EK895" s="3"/>
      <c r="EL895" s="3"/>
      <c r="EM895" s="3"/>
      <c r="EN895" s="3"/>
      <c r="EO895" s="3"/>
      <c r="EP895" s="3"/>
      <c r="EQ895" s="3"/>
      <c r="ER895" s="3"/>
      <c r="ES895" s="3"/>
      <c r="ET895" s="3"/>
      <c r="EU895" s="3"/>
      <c r="EV895" s="3"/>
      <c r="EW895" s="3"/>
      <c r="EX895" s="3"/>
      <c r="EY895" s="3"/>
      <c r="EZ895" s="3"/>
      <c r="FA895" s="3"/>
      <c r="FB895" s="3"/>
      <c r="FC895" s="3"/>
      <c r="FD895" s="3"/>
      <c r="FE895" s="3"/>
      <c r="FF895" s="3"/>
      <c r="FG895" s="3"/>
      <c r="FH895" s="3"/>
      <c r="FI895" s="3"/>
      <c r="FJ895" s="3"/>
      <c r="FK895" s="3"/>
      <c r="FL895" s="3"/>
      <c r="FM895" s="3"/>
      <c r="FN895" s="3"/>
      <c r="FO895" s="3"/>
      <c r="FP895" s="3"/>
      <c r="FQ895" s="3"/>
      <c r="FR895" s="3"/>
      <c r="FS895" s="3"/>
      <c r="FT895" s="3"/>
      <c r="FU895" s="3"/>
      <c r="FV895" s="3"/>
      <c r="FW895" s="3"/>
      <c r="FX895" s="3"/>
      <c r="FY895" s="3"/>
    </row>
    <row r="896" spans="7:181" ht="15" x14ac:dyDescent="0.25">
      <c r="G896" s="2"/>
      <c r="H896" s="2"/>
      <c r="I896" s="2"/>
      <c r="J896" s="2"/>
      <c r="K896" s="2"/>
      <c r="L896" s="3"/>
      <c r="M896" s="3"/>
      <c r="N896" s="3"/>
      <c r="O896" s="3"/>
      <c r="P896" s="3"/>
      <c r="Q896" s="3"/>
      <c r="R896" s="3"/>
      <c r="S896" s="3"/>
      <c r="T896" s="3"/>
      <c r="U896" s="4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4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4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4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  <c r="DN896" s="3"/>
      <c r="DO896" s="3"/>
      <c r="DP896" s="3"/>
      <c r="DQ896" s="3"/>
      <c r="DR896" s="3"/>
      <c r="DS896" s="3"/>
      <c r="DT896" s="3"/>
      <c r="DU896" s="3"/>
      <c r="DV896" s="3"/>
      <c r="DW896" s="3"/>
      <c r="DX896" s="3"/>
      <c r="DY896" s="3"/>
      <c r="DZ896" s="3"/>
      <c r="EA896" s="3"/>
      <c r="EB896" s="3"/>
      <c r="EC896" s="3"/>
      <c r="ED896" s="3"/>
      <c r="EE896" s="3"/>
      <c r="EF896" s="3"/>
      <c r="EG896" s="3"/>
      <c r="EH896" s="3"/>
      <c r="EI896" s="3"/>
      <c r="EJ896" s="3"/>
      <c r="EK896" s="3"/>
      <c r="EL896" s="3"/>
      <c r="EM896" s="3"/>
      <c r="EN896" s="3"/>
      <c r="EO896" s="3"/>
      <c r="EP896" s="3"/>
      <c r="EQ896" s="3"/>
      <c r="ER896" s="3"/>
      <c r="ES896" s="3"/>
      <c r="ET896" s="3"/>
      <c r="EU896" s="3"/>
      <c r="EV896" s="3"/>
      <c r="EW896" s="3"/>
      <c r="EX896" s="3"/>
      <c r="EY896" s="3"/>
      <c r="EZ896" s="3"/>
      <c r="FA896" s="3"/>
      <c r="FB896" s="3"/>
      <c r="FC896" s="3"/>
      <c r="FD896" s="3"/>
      <c r="FE896" s="3"/>
      <c r="FF896" s="3"/>
      <c r="FG896" s="3"/>
      <c r="FH896" s="3"/>
      <c r="FI896" s="3"/>
      <c r="FJ896" s="3"/>
      <c r="FK896" s="3"/>
      <c r="FL896" s="3"/>
      <c r="FM896" s="3"/>
      <c r="FN896" s="3"/>
      <c r="FO896" s="3"/>
      <c r="FP896" s="3"/>
      <c r="FQ896" s="3"/>
      <c r="FR896" s="3"/>
      <c r="FS896" s="3"/>
      <c r="FT896" s="3"/>
      <c r="FU896" s="3"/>
      <c r="FV896" s="3"/>
      <c r="FW896" s="3"/>
      <c r="FX896" s="3"/>
      <c r="FY896" s="3"/>
    </row>
    <row r="897" spans="7:181" ht="15" x14ac:dyDescent="0.25">
      <c r="G897" s="2"/>
      <c r="H897" s="2"/>
      <c r="I897" s="2"/>
      <c r="J897" s="2"/>
      <c r="K897" s="2"/>
      <c r="L897" s="3"/>
      <c r="M897" s="3"/>
      <c r="N897" s="3"/>
      <c r="O897" s="3"/>
      <c r="P897" s="3"/>
      <c r="Q897" s="3"/>
      <c r="R897" s="3"/>
      <c r="S897" s="3"/>
      <c r="T897" s="3"/>
      <c r="U897" s="4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4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4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4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  <c r="DN897" s="3"/>
      <c r="DO897" s="3"/>
      <c r="DP897" s="3"/>
      <c r="DQ897" s="3"/>
      <c r="DR897" s="3"/>
      <c r="DS897" s="3"/>
      <c r="DT897" s="3"/>
      <c r="DU897" s="3"/>
      <c r="DV897" s="3"/>
      <c r="DW897" s="3"/>
      <c r="DX897" s="3"/>
      <c r="DY897" s="3"/>
      <c r="DZ897" s="3"/>
      <c r="EA897" s="3"/>
      <c r="EB897" s="3"/>
      <c r="EC897" s="3"/>
      <c r="ED897" s="3"/>
      <c r="EE897" s="3"/>
      <c r="EF897" s="3"/>
      <c r="EG897" s="3"/>
      <c r="EH897" s="3"/>
      <c r="EI897" s="3"/>
      <c r="EJ897" s="3"/>
      <c r="EK897" s="3"/>
      <c r="EL897" s="3"/>
      <c r="EM897" s="3"/>
      <c r="EN897" s="3"/>
      <c r="EO897" s="3"/>
      <c r="EP897" s="3"/>
      <c r="EQ897" s="3"/>
      <c r="ER897" s="3"/>
      <c r="ES897" s="3"/>
      <c r="ET897" s="3"/>
      <c r="EU897" s="3"/>
      <c r="EV897" s="3"/>
      <c r="EW897" s="3"/>
      <c r="EX897" s="3"/>
      <c r="EY897" s="3"/>
      <c r="EZ897" s="3"/>
      <c r="FA897" s="3"/>
      <c r="FB897" s="3"/>
      <c r="FC897" s="3"/>
      <c r="FD897" s="3"/>
      <c r="FE897" s="3"/>
      <c r="FF897" s="3"/>
      <c r="FG897" s="3"/>
      <c r="FH897" s="3"/>
      <c r="FI897" s="3"/>
      <c r="FJ897" s="3"/>
      <c r="FK897" s="3"/>
      <c r="FL897" s="3"/>
      <c r="FM897" s="3"/>
      <c r="FN897" s="3"/>
      <c r="FO897" s="3"/>
      <c r="FP897" s="3"/>
      <c r="FQ897" s="3"/>
      <c r="FR897" s="3"/>
      <c r="FS897" s="3"/>
      <c r="FT897" s="3"/>
      <c r="FU897" s="3"/>
      <c r="FV897" s="3"/>
      <c r="FW897" s="3"/>
      <c r="FX897" s="3"/>
      <c r="FY897" s="3"/>
    </row>
    <row r="898" spans="7:181" ht="15" x14ac:dyDescent="0.25">
      <c r="G898" s="2"/>
      <c r="H898" s="2"/>
      <c r="I898" s="2"/>
      <c r="J898" s="2"/>
      <c r="K898" s="2"/>
      <c r="L898" s="3"/>
      <c r="M898" s="3"/>
      <c r="N898" s="3"/>
      <c r="O898" s="3"/>
      <c r="P898" s="3"/>
      <c r="Q898" s="3"/>
      <c r="R898" s="3"/>
      <c r="S898" s="3"/>
      <c r="T898" s="3"/>
      <c r="U898" s="4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4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4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4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  <c r="DN898" s="3"/>
      <c r="DO898" s="3"/>
      <c r="DP898" s="3"/>
      <c r="DQ898" s="3"/>
      <c r="DR898" s="3"/>
      <c r="DS898" s="3"/>
      <c r="DT898" s="3"/>
      <c r="DU898" s="3"/>
      <c r="DV898" s="3"/>
      <c r="DW898" s="3"/>
      <c r="DX898" s="3"/>
      <c r="DY898" s="3"/>
      <c r="DZ898" s="3"/>
      <c r="EA898" s="3"/>
      <c r="EB898" s="3"/>
      <c r="EC898" s="3"/>
      <c r="ED898" s="3"/>
      <c r="EE898" s="3"/>
      <c r="EF898" s="3"/>
      <c r="EG898" s="3"/>
      <c r="EH898" s="3"/>
      <c r="EI898" s="3"/>
      <c r="EJ898" s="3"/>
      <c r="EK898" s="3"/>
      <c r="EL898" s="3"/>
      <c r="EM898" s="3"/>
      <c r="EN898" s="3"/>
      <c r="EO898" s="3"/>
      <c r="EP898" s="3"/>
      <c r="EQ898" s="3"/>
      <c r="ER898" s="3"/>
      <c r="ES898" s="3"/>
      <c r="ET898" s="3"/>
      <c r="EU898" s="3"/>
      <c r="EV898" s="3"/>
      <c r="EW898" s="3"/>
      <c r="EX898" s="3"/>
      <c r="EY898" s="3"/>
      <c r="EZ898" s="3"/>
      <c r="FA898" s="3"/>
      <c r="FB898" s="3"/>
      <c r="FC898" s="3"/>
      <c r="FD898" s="3"/>
      <c r="FE898" s="3"/>
      <c r="FF898" s="3"/>
      <c r="FG898" s="3"/>
      <c r="FH898" s="3"/>
      <c r="FI898" s="3"/>
      <c r="FJ898" s="3"/>
      <c r="FK898" s="3"/>
      <c r="FL898" s="3"/>
      <c r="FM898" s="3"/>
      <c r="FN898" s="3"/>
      <c r="FO898" s="3"/>
      <c r="FP898" s="3"/>
      <c r="FQ898" s="3"/>
      <c r="FR898" s="3"/>
      <c r="FS898" s="3"/>
      <c r="FT898" s="3"/>
      <c r="FU898" s="3"/>
      <c r="FV898" s="3"/>
      <c r="FW898" s="3"/>
      <c r="FX898" s="3"/>
      <c r="FY898" s="3"/>
    </row>
    <row r="899" spans="7:181" ht="15" x14ac:dyDescent="0.25">
      <c r="G899" s="2"/>
      <c r="H899" s="2"/>
      <c r="I899" s="2"/>
      <c r="J899" s="2"/>
      <c r="K899" s="2"/>
      <c r="L899" s="3"/>
      <c r="M899" s="3"/>
      <c r="N899" s="3"/>
      <c r="O899" s="3"/>
      <c r="P899" s="3"/>
      <c r="Q899" s="3"/>
      <c r="R899" s="3"/>
      <c r="S899" s="3"/>
      <c r="T899" s="3"/>
      <c r="U899" s="4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4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4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4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  <c r="DN899" s="3"/>
      <c r="DO899" s="3"/>
      <c r="DP899" s="3"/>
      <c r="DQ899" s="3"/>
      <c r="DR899" s="3"/>
      <c r="DS899" s="3"/>
      <c r="DT899" s="3"/>
      <c r="DU899" s="3"/>
      <c r="DV899" s="3"/>
      <c r="DW899" s="3"/>
      <c r="DX899" s="3"/>
      <c r="DY899" s="3"/>
      <c r="DZ899" s="3"/>
      <c r="EA899" s="3"/>
      <c r="EB899" s="3"/>
      <c r="EC899" s="3"/>
      <c r="ED899" s="3"/>
      <c r="EE899" s="3"/>
      <c r="EF899" s="3"/>
      <c r="EG899" s="3"/>
      <c r="EH899" s="3"/>
      <c r="EI899" s="3"/>
      <c r="EJ899" s="3"/>
      <c r="EK899" s="3"/>
      <c r="EL899" s="3"/>
      <c r="EM899" s="3"/>
      <c r="EN899" s="3"/>
      <c r="EO899" s="3"/>
      <c r="EP899" s="3"/>
      <c r="EQ899" s="3"/>
      <c r="ER899" s="3"/>
      <c r="ES899" s="3"/>
      <c r="ET899" s="3"/>
      <c r="EU899" s="3"/>
      <c r="EV899" s="3"/>
      <c r="EW899" s="3"/>
      <c r="EX899" s="3"/>
      <c r="EY899" s="3"/>
      <c r="EZ899" s="3"/>
      <c r="FA899" s="3"/>
      <c r="FB899" s="3"/>
      <c r="FC899" s="3"/>
      <c r="FD899" s="3"/>
      <c r="FE899" s="3"/>
      <c r="FF899" s="3"/>
      <c r="FG899" s="3"/>
      <c r="FH899" s="3"/>
      <c r="FI899" s="3"/>
      <c r="FJ899" s="3"/>
      <c r="FK899" s="3"/>
      <c r="FL899" s="3"/>
      <c r="FM899" s="3"/>
      <c r="FN899" s="3"/>
      <c r="FO899" s="3"/>
      <c r="FP899" s="3"/>
      <c r="FQ899" s="3"/>
      <c r="FR899" s="3"/>
      <c r="FS899" s="3"/>
      <c r="FT899" s="3"/>
      <c r="FU899" s="3"/>
      <c r="FV899" s="3"/>
      <c r="FW899" s="3"/>
      <c r="FX899" s="3"/>
      <c r="FY899" s="3"/>
    </row>
    <row r="900" spans="7:181" ht="15" x14ac:dyDescent="0.25">
      <c r="G900" s="2"/>
      <c r="H900" s="2"/>
      <c r="I900" s="2"/>
      <c r="J900" s="2"/>
      <c r="K900" s="2"/>
      <c r="L900" s="3"/>
      <c r="M900" s="3"/>
      <c r="N900" s="3"/>
      <c r="O900" s="3"/>
      <c r="P900" s="3"/>
      <c r="Q900" s="3"/>
      <c r="R900" s="3"/>
      <c r="S900" s="3"/>
      <c r="T900" s="3"/>
      <c r="U900" s="4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4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4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4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  <c r="DN900" s="3"/>
      <c r="DO900" s="3"/>
      <c r="DP900" s="3"/>
      <c r="DQ900" s="3"/>
      <c r="DR900" s="3"/>
      <c r="DS900" s="3"/>
      <c r="DT900" s="3"/>
      <c r="DU900" s="3"/>
      <c r="DV900" s="3"/>
      <c r="DW900" s="3"/>
      <c r="DX900" s="3"/>
      <c r="DY900" s="3"/>
      <c r="DZ900" s="3"/>
      <c r="EA900" s="3"/>
      <c r="EB900" s="3"/>
      <c r="EC900" s="3"/>
      <c r="ED900" s="3"/>
      <c r="EE900" s="3"/>
      <c r="EF900" s="3"/>
      <c r="EG900" s="3"/>
      <c r="EH900" s="3"/>
      <c r="EI900" s="3"/>
      <c r="EJ900" s="3"/>
      <c r="EK900" s="3"/>
      <c r="EL900" s="3"/>
      <c r="EM900" s="3"/>
      <c r="EN900" s="3"/>
      <c r="EO900" s="3"/>
      <c r="EP900" s="3"/>
      <c r="EQ900" s="3"/>
      <c r="ER900" s="3"/>
      <c r="ES900" s="3"/>
      <c r="ET900" s="3"/>
      <c r="EU900" s="3"/>
      <c r="EV900" s="3"/>
      <c r="EW900" s="3"/>
      <c r="EX900" s="3"/>
      <c r="EY900" s="3"/>
      <c r="EZ900" s="3"/>
      <c r="FA900" s="3"/>
      <c r="FB900" s="3"/>
      <c r="FC900" s="3"/>
      <c r="FD900" s="3"/>
      <c r="FE900" s="3"/>
      <c r="FF900" s="3"/>
      <c r="FG900" s="3"/>
      <c r="FH900" s="3"/>
      <c r="FI900" s="3"/>
      <c r="FJ900" s="3"/>
      <c r="FK900" s="3"/>
      <c r="FL900" s="3"/>
      <c r="FM900" s="3"/>
      <c r="FN900" s="3"/>
      <c r="FO900" s="3"/>
      <c r="FP900" s="3"/>
      <c r="FQ900" s="3"/>
      <c r="FR900" s="3"/>
      <c r="FS900" s="3"/>
      <c r="FT900" s="3"/>
      <c r="FU900" s="3"/>
      <c r="FV900" s="3"/>
      <c r="FW900" s="3"/>
      <c r="FX900" s="3"/>
      <c r="FY900" s="3"/>
    </row>
    <row r="901" spans="7:181" ht="15" x14ac:dyDescent="0.25">
      <c r="G901" s="2"/>
      <c r="H901" s="2"/>
      <c r="I901" s="2"/>
      <c r="J901" s="2"/>
      <c r="K901" s="2"/>
      <c r="L901" s="3"/>
      <c r="M901" s="3"/>
      <c r="N901" s="3"/>
      <c r="O901" s="3"/>
      <c r="P901" s="3"/>
      <c r="Q901" s="3"/>
      <c r="R901" s="3"/>
      <c r="S901" s="3"/>
      <c r="T901" s="3"/>
      <c r="U901" s="4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4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4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4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  <c r="DN901" s="3"/>
      <c r="DO901" s="3"/>
      <c r="DP901" s="3"/>
      <c r="DQ901" s="3"/>
      <c r="DR901" s="3"/>
      <c r="DS901" s="3"/>
      <c r="DT901" s="3"/>
      <c r="DU901" s="3"/>
      <c r="DV901" s="3"/>
      <c r="DW901" s="3"/>
      <c r="DX901" s="3"/>
      <c r="DY901" s="3"/>
      <c r="DZ901" s="3"/>
      <c r="EA901" s="3"/>
      <c r="EB901" s="3"/>
      <c r="EC901" s="3"/>
      <c r="ED901" s="3"/>
      <c r="EE901" s="3"/>
      <c r="EF901" s="3"/>
      <c r="EG901" s="3"/>
      <c r="EH901" s="3"/>
      <c r="EI901" s="3"/>
      <c r="EJ901" s="3"/>
      <c r="EK901" s="3"/>
      <c r="EL901" s="3"/>
      <c r="EM901" s="3"/>
      <c r="EN901" s="3"/>
      <c r="EO901" s="3"/>
      <c r="EP901" s="3"/>
      <c r="EQ901" s="3"/>
      <c r="ER901" s="3"/>
      <c r="ES901" s="3"/>
      <c r="ET901" s="3"/>
      <c r="EU901" s="3"/>
      <c r="EV901" s="3"/>
      <c r="EW901" s="3"/>
      <c r="EX901" s="3"/>
      <c r="EY901" s="3"/>
      <c r="EZ901" s="3"/>
      <c r="FA901" s="3"/>
      <c r="FB901" s="3"/>
      <c r="FC901" s="3"/>
      <c r="FD901" s="3"/>
      <c r="FE901" s="3"/>
      <c r="FF901" s="3"/>
      <c r="FG901" s="3"/>
      <c r="FH901" s="3"/>
      <c r="FI901" s="3"/>
      <c r="FJ901" s="3"/>
      <c r="FK901" s="3"/>
      <c r="FL901" s="3"/>
      <c r="FM901" s="3"/>
      <c r="FN901" s="3"/>
      <c r="FO901" s="3"/>
      <c r="FP901" s="3"/>
      <c r="FQ901" s="3"/>
      <c r="FR901" s="3"/>
      <c r="FS901" s="3"/>
      <c r="FT901" s="3"/>
      <c r="FU901" s="3"/>
      <c r="FV901" s="3"/>
      <c r="FW901" s="3"/>
      <c r="FX901" s="3"/>
      <c r="FY901" s="3"/>
    </row>
    <row r="902" spans="7:181" ht="15" x14ac:dyDescent="0.25">
      <c r="G902" s="2"/>
      <c r="H902" s="2"/>
      <c r="I902" s="2"/>
      <c r="J902" s="2"/>
      <c r="K902" s="2"/>
      <c r="L902" s="3"/>
      <c r="M902" s="3"/>
      <c r="N902" s="3"/>
      <c r="O902" s="3"/>
      <c r="P902" s="3"/>
      <c r="Q902" s="3"/>
      <c r="R902" s="3"/>
      <c r="S902" s="3"/>
      <c r="T902" s="3"/>
      <c r="U902" s="4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4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4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4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  <c r="DP902" s="3"/>
      <c r="DQ902" s="3"/>
      <c r="DR902" s="3"/>
      <c r="DS902" s="3"/>
      <c r="DT902" s="3"/>
      <c r="DU902" s="3"/>
      <c r="DV902" s="3"/>
      <c r="DW902" s="3"/>
      <c r="DX902" s="3"/>
      <c r="DY902" s="3"/>
      <c r="DZ902" s="3"/>
      <c r="EA902" s="3"/>
      <c r="EB902" s="3"/>
      <c r="EC902" s="3"/>
      <c r="ED902" s="3"/>
      <c r="EE902" s="3"/>
      <c r="EF902" s="3"/>
      <c r="EG902" s="3"/>
      <c r="EH902" s="3"/>
      <c r="EI902" s="3"/>
      <c r="EJ902" s="3"/>
      <c r="EK902" s="3"/>
      <c r="EL902" s="3"/>
      <c r="EM902" s="3"/>
      <c r="EN902" s="3"/>
      <c r="EO902" s="3"/>
      <c r="EP902" s="3"/>
      <c r="EQ902" s="3"/>
      <c r="ER902" s="3"/>
      <c r="ES902" s="3"/>
      <c r="ET902" s="3"/>
      <c r="EU902" s="3"/>
      <c r="EV902" s="3"/>
      <c r="EW902" s="3"/>
      <c r="EX902" s="3"/>
      <c r="EY902" s="3"/>
      <c r="EZ902" s="3"/>
      <c r="FA902" s="3"/>
      <c r="FB902" s="3"/>
      <c r="FC902" s="3"/>
      <c r="FD902" s="3"/>
      <c r="FE902" s="3"/>
      <c r="FF902" s="3"/>
      <c r="FG902" s="3"/>
      <c r="FH902" s="3"/>
      <c r="FI902" s="3"/>
      <c r="FJ902" s="3"/>
      <c r="FK902" s="3"/>
      <c r="FL902" s="3"/>
      <c r="FM902" s="3"/>
      <c r="FN902" s="3"/>
      <c r="FO902" s="3"/>
      <c r="FP902" s="3"/>
      <c r="FQ902" s="3"/>
      <c r="FR902" s="3"/>
      <c r="FS902" s="3"/>
      <c r="FT902" s="3"/>
      <c r="FU902" s="3"/>
      <c r="FV902" s="3"/>
      <c r="FW902" s="3"/>
      <c r="FX902" s="3"/>
      <c r="FY902" s="3"/>
    </row>
    <row r="903" spans="7:181" ht="15" x14ac:dyDescent="0.25">
      <c r="G903" s="2"/>
      <c r="H903" s="2"/>
      <c r="I903" s="2"/>
      <c r="J903" s="2"/>
      <c r="K903" s="2"/>
      <c r="L903" s="3"/>
      <c r="M903" s="3"/>
      <c r="N903" s="3"/>
      <c r="O903" s="3"/>
      <c r="P903" s="3"/>
      <c r="Q903" s="3"/>
      <c r="R903" s="3"/>
      <c r="S903" s="3"/>
      <c r="T903" s="3"/>
      <c r="U903" s="4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4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4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4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  <c r="DP903" s="3"/>
      <c r="DQ903" s="3"/>
      <c r="DR903" s="3"/>
      <c r="DS903" s="3"/>
      <c r="DT903" s="3"/>
      <c r="DU903" s="3"/>
      <c r="DV903" s="3"/>
      <c r="DW903" s="3"/>
      <c r="DX903" s="3"/>
      <c r="DY903" s="3"/>
      <c r="DZ903" s="3"/>
      <c r="EA903" s="3"/>
      <c r="EB903" s="3"/>
      <c r="EC903" s="3"/>
      <c r="ED903" s="3"/>
      <c r="EE903" s="3"/>
      <c r="EF903" s="3"/>
      <c r="EG903" s="3"/>
      <c r="EH903" s="3"/>
      <c r="EI903" s="3"/>
      <c r="EJ903" s="3"/>
      <c r="EK903" s="3"/>
      <c r="EL903" s="3"/>
      <c r="EM903" s="3"/>
      <c r="EN903" s="3"/>
      <c r="EO903" s="3"/>
      <c r="EP903" s="3"/>
      <c r="EQ903" s="3"/>
      <c r="ER903" s="3"/>
      <c r="ES903" s="3"/>
      <c r="ET903" s="3"/>
      <c r="EU903" s="3"/>
      <c r="EV903" s="3"/>
      <c r="EW903" s="3"/>
      <c r="EX903" s="3"/>
      <c r="EY903" s="3"/>
      <c r="EZ903" s="3"/>
      <c r="FA903" s="3"/>
      <c r="FB903" s="3"/>
      <c r="FC903" s="3"/>
      <c r="FD903" s="3"/>
      <c r="FE903" s="3"/>
      <c r="FF903" s="3"/>
      <c r="FG903" s="3"/>
      <c r="FH903" s="3"/>
      <c r="FI903" s="3"/>
      <c r="FJ903" s="3"/>
      <c r="FK903" s="3"/>
      <c r="FL903" s="3"/>
      <c r="FM903" s="3"/>
      <c r="FN903" s="3"/>
      <c r="FO903" s="3"/>
      <c r="FP903" s="3"/>
      <c r="FQ903" s="3"/>
      <c r="FR903" s="3"/>
      <c r="FS903" s="3"/>
      <c r="FT903" s="3"/>
      <c r="FU903" s="3"/>
      <c r="FV903" s="3"/>
      <c r="FW903" s="3"/>
      <c r="FX903" s="3"/>
      <c r="FY903" s="3"/>
    </row>
    <row r="904" spans="7:181" ht="15" x14ac:dyDescent="0.25">
      <c r="G904" s="2"/>
      <c r="H904" s="2"/>
      <c r="I904" s="2"/>
      <c r="J904" s="2"/>
      <c r="K904" s="2"/>
      <c r="L904" s="3"/>
      <c r="M904" s="3"/>
      <c r="N904" s="3"/>
      <c r="O904" s="3"/>
      <c r="P904" s="3"/>
      <c r="Q904" s="3"/>
      <c r="R904" s="3"/>
      <c r="S904" s="3"/>
      <c r="T904" s="3"/>
      <c r="U904" s="4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4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4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4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  <c r="DP904" s="3"/>
      <c r="DQ904" s="3"/>
      <c r="DR904" s="3"/>
      <c r="DS904" s="3"/>
      <c r="DT904" s="3"/>
      <c r="DU904" s="3"/>
      <c r="DV904" s="3"/>
      <c r="DW904" s="3"/>
      <c r="DX904" s="3"/>
      <c r="DY904" s="3"/>
      <c r="DZ904" s="3"/>
      <c r="EA904" s="3"/>
      <c r="EB904" s="3"/>
      <c r="EC904" s="3"/>
      <c r="ED904" s="3"/>
      <c r="EE904" s="3"/>
      <c r="EF904" s="3"/>
      <c r="EG904" s="3"/>
      <c r="EH904" s="3"/>
      <c r="EI904" s="3"/>
      <c r="EJ904" s="3"/>
      <c r="EK904" s="3"/>
      <c r="EL904" s="3"/>
      <c r="EM904" s="3"/>
      <c r="EN904" s="3"/>
      <c r="EO904" s="3"/>
      <c r="EP904" s="3"/>
      <c r="EQ904" s="3"/>
      <c r="ER904" s="3"/>
      <c r="ES904" s="3"/>
      <c r="ET904" s="3"/>
      <c r="EU904" s="3"/>
      <c r="EV904" s="3"/>
      <c r="EW904" s="3"/>
      <c r="EX904" s="3"/>
      <c r="EY904" s="3"/>
      <c r="EZ904" s="3"/>
      <c r="FA904" s="3"/>
      <c r="FB904" s="3"/>
      <c r="FC904" s="3"/>
      <c r="FD904" s="3"/>
      <c r="FE904" s="3"/>
      <c r="FF904" s="3"/>
      <c r="FG904" s="3"/>
      <c r="FH904" s="3"/>
      <c r="FI904" s="3"/>
      <c r="FJ904" s="3"/>
      <c r="FK904" s="3"/>
      <c r="FL904" s="3"/>
      <c r="FM904" s="3"/>
      <c r="FN904" s="3"/>
      <c r="FO904" s="3"/>
      <c r="FP904" s="3"/>
      <c r="FQ904" s="3"/>
      <c r="FR904" s="3"/>
      <c r="FS904" s="3"/>
      <c r="FT904" s="3"/>
      <c r="FU904" s="3"/>
      <c r="FV904" s="3"/>
      <c r="FW904" s="3"/>
      <c r="FX904" s="3"/>
      <c r="FY904" s="3"/>
    </row>
    <row r="905" spans="7:181" ht="15" x14ac:dyDescent="0.25">
      <c r="G905" s="2"/>
      <c r="H905" s="2"/>
      <c r="I905" s="2"/>
      <c r="J905" s="2"/>
      <c r="K905" s="2"/>
      <c r="L905" s="3"/>
      <c r="M905" s="3"/>
      <c r="N905" s="3"/>
      <c r="O905" s="3"/>
      <c r="P905" s="3"/>
      <c r="Q905" s="3"/>
      <c r="R905" s="3"/>
      <c r="S905" s="3"/>
      <c r="T905" s="3"/>
      <c r="U905" s="4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4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4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4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  <c r="DP905" s="3"/>
      <c r="DQ905" s="3"/>
      <c r="DR905" s="3"/>
      <c r="DS905" s="3"/>
      <c r="DT905" s="3"/>
      <c r="DU905" s="3"/>
      <c r="DV905" s="3"/>
      <c r="DW905" s="3"/>
      <c r="DX905" s="3"/>
      <c r="DY905" s="3"/>
      <c r="DZ905" s="3"/>
      <c r="EA905" s="3"/>
      <c r="EB905" s="3"/>
      <c r="EC905" s="3"/>
      <c r="ED905" s="3"/>
      <c r="EE905" s="3"/>
      <c r="EF905" s="3"/>
      <c r="EG905" s="3"/>
      <c r="EH905" s="3"/>
      <c r="EI905" s="3"/>
      <c r="EJ905" s="3"/>
      <c r="EK905" s="3"/>
      <c r="EL905" s="3"/>
      <c r="EM905" s="3"/>
      <c r="EN905" s="3"/>
      <c r="EO905" s="3"/>
      <c r="EP905" s="3"/>
      <c r="EQ905" s="3"/>
      <c r="ER905" s="3"/>
      <c r="ES905" s="3"/>
      <c r="ET905" s="3"/>
      <c r="EU905" s="3"/>
      <c r="EV905" s="3"/>
      <c r="EW905" s="3"/>
      <c r="EX905" s="3"/>
      <c r="EY905" s="3"/>
      <c r="EZ905" s="3"/>
      <c r="FA905" s="3"/>
      <c r="FB905" s="3"/>
      <c r="FC905" s="3"/>
      <c r="FD905" s="3"/>
      <c r="FE905" s="3"/>
      <c r="FF905" s="3"/>
      <c r="FG905" s="3"/>
      <c r="FH905" s="3"/>
      <c r="FI905" s="3"/>
      <c r="FJ905" s="3"/>
      <c r="FK905" s="3"/>
      <c r="FL905" s="3"/>
      <c r="FM905" s="3"/>
      <c r="FN905" s="3"/>
      <c r="FO905" s="3"/>
      <c r="FP905" s="3"/>
      <c r="FQ905" s="3"/>
      <c r="FR905" s="3"/>
      <c r="FS905" s="3"/>
      <c r="FT905" s="3"/>
      <c r="FU905" s="3"/>
      <c r="FV905" s="3"/>
      <c r="FW905" s="3"/>
      <c r="FX905" s="3"/>
      <c r="FY905" s="3"/>
    </row>
    <row r="906" spans="7:181" ht="15" x14ac:dyDescent="0.25">
      <c r="G906" s="2"/>
      <c r="H906" s="2"/>
      <c r="I906" s="2"/>
      <c r="J906" s="2"/>
      <c r="K906" s="2"/>
      <c r="L906" s="3"/>
      <c r="M906" s="3"/>
      <c r="N906" s="3"/>
      <c r="O906" s="3"/>
      <c r="P906" s="3"/>
      <c r="Q906" s="3"/>
      <c r="R906" s="3"/>
      <c r="S906" s="3"/>
      <c r="T906" s="3"/>
      <c r="U906" s="4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4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4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4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  <c r="DN906" s="3"/>
      <c r="DO906" s="3"/>
      <c r="DP906" s="3"/>
      <c r="DQ906" s="3"/>
      <c r="DR906" s="3"/>
      <c r="DS906" s="3"/>
      <c r="DT906" s="3"/>
      <c r="DU906" s="3"/>
      <c r="DV906" s="3"/>
      <c r="DW906" s="3"/>
      <c r="DX906" s="3"/>
      <c r="DY906" s="3"/>
      <c r="DZ906" s="3"/>
      <c r="EA906" s="3"/>
      <c r="EB906" s="3"/>
      <c r="EC906" s="3"/>
      <c r="ED906" s="3"/>
      <c r="EE906" s="3"/>
      <c r="EF906" s="3"/>
      <c r="EG906" s="3"/>
      <c r="EH906" s="3"/>
      <c r="EI906" s="3"/>
      <c r="EJ906" s="3"/>
      <c r="EK906" s="3"/>
      <c r="EL906" s="3"/>
      <c r="EM906" s="3"/>
      <c r="EN906" s="3"/>
      <c r="EO906" s="3"/>
      <c r="EP906" s="3"/>
      <c r="EQ906" s="3"/>
      <c r="ER906" s="3"/>
      <c r="ES906" s="3"/>
      <c r="ET906" s="3"/>
      <c r="EU906" s="3"/>
      <c r="EV906" s="3"/>
      <c r="EW906" s="3"/>
      <c r="EX906" s="3"/>
      <c r="EY906" s="3"/>
      <c r="EZ906" s="3"/>
      <c r="FA906" s="3"/>
      <c r="FB906" s="3"/>
      <c r="FC906" s="3"/>
      <c r="FD906" s="3"/>
      <c r="FE906" s="3"/>
      <c r="FF906" s="3"/>
      <c r="FG906" s="3"/>
      <c r="FH906" s="3"/>
      <c r="FI906" s="3"/>
      <c r="FJ906" s="3"/>
      <c r="FK906" s="3"/>
      <c r="FL906" s="3"/>
      <c r="FM906" s="3"/>
      <c r="FN906" s="3"/>
      <c r="FO906" s="3"/>
      <c r="FP906" s="3"/>
      <c r="FQ906" s="3"/>
      <c r="FR906" s="3"/>
      <c r="FS906" s="3"/>
      <c r="FT906" s="3"/>
      <c r="FU906" s="3"/>
      <c r="FV906" s="3"/>
      <c r="FW906" s="3"/>
      <c r="FX906" s="3"/>
      <c r="FY906" s="3"/>
    </row>
    <row r="907" spans="7:181" ht="15" x14ac:dyDescent="0.25">
      <c r="G907" s="2"/>
      <c r="H907" s="2"/>
      <c r="I907" s="2"/>
      <c r="J907" s="2"/>
      <c r="K907" s="2"/>
      <c r="L907" s="3"/>
      <c r="M907" s="3"/>
      <c r="N907" s="3"/>
      <c r="O907" s="3"/>
      <c r="P907" s="3"/>
      <c r="Q907" s="3"/>
      <c r="R907" s="3"/>
      <c r="S907" s="3"/>
      <c r="T907" s="3"/>
      <c r="U907" s="4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4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4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4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  <c r="DN907" s="3"/>
      <c r="DO907" s="3"/>
      <c r="DP907" s="3"/>
      <c r="DQ907" s="3"/>
      <c r="DR907" s="3"/>
      <c r="DS907" s="3"/>
      <c r="DT907" s="3"/>
      <c r="DU907" s="3"/>
      <c r="DV907" s="3"/>
      <c r="DW907" s="3"/>
      <c r="DX907" s="3"/>
      <c r="DY907" s="3"/>
      <c r="DZ907" s="3"/>
      <c r="EA907" s="3"/>
      <c r="EB907" s="3"/>
      <c r="EC907" s="3"/>
      <c r="ED907" s="3"/>
      <c r="EE907" s="3"/>
      <c r="EF907" s="3"/>
      <c r="EG907" s="3"/>
      <c r="EH907" s="3"/>
      <c r="EI907" s="3"/>
      <c r="EJ907" s="3"/>
      <c r="EK907" s="3"/>
      <c r="EL907" s="3"/>
      <c r="EM907" s="3"/>
      <c r="EN907" s="3"/>
      <c r="EO907" s="3"/>
      <c r="EP907" s="3"/>
      <c r="EQ907" s="3"/>
      <c r="ER907" s="3"/>
      <c r="ES907" s="3"/>
      <c r="ET907" s="3"/>
      <c r="EU907" s="3"/>
      <c r="EV907" s="3"/>
      <c r="EW907" s="3"/>
      <c r="EX907" s="3"/>
      <c r="EY907" s="3"/>
      <c r="EZ907" s="3"/>
      <c r="FA907" s="3"/>
      <c r="FB907" s="3"/>
      <c r="FC907" s="3"/>
      <c r="FD907" s="3"/>
      <c r="FE907" s="3"/>
      <c r="FF907" s="3"/>
      <c r="FG907" s="3"/>
      <c r="FH907" s="3"/>
      <c r="FI907" s="3"/>
      <c r="FJ907" s="3"/>
      <c r="FK907" s="3"/>
      <c r="FL907" s="3"/>
      <c r="FM907" s="3"/>
      <c r="FN907" s="3"/>
      <c r="FO907" s="3"/>
      <c r="FP907" s="3"/>
      <c r="FQ907" s="3"/>
      <c r="FR907" s="3"/>
      <c r="FS907" s="3"/>
      <c r="FT907" s="3"/>
      <c r="FU907" s="3"/>
      <c r="FV907" s="3"/>
      <c r="FW907" s="3"/>
      <c r="FX907" s="3"/>
      <c r="FY907" s="3"/>
    </row>
    <row r="908" spans="7:181" ht="15" x14ac:dyDescent="0.25">
      <c r="G908" s="2"/>
      <c r="H908" s="2"/>
      <c r="I908" s="2"/>
      <c r="J908" s="2"/>
      <c r="K908" s="2"/>
      <c r="L908" s="3"/>
      <c r="M908" s="3"/>
      <c r="N908" s="3"/>
      <c r="O908" s="3"/>
      <c r="P908" s="3"/>
      <c r="Q908" s="3"/>
      <c r="R908" s="3"/>
      <c r="S908" s="3"/>
      <c r="T908" s="3"/>
      <c r="U908" s="4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4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4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4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  <c r="DN908" s="3"/>
      <c r="DO908" s="3"/>
      <c r="DP908" s="3"/>
      <c r="DQ908" s="3"/>
      <c r="DR908" s="3"/>
      <c r="DS908" s="3"/>
      <c r="DT908" s="3"/>
      <c r="DU908" s="3"/>
      <c r="DV908" s="3"/>
      <c r="DW908" s="3"/>
      <c r="DX908" s="3"/>
      <c r="DY908" s="3"/>
      <c r="DZ908" s="3"/>
      <c r="EA908" s="3"/>
      <c r="EB908" s="3"/>
      <c r="EC908" s="3"/>
      <c r="ED908" s="3"/>
      <c r="EE908" s="3"/>
      <c r="EF908" s="3"/>
      <c r="EG908" s="3"/>
      <c r="EH908" s="3"/>
      <c r="EI908" s="3"/>
      <c r="EJ908" s="3"/>
      <c r="EK908" s="3"/>
      <c r="EL908" s="3"/>
      <c r="EM908" s="3"/>
      <c r="EN908" s="3"/>
      <c r="EO908" s="3"/>
      <c r="EP908" s="3"/>
      <c r="EQ908" s="3"/>
      <c r="ER908" s="3"/>
      <c r="ES908" s="3"/>
      <c r="ET908" s="3"/>
      <c r="EU908" s="3"/>
      <c r="EV908" s="3"/>
      <c r="EW908" s="3"/>
      <c r="EX908" s="3"/>
      <c r="EY908" s="3"/>
      <c r="EZ908" s="3"/>
      <c r="FA908" s="3"/>
      <c r="FB908" s="3"/>
      <c r="FC908" s="3"/>
      <c r="FD908" s="3"/>
      <c r="FE908" s="3"/>
      <c r="FF908" s="3"/>
      <c r="FG908" s="3"/>
      <c r="FH908" s="3"/>
      <c r="FI908" s="3"/>
      <c r="FJ908" s="3"/>
      <c r="FK908" s="3"/>
      <c r="FL908" s="3"/>
      <c r="FM908" s="3"/>
      <c r="FN908" s="3"/>
      <c r="FO908" s="3"/>
      <c r="FP908" s="3"/>
      <c r="FQ908" s="3"/>
      <c r="FR908" s="3"/>
      <c r="FS908" s="3"/>
      <c r="FT908" s="3"/>
      <c r="FU908" s="3"/>
      <c r="FV908" s="3"/>
      <c r="FW908" s="3"/>
      <c r="FX908" s="3"/>
      <c r="FY908" s="3"/>
    </row>
    <row r="909" spans="7:181" ht="15" x14ac:dyDescent="0.25">
      <c r="G909" s="2"/>
      <c r="H909" s="2"/>
      <c r="I909" s="2"/>
      <c r="J909" s="2"/>
      <c r="K909" s="2"/>
      <c r="L909" s="3"/>
      <c r="M909" s="3"/>
      <c r="N909" s="3"/>
      <c r="O909" s="3"/>
      <c r="P909" s="3"/>
      <c r="Q909" s="3"/>
      <c r="R909" s="3"/>
      <c r="S909" s="3"/>
      <c r="T909" s="3"/>
      <c r="U909" s="4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4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4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4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  <c r="DN909" s="3"/>
      <c r="DO909" s="3"/>
      <c r="DP909" s="3"/>
      <c r="DQ909" s="3"/>
      <c r="DR909" s="3"/>
      <c r="DS909" s="3"/>
      <c r="DT909" s="3"/>
      <c r="DU909" s="3"/>
      <c r="DV909" s="3"/>
      <c r="DW909" s="3"/>
      <c r="DX909" s="3"/>
      <c r="DY909" s="3"/>
      <c r="DZ909" s="3"/>
      <c r="EA909" s="3"/>
      <c r="EB909" s="3"/>
      <c r="EC909" s="3"/>
      <c r="ED909" s="3"/>
      <c r="EE909" s="3"/>
      <c r="EF909" s="3"/>
      <c r="EG909" s="3"/>
      <c r="EH909" s="3"/>
      <c r="EI909" s="3"/>
      <c r="EJ909" s="3"/>
      <c r="EK909" s="3"/>
      <c r="EL909" s="3"/>
      <c r="EM909" s="3"/>
      <c r="EN909" s="3"/>
      <c r="EO909" s="3"/>
      <c r="EP909" s="3"/>
      <c r="EQ909" s="3"/>
      <c r="ER909" s="3"/>
      <c r="ES909" s="3"/>
      <c r="ET909" s="3"/>
      <c r="EU909" s="3"/>
      <c r="EV909" s="3"/>
      <c r="EW909" s="3"/>
      <c r="EX909" s="3"/>
      <c r="EY909" s="3"/>
      <c r="EZ909" s="3"/>
      <c r="FA909" s="3"/>
      <c r="FB909" s="3"/>
      <c r="FC909" s="3"/>
      <c r="FD909" s="3"/>
      <c r="FE909" s="3"/>
      <c r="FF909" s="3"/>
      <c r="FG909" s="3"/>
      <c r="FH909" s="3"/>
      <c r="FI909" s="3"/>
      <c r="FJ909" s="3"/>
      <c r="FK909" s="3"/>
      <c r="FL909" s="3"/>
      <c r="FM909" s="3"/>
      <c r="FN909" s="3"/>
      <c r="FO909" s="3"/>
      <c r="FP909" s="3"/>
      <c r="FQ909" s="3"/>
      <c r="FR909" s="3"/>
      <c r="FS909" s="3"/>
      <c r="FT909" s="3"/>
      <c r="FU909" s="3"/>
      <c r="FV909" s="3"/>
      <c r="FW909" s="3"/>
      <c r="FX909" s="3"/>
      <c r="FY909" s="3"/>
    </row>
    <row r="910" spans="7:181" ht="15" x14ac:dyDescent="0.25">
      <c r="G910" s="2"/>
      <c r="H910" s="2"/>
      <c r="I910" s="2"/>
      <c r="J910" s="2"/>
      <c r="K910" s="2"/>
      <c r="L910" s="3"/>
      <c r="M910" s="3"/>
      <c r="N910" s="3"/>
      <c r="O910" s="3"/>
      <c r="P910" s="3"/>
      <c r="Q910" s="3"/>
      <c r="R910" s="3"/>
      <c r="S910" s="3"/>
      <c r="T910" s="3"/>
      <c r="U910" s="4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4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4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4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  <c r="DI910" s="3"/>
      <c r="DJ910" s="3"/>
      <c r="DK910" s="3"/>
      <c r="DL910" s="3"/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/>
      <c r="DY910" s="3"/>
      <c r="DZ910" s="3"/>
      <c r="EA910" s="3"/>
      <c r="EB910" s="3"/>
      <c r="EC910" s="3"/>
      <c r="ED910" s="3"/>
      <c r="EE910" s="3"/>
      <c r="EF910" s="3"/>
      <c r="EG910" s="3"/>
      <c r="EH910" s="3"/>
      <c r="EI910" s="3"/>
      <c r="EJ910" s="3"/>
      <c r="EK910" s="3"/>
      <c r="EL910" s="3"/>
      <c r="EM910" s="3"/>
      <c r="EN910" s="3"/>
      <c r="EO910" s="3"/>
      <c r="EP910" s="3"/>
      <c r="EQ910" s="3"/>
      <c r="ER910" s="3"/>
      <c r="ES910" s="3"/>
      <c r="ET910" s="3"/>
      <c r="EU910" s="3"/>
      <c r="EV910" s="3"/>
      <c r="EW910" s="3"/>
      <c r="EX910" s="3"/>
      <c r="EY910" s="3"/>
      <c r="EZ910" s="3"/>
      <c r="FA910" s="3"/>
      <c r="FB910" s="3"/>
      <c r="FC910" s="3"/>
      <c r="FD910" s="3"/>
      <c r="FE910" s="3"/>
      <c r="FF910" s="3"/>
      <c r="FG910" s="3"/>
      <c r="FH910" s="3"/>
      <c r="FI910" s="3"/>
      <c r="FJ910" s="3"/>
      <c r="FK910" s="3"/>
      <c r="FL910" s="3"/>
      <c r="FM910" s="3"/>
      <c r="FN910" s="3"/>
      <c r="FO910" s="3"/>
      <c r="FP910" s="3"/>
      <c r="FQ910" s="3"/>
      <c r="FR910" s="3"/>
      <c r="FS910" s="3"/>
      <c r="FT910" s="3"/>
      <c r="FU910" s="3"/>
      <c r="FV910" s="3"/>
      <c r="FW910" s="3"/>
      <c r="FX910" s="3"/>
      <c r="FY910" s="3"/>
    </row>
    <row r="911" spans="7:181" ht="15" x14ac:dyDescent="0.25">
      <c r="G911" s="2"/>
      <c r="H911" s="2"/>
      <c r="I911" s="2"/>
      <c r="J911" s="2"/>
      <c r="K911" s="2"/>
      <c r="L911" s="3"/>
      <c r="M911" s="3"/>
      <c r="N911" s="3"/>
      <c r="O911" s="3"/>
      <c r="P911" s="3"/>
      <c r="Q911" s="3"/>
      <c r="R911" s="3"/>
      <c r="S911" s="3"/>
      <c r="T911" s="3"/>
      <c r="U911" s="4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4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4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4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  <c r="DI911" s="3"/>
      <c r="DJ911" s="3"/>
      <c r="DK911" s="3"/>
      <c r="DL911" s="3"/>
      <c r="DM911" s="3"/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/>
      <c r="DY911" s="3"/>
      <c r="DZ911" s="3"/>
      <c r="EA911" s="3"/>
      <c r="EB911" s="3"/>
      <c r="EC911" s="3"/>
      <c r="ED911" s="3"/>
      <c r="EE911" s="3"/>
      <c r="EF911" s="3"/>
      <c r="EG911" s="3"/>
      <c r="EH911" s="3"/>
      <c r="EI911" s="3"/>
      <c r="EJ911" s="3"/>
      <c r="EK911" s="3"/>
      <c r="EL911" s="3"/>
      <c r="EM911" s="3"/>
      <c r="EN911" s="3"/>
      <c r="EO911" s="3"/>
      <c r="EP911" s="3"/>
      <c r="EQ911" s="3"/>
      <c r="ER911" s="3"/>
      <c r="ES911" s="3"/>
      <c r="ET911" s="3"/>
      <c r="EU911" s="3"/>
      <c r="EV911" s="3"/>
      <c r="EW911" s="3"/>
      <c r="EX911" s="3"/>
      <c r="EY911" s="3"/>
      <c r="EZ911" s="3"/>
      <c r="FA911" s="3"/>
      <c r="FB911" s="3"/>
      <c r="FC911" s="3"/>
      <c r="FD911" s="3"/>
      <c r="FE911" s="3"/>
      <c r="FF911" s="3"/>
      <c r="FG911" s="3"/>
      <c r="FH911" s="3"/>
      <c r="FI911" s="3"/>
      <c r="FJ911" s="3"/>
      <c r="FK911" s="3"/>
      <c r="FL911" s="3"/>
      <c r="FM911" s="3"/>
      <c r="FN911" s="3"/>
      <c r="FO911" s="3"/>
      <c r="FP911" s="3"/>
      <c r="FQ911" s="3"/>
      <c r="FR911" s="3"/>
      <c r="FS911" s="3"/>
      <c r="FT911" s="3"/>
      <c r="FU911" s="3"/>
      <c r="FV911" s="3"/>
      <c r="FW911" s="3"/>
      <c r="FX911" s="3"/>
      <c r="FY911" s="3"/>
    </row>
    <row r="912" spans="7:181" ht="15" x14ac:dyDescent="0.25">
      <c r="G912" s="2"/>
      <c r="H912" s="2"/>
      <c r="I912" s="2"/>
      <c r="J912" s="2"/>
      <c r="K912" s="2"/>
      <c r="L912" s="3"/>
      <c r="M912" s="3"/>
      <c r="N912" s="3"/>
      <c r="O912" s="3"/>
      <c r="P912" s="3"/>
      <c r="Q912" s="3"/>
      <c r="R912" s="3"/>
      <c r="S912" s="3"/>
      <c r="T912" s="3"/>
      <c r="U912" s="4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4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4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4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/>
      <c r="DY912" s="3"/>
      <c r="DZ912" s="3"/>
      <c r="EA912" s="3"/>
      <c r="EB912" s="3"/>
      <c r="EC912" s="3"/>
      <c r="ED912" s="3"/>
      <c r="EE912" s="3"/>
      <c r="EF912" s="3"/>
      <c r="EG912" s="3"/>
      <c r="EH912" s="3"/>
      <c r="EI912" s="3"/>
      <c r="EJ912" s="3"/>
      <c r="EK912" s="3"/>
      <c r="EL912" s="3"/>
      <c r="EM912" s="3"/>
      <c r="EN912" s="3"/>
      <c r="EO912" s="3"/>
      <c r="EP912" s="3"/>
      <c r="EQ912" s="3"/>
      <c r="ER912" s="3"/>
      <c r="ES912" s="3"/>
      <c r="ET912" s="3"/>
      <c r="EU912" s="3"/>
      <c r="EV912" s="3"/>
      <c r="EW912" s="3"/>
      <c r="EX912" s="3"/>
      <c r="EY912" s="3"/>
      <c r="EZ912" s="3"/>
      <c r="FA912" s="3"/>
      <c r="FB912" s="3"/>
      <c r="FC912" s="3"/>
      <c r="FD912" s="3"/>
      <c r="FE912" s="3"/>
      <c r="FF912" s="3"/>
      <c r="FG912" s="3"/>
      <c r="FH912" s="3"/>
      <c r="FI912" s="3"/>
      <c r="FJ912" s="3"/>
      <c r="FK912" s="3"/>
      <c r="FL912" s="3"/>
      <c r="FM912" s="3"/>
      <c r="FN912" s="3"/>
      <c r="FO912" s="3"/>
      <c r="FP912" s="3"/>
      <c r="FQ912" s="3"/>
      <c r="FR912" s="3"/>
      <c r="FS912" s="3"/>
      <c r="FT912" s="3"/>
      <c r="FU912" s="3"/>
      <c r="FV912" s="3"/>
      <c r="FW912" s="3"/>
      <c r="FX912" s="3"/>
      <c r="FY912" s="3"/>
    </row>
    <row r="913" spans="7:181" ht="15" x14ac:dyDescent="0.25">
      <c r="G913" s="2"/>
      <c r="H913" s="2"/>
      <c r="I913" s="2"/>
      <c r="J913" s="2"/>
      <c r="K913" s="2"/>
      <c r="L913" s="3"/>
      <c r="M913" s="3"/>
      <c r="N913" s="3"/>
      <c r="O913" s="3"/>
      <c r="P913" s="3"/>
      <c r="Q913" s="3"/>
      <c r="R913" s="3"/>
      <c r="S913" s="3"/>
      <c r="T913" s="3"/>
      <c r="U913" s="4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4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4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4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/>
      <c r="DY913" s="3"/>
      <c r="DZ913" s="3"/>
      <c r="EA913" s="3"/>
      <c r="EB913" s="3"/>
      <c r="EC913" s="3"/>
      <c r="ED913" s="3"/>
      <c r="EE913" s="3"/>
      <c r="EF913" s="3"/>
      <c r="EG913" s="3"/>
      <c r="EH913" s="3"/>
      <c r="EI913" s="3"/>
      <c r="EJ913" s="3"/>
      <c r="EK913" s="3"/>
      <c r="EL913" s="3"/>
      <c r="EM913" s="3"/>
      <c r="EN913" s="3"/>
      <c r="EO913" s="3"/>
      <c r="EP913" s="3"/>
      <c r="EQ913" s="3"/>
      <c r="ER913" s="3"/>
      <c r="ES913" s="3"/>
      <c r="ET913" s="3"/>
      <c r="EU913" s="3"/>
      <c r="EV913" s="3"/>
      <c r="EW913" s="3"/>
      <c r="EX913" s="3"/>
      <c r="EY913" s="3"/>
      <c r="EZ913" s="3"/>
      <c r="FA913" s="3"/>
      <c r="FB913" s="3"/>
      <c r="FC913" s="3"/>
      <c r="FD913" s="3"/>
      <c r="FE913" s="3"/>
      <c r="FF913" s="3"/>
      <c r="FG913" s="3"/>
      <c r="FH913" s="3"/>
      <c r="FI913" s="3"/>
      <c r="FJ913" s="3"/>
      <c r="FK913" s="3"/>
      <c r="FL913" s="3"/>
      <c r="FM913" s="3"/>
      <c r="FN913" s="3"/>
      <c r="FO913" s="3"/>
      <c r="FP913" s="3"/>
      <c r="FQ913" s="3"/>
      <c r="FR913" s="3"/>
      <c r="FS913" s="3"/>
      <c r="FT913" s="3"/>
      <c r="FU913" s="3"/>
      <c r="FV913" s="3"/>
      <c r="FW913" s="3"/>
      <c r="FX913" s="3"/>
      <c r="FY913" s="3"/>
    </row>
    <row r="914" spans="7:181" ht="15" x14ac:dyDescent="0.25">
      <c r="G914" s="2"/>
      <c r="H914" s="2"/>
      <c r="I914" s="2"/>
      <c r="J914" s="2"/>
      <c r="K914" s="2"/>
      <c r="L914" s="3"/>
      <c r="M914" s="3"/>
      <c r="N914" s="3"/>
      <c r="O914" s="3"/>
      <c r="P914" s="3"/>
      <c r="Q914" s="3"/>
      <c r="R914" s="3"/>
      <c r="S914" s="3"/>
      <c r="T914" s="3"/>
      <c r="U914" s="4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4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4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4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/>
      <c r="DY914" s="3"/>
      <c r="DZ914" s="3"/>
      <c r="EA914" s="3"/>
      <c r="EB914" s="3"/>
      <c r="EC914" s="3"/>
      <c r="ED914" s="3"/>
      <c r="EE914" s="3"/>
      <c r="EF914" s="3"/>
      <c r="EG914" s="3"/>
      <c r="EH914" s="3"/>
      <c r="EI914" s="3"/>
      <c r="EJ914" s="3"/>
      <c r="EK914" s="3"/>
      <c r="EL914" s="3"/>
      <c r="EM914" s="3"/>
      <c r="EN914" s="3"/>
      <c r="EO914" s="3"/>
      <c r="EP914" s="3"/>
      <c r="EQ914" s="3"/>
      <c r="ER914" s="3"/>
      <c r="ES914" s="3"/>
      <c r="ET914" s="3"/>
      <c r="EU914" s="3"/>
      <c r="EV914" s="3"/>
      <c r="EW914" s="3"/>
      <c r="EX914" s="3"/>
      <c r="EY914" s="3"/>
      <c r="EZ914" s="3"/>
      <c r="FA914" s="3"/>
      <c r="FB914" s="3"/>
      <c r="FC914" s="3"/>
      <c r="FD914" s="3"/>
      <c r="FE914" s="3"/>
      <c r="FF914" s="3"/>
      <c r="FG914" s="3"/>
      <c r="FH914" s="3"/>
      <c r="FI914" s="3"/>
      <c r="FJ914" s="3"/>
      <c r="FK914" s="3"/>
      <c r="FL914" s="3"/>
      <c r="FM914" s="3"/>
      <c r="FN914" s="3"/>
      <c r="FO914" s="3"/>
      <c r="FP914" s="3"/>
      <c r="FQ914" s="3"/>
      <c r="FR914" s="3"/>
      <c r="FS914" s="3"/>
      <c r="FT914" s="3"/>
      <c r="FU914" s="3"/>
      <c r="FV914" s="3"/>
      <c r="FW914" s="3"/>
      <c r="FX914" s="3"/>
      <c r="FY914" s="3"/>
    </row>
    <row r="915" spans="7:181" ht="15" x14ac:dyDescent="0.25">
      <c r="G915" s="2"/>
      <c r="H915" s="2"/>
      <c r="I915" s="2"/>
      <c r="J915" s="2"/>
      <c r="K915" s="2"/>
      <c r="L915" s="3"/>
      <c r="M915" s="3"/>
      <c r="N915" s="3"/>
      <c r="O915" s="3"/>
      <c r="P915" s="3"/>
      <c r="Q915" s="3"/>
      <c r="R915" s="3"/>
      <c r="S915" s="3"/>
      <c r="T915" s="3"/>
      <c r="U915" s="4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4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4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4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/>
      <c r="DY915" s="3"/>
      <c r="DZ915" s="3"/>
      <c r="EA915" s="3"/>
      <c r="EB915" s="3"/>
      <c r="EC915" s="3"/>
      <c r="ED915" s="3"/>
      <c r="EE915" s="3"/>
      <c r="EF915" s="3"/>
      <c r="EG915" s="3"/>
      <c r="EH915" s="3"/>
      <c r="EI915" s="3"/>
      <c r="EJ915" s="3"/>
      <c r="EK915" s="3"/>
      <c r="EL915" s="3"/>
      <c r="EM915" s="3"/>
      <c r="EN915" s="3"/>
      <c r="EO915" s="3"/>
      <c r="EP915" s="3"/>
      <c r="EQ915" s="3"/>
      <c r="ER915" s="3"/>
      <c r="ES915" s="3"/>
      <c r="ET915" s="3"/>
      <c r="EU915" s="3"/>
      <c r="EV915" s="3"/>
      <c r="EW915" s="3"/>
      <c r="EX915" s="3"/>
      <c r="EY915" s="3"/>
      <c r="EZ915" s="3"/>
      <c r="FA915" s="3"/>
      <c r="FB915" s="3"/>
      <c r="FC915" s="3"/>
      <c r="FD915" s="3"/>
      <c r="FE915" s="3"/>
      <c r="FF915" s="3"/>
      <c r="FG915" s="3"/>
      <c r="FH915" s="3"/>
      <c r="FI915" s="3"/>
      <c r="FJ915" s="3"/>
      <c r="FK915" s="3"/>
      <c r="FL915" s="3"/>
      <c r="FM915" s="3"/>
      <c r="FN915" s="3"/>
      <c r="FO915" s="3"/>
      <c r="FP915" s="3"/>
      <c r="FQ915" s="3"/>
      <c r="FR915" s="3"/>
      <c r="FS915" s="3"/>
      <c r="FT915" s="3"/>
      <c r="FU915" s="3"/>
      <c r="FV915" s="3"/>
      <c r="FW915" s="3"/>
      <c r="FX915" s="3"/>
      <c r="FY915" s="3"/>
    </row>
    <row r="916" spans="7:181" ht="15" x14ac:dyDescent="0.25">
      <c r="G916" s="2"/>
      <c r="H916" s="2"/>
      <c r="I916" s="2"/>
      <c r="J916" s="2"/>
      <c r="K916" s="2"/>
      <c r="L916" s="3"/>
      <c r="M916" s="3"/>
      <c r="N916" s="3"/>
      <c r="O916" s="3"/>
      <c r="P916" s="3"/>
      <c r="Q916" s="3"/>
      <c r="R916" s="3"/>
      <c r="S916" s="3"/>
      <c r="T916" s="3"/>
      <c r="U916" s="4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4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4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4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  <c r="DN916" s="3"/>
      <c r="DO916" s="3"/>
      <c r="DP916" s="3"/>
      <c r="DQ916" s="3"/>
      <c r="DR916" s="3"/>
      <c r="DS916" s="3"/>
      <c r="DT916" s="3"/>
      <c r="DU916" s="3"/>
      <c r="DV916" s="3"/>
      <c r="DW916" s="3"/>
      <c r="DX916" s="3"/>
      <c r="DY916" s="3"/>
      <c r="DZ916" s="3"/>
      <c r="EA916" s="3"/>
      <c r="EB916" s="3"/>
      <c r="EC916" s="3"/>
      <c r="ED916" s="3"/>
      <c r="EE916" s="3"/>
      <c r="EF916" s="3"/>
      <c r="EG916" s="3"/>
      <c r="EH916" s="3"/>
      <c r="EI916" s="3"/>
      <c r="EJ916" s="3"/>
      <c r="EK916" s="3"/>
      <c r="EL916" s="3"/>
      <c r="EM916" s="3"/>
      <c r="EN916" s="3"/>
      <c r="EO916" s="3"/>
      <c r="EP916" s="3"/>
      <c r="EQ916" s="3"/>
      <c r="ER916" s="3"/>
      <c r="ES916" s="3"/>
      <c r="ET916" s="3"/>
      <c r="EU916" s="3"/>
      <c r="EV916" s="3"/>
      <c r="EW916" s="3"/>
      <c r="EX916" s="3"/>
      <c r="EY916" s="3"/>
      <c r="EZ916" s="3"/>
      <c r="FA916" s="3"/>
      <c r="FB916" s="3"/>
      <c r="FC916" s="3"/>
      <c r="FD916" s="3"/>
      <c r="FE916" s="3"/>
      <c r="FF916" s="3"/>
      <c r="FG916" s="3"/>
      <c r="FH916" s="3"/>
      <c r="FI916" s="3"/>
      <c r="FJ916" s="3"/>
      <c r="FK916" s="3"/>
      <c r="FL916" s="3"/>
      <c r="FM916" s="3"/>
      <c r="FN916" s="3"/>
      <c r="FO916" s="3"/>
      <c r="FP916" s="3"/>
      <c r="FQ916" s="3"/>
      <c r="FR916" s="3"/>
      <c r="FS916" s="3"/>
      <c r="FT916" s="3"/>
      <c r="FU916" s="3"/>
      <c r="FV916" s="3"/>
      <c r="FW916" s="3"/>
      <c r="FX916" s="3"/>
      <c r="FY916" s="3"/>
    </row>
    <row r="917" spans="7:181" ht="15" x14ac:dyDescent="0.25">
      <c r="G917" s="2"/>
      <c r="H917" s="2"/>
      <c r="I917" s="2"/>
      <c r="J917" s="2"/>
      <c r="K917" s="2"/>
      <c r="L917" s="3"/>
      <c r="M917" s="3"/>
      <c r="N917" s="3"/>
      <c r="O917" s="3"/>
      <c r="P917" s="3"/>
      <c r="Q917" s="3"/>
      <c r="R917" s="3"/>
      <c r="S917" s="3"/>
      <c r="T917" s="3"/>
      <c r="U917" s="4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4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4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4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  <c r="DN917" s="3"/>
      <c r="DO917" s="3"/>
      <c r="DP917" s="3"/>
      <c r="DQ917" s="3"/>
      <c r="DR917" s="3"/>
      <c r="DS917" s="3"/>
      <c r="DT917" s="3"/>
      <c r="DU917" s="3"/>
      <c r="DV917" s="3"/>
      <c r="DW917" s="3"/>
      <c r="DX917" s="3"/>
      <c r="DY917" s="3"/>
      <c r="DZ917" s="3"/>
      <c r="EA917" s="3"/>
      <c r="EB917" s="3"/>
      <c r="EC917" s="3"/>
      <c r="ED917" s="3"/>
      <c r="EE917" s="3"/>
      <c r="EF917" s="3"/>
      <c r="EG917" s="3"/>
      <c r="EH917" s="3"/>
      <c r="EI917" s="3"/>
      <c r="EJ917" s="3"/>
      <c r="EK917" s="3"/>
      <c r="EL917" s="3"/>
      <c r="EM917" s="3"/>
      <c r="EN917" s="3"/>
      <c r="EO917" s="3"/>
      <c r="EP917" s="3"/>
      <c r="EQ917" s="3"/>
      <c r="ER917" s="3"/>
      <c r="ES917" s="3"/>
      <c r="ET917" s="3"/>
      <c r="EU917" s="3"/>
      <c r="EV917" s="3"/>
      <c r="EW917" s="3"/>
      <c r="EX917" s="3"/>
      <c r="EY917" s="3"/>
      <c r="EZ917" s="3"/>
      <c r="FA917" s="3"/>
      <c r="FB917" s="3"/>
      <c r="FC917" s="3"/>
      <c r="FD917" s="3"/>
      <c r="FE917" s="3"/>
      <c r="FF917" s="3"/>
      <c r="FG917" s="3"/>
      <c r="FH917" s="3"/>
      <c r="FI917" s="3"/>
      <c r="FJ917" s="3"/>
      <c r="FK917" s="3"/>
      <c r="FL917" s="3"/>
      <c r="FM917" s="3"/>
      <c r="FN917" s="3"/>
      <c r="FO917" s="3"/>
      <c r="FP917" s="3"/>
      <c r="FQ917" s="3"/>
      <c r="FR917" s="3"/>
      <c r="FS917" s="3"/>
      <c r="FT917" s="3"/>
      <c r="FU917" s="3"/>
      <c r="FV917" s="3"/>
      <c r="FW917" s="3"/>
      <c r="FX917" s="3"/>
      <c r="FY917" s="3"/>
    </row>
    <row r="918" spans="7:181" ht="15" x14ac:dyDescent="0.25">
      <c r="G918" s="2"/>
      <c r="H918" s="2"/>
      <c r="I918" s="2"/>
      <c r="J918" s="2"/>
      <c r="K918" s="2"/>
      <c r="L918" s="3"/>
      <c r="M918" s="3"/>
      <c r="N918" s="3"/>
      <c r="O918" s="3"/>
      <c r="P918" s="3"/>
      <c r="Q918" s="3"/>
      <c r="R918" s="3"/>
      <c r="S918" s="3"/>
      <c r="T918" s="3"/>
      <c r="U918" s="4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4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4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4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  <c r="DN918" s="3"/>
      <c r="DO918" s="3"/>
      <c r="DP918" s="3"/>
      <c r="DQ918" s="3"/>
      <c r="DR918" s="3"/>
      <c r="DS918" s="3"/>
      <c r="DT918" s="3"/>
      <c r="DU918" s="3"/>
      <c r="DV918" s="3"/>
      <c r="DW918" s="3"/>
      <c r="DX918" s="3"/>
      <c r="DY918" s="3"/>
      <c r="DZ918" s="3"/>
      <c r="EA918" s="3"/>
      <c r="EB918" s="3"/>
      <c r="EC918" s="3"/>
      <c r="ED918" s="3"/>
      <c r="EE918" s="3"/>
      <c r="EF918" s="3"/>
      <c r="EG918" s="3"/>
      <c r="EH918" s="3"/>
      <c r="EI918" s="3"/>
      <c r="EJ918" s="3"/>
      <c r="EK918" s="3"/>
      <c r="EL918" s="3"/>
      <c r="EM918" s="3"/>
      <c r="EN918" s="3"/>
      <c r="EO918" s="3"/>
      <c r="EP918" s="3"/>
      <c r="EQ918" s="3"/>
      <c r="ER918" s="3"/>
      <c r="ES918" s="3"/>
      <c r="ET918" s="3"/>
      <c r="EU918" s="3"/>
      <c r="EV918" s="3"/>
      <c r="EW918" s="3"/>
      <c r="EX918" s="3"/>
      <c r="EY918" s="3"/>
      <c r="EZ918" s="3"/>
      <c r="FA918" s="3"/>
      <c r="FB918" s="3"/>
      <c r="FC918" s="3"/>
      <c r="FD918" s="3"/>
      <c r="FE918" s="3"/>
      <c r="FF918" s="3"/>
      <c r="FG918" s="3"/>
      <c r="FH918" s="3"/>
      <c r="FI918" s="3"/>
      <c r="FJ918" s="3"/>
      <c r="FK918" s="3"/>
      <c r="FL918" s="3"/>
      <c r="FM918" s="3"/>
      <c r="FN918" s="3"/>
      <c r="FO918" s="3"/>
      <c r="FP918" s="3"/>
      <c r="FQ918" s="3"/>
      <c r="FR918" s="3"/>
      <c r="FS918" s="3"/>
      <c r="FT918" s="3"/>
      <c r="FU918" s="3"/>
      <c r="FV918" s="3"/>
      <c r="FW918" s="3"/>
      <c r="FX918" s="3"/>
      <c r="FY918" s="3"/>
    </row>
    <row r="919" spans="7:181" ht="15" x14ac:dyDescent="0.25">
      <c r="G919" s="2"/>
      <c r="H919" s="2"/>
      <c r="I919" s="2"/>
      <c r="J919" s="2"/>
      <c r="K919" s="2"/>
      <c r="L919" s="3"/>
      <c r="M919" s="3"/>
      <c r="N919" s="3"/>
      <c r="O919" s="3"/>
      <c r="P919" s="3"/>
      <c r="Q919" s="3"/>
      <c r="R919" s="3"/>
      <c r="S919" s="3"/>
      <c r="T919" s="3"/>
      <c r="U919" s="4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4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4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4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/>
      <c r="DS919" s="3"/>
      <c r="DT919" s="3"/>
      <c r="DU919" s="3"/>
      <c r="DV919" s="3"/>
      <c r="DW919" s="3"/>
      <c r="DX919" s="3"/>
      <c r="DY919" s="3"/>
      <c r="DZ919" s="3"/>
      <c r="EA919" s="3"/>
      <c r="EB919" s="3"/>
      <c r="EC919" s="3"/>
      <c r="ED919" s="3"/>
      <c r="EE919" s="3"/>
      <c r="EF919" s="3"/>
      <c r="EG919" s="3"/>
      <c r="EH919" s="3"/>
      <c r="EI919" s="3"/>
      <c r="EJ919" s="3"/>
      <c r="EK919" s="3"/>
      <c r="EL919" s="3"/>
      <c r="EM919" s="3"/>
      <c r="EN919" s="3"/>
      <c r="EO919" s="3"/>
      <c r="EP919" s="3"/>
      <c r="EQ919" s="3"/>
      <c r="ER919" s="3"/>
      <c r="ES919" s="3"/>
      <c r="ET919" s="3"/>
      <c r="EU919" s="3"/>
      <c r="EV919" s="3"/>
      <c r="EW919" s="3"/>
      <c r="EX919" s="3"/>
      <c r="EY919" s="3"/>
      <c r="EZ919" s="3"/>
      <c r="FA919" s="3"/>
      <c r="FB919" s="3"/>
      <c r="FC919" s="3"/>
      <c r="FD919" s="3"/>
      <c r="FE919" s="3"/>
      <c r="FF919" s="3"/>
      <c r="FG919" s="3"/>
      <c r="FH919" s="3"/>
      <c r="FI919" s="3"/>
      <c r="FJ919" s="3"/>
      <c r="FK919" s="3"/>
      <c r="FL919" s="3"/>
      <c r="FM919" s="3"/>
      <c r="FN919" s="3"/>
      <c r="FO919" s="3"/>
      <c r="FP919" s="3"/>
      <c r="FQ919" s="3"/>
      <c r="FR919" s="3"/>
      <c r="FS919" s="3"/>
      <c r="FT919" s="3"/>
      <c r="FU919" s="3"/>
      <c r="FV919" s="3"/>
      <c r="FW919" s="3"/>
      <c r="FX919" s="3"/>
      <c r="FY919" s="3"/>
    </row>
    <row r="920" spans="7:181" ht="15" x14ac:dyDescent="0.25">
      <c r="G920" s="2"/>
      <c r="H920" s="2"/>
      <c r="I920" s="2"/>
      <c r="J920" s="2"/>
      <c r="K920" s="2"/>
      <c r="L920" s="3"/>
      <c r="M920" s="3"/>
      <c r="N920" s="3"/>
      <c r="O920" s="3"/>
      <c r="P920" s="3"/>
      <c r="Q920" s="3"/>
      <c r="R920" s="3"/>
      <c r="S920" s="3"/>
      <c r="T920" s="3"/>
      <c r="U920" s="4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4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4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4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  <c r="DN920" s="3"/>
      <c r="DO920" s="3"/>
      <c r="DP920" s="3"/>
      <c r="DQ920" s="3"/>
      <c r="DR920" s="3"/>
      <c r="DS920" s="3"/>
      <c r="DT920" s="3"/>
      <c r="DU920" s="3"/>
      <c r="DV920" s="3"/>
      <c r="DW920" s="3"/>
      <c r="DX920" s="3"/>
      <c r="DY920" s="3"/>
      <c r="DZ920" s="3"/>
      <c r="EA920" s="3"/>
      <c r="EB920" s="3"/>
      <c r="EC920" s="3"/>
      <c r="ED920" s="3"/>
      <c r="EE920" s="3"/>
      <c r="EF920" s="3"/>
      <c r="EG920" s="3"/>
      <c r="EH920" s="3"/>
      <c r="EI920" s="3"/>
      <c r="EJ920" s="3"/>
      <c r="EK920" s="3"/>
      <c r="EL920" s="3"/>
      <c r="EM920" s="3"/>
      <c r="EN920" s="3"/>
      <c r="EO920" s="3"/>
      <c r="EP920" s="3"/>
      <c r="EQ920" s="3"/>
      <c r="ER920" s="3"/>
      <c r="ES920" s="3"/>
      <c r="ET920" s="3"/>
      <c r="EU920" s="3"/>
      <c r="EV920" s="3"/>
      <c r="EW920" s="3"/>
      <c r="EX920" s="3"/>
      <c r="EY920" s="3"/>
      <c r="EZ920" s="3"/>
      <c r="FA920" s="3"/>
      <c r="FB920" s="3"/>
      <c r="FC920" s="3"/>
      <c r="FD920" s="3"/>
      <c r="FE920" s="3"/>
      <c r="FF920" s="3"/>
      <c r="FG920" s="3"/>
      <c r="FH920" s="3"/>
      <c r="FI920" s="3"/>
      <c r="FJ920" s="3"/>
      <c r="FK920" s="3"/>
      <c r="FL920" s="3"/>
      <c r="FM920" s="3"/>
      <c r="FN920" s="3"/>
      <c r="FO920" s="3"/>
      <c r="FP920" s="3"/>
      <c r="FQ920" s="3"/>
      <c r="FR920" s="3"/>
      <c r="FS920" s="3"/>
      <c r="FT920" s="3"/>
      <c r="FU920" s="3"/>
      <c r="FV920" s="3"/>
      <c r="FW920" s="3"/>
      <c r="FX920" s="3"/>
      <c r="FY920" s="3"/>
    </row>
    <row r="921" spans="7:181" ht="15" x14ac:dyDescent="0.25">
      <c r="G921" s="2"/>
      <c r="H921" s="2"/>
      <c r="I921" s="2"/>
      <c r="J921" s="2"/>
      <c r="K921" s="2"/>
      <c r="L921" s="3"/>
      <c r="M921" s="3"/>
      <c r="N921" s="3"/>
      <c r="O921" s="3"/>
      <c r="P921" s="3"/>
      <c r="Q921" s="3"/>
      <c r="R921" s="3"/>
      <c r="S921" s="3"/>
      <c r="T921" s="3"/>
      <c r="U921" s="4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4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4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4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  <c r="DN921" s="3"/>
      <c r="DO921" s="3"/>
      <c r="DP921" s="3"/>
      <c r="DQ921" s="3"/>
      <c r="DR921" s="3"/>
      <c r="DS921" s="3"/>
      <c r="DT921" s="3"/>
      <c r="DU921" s="3"/>
      <c r="DV921" s="3"/>
      <c r="DW921" s="3"/>
      <c r="DX921" s="3"/>
      <c r="DY921" s="3"/>
      <c r="DZ921" s="3"/>
      <c r="EA921" s="3"/>
      <c r="EB921" s="3"/>
      <c r="EC921" s="3"/>
      <c r="ED921" s="3"/>
      <c r="EE921" s="3"/>
      <c r="EF921" s="3"/>
      <c r="EG921" s="3"/>
      <c r="EH921" s="3"/>
      <c r="EI921" s="3"/>
      <c r="EJ921" s="3"/>
      <c r="EK921" s="3"/>
      <c r="EL921" s="3"/>
      <c r="EM921" s="3"/>
      <c r="EN921" s="3"/>
      <c r="EO921" s="3"/>
      <c r="EP921" s="3"/>
      <c r="EQ921" s="3"/>
      <c r="ER921" s="3"/>
      <c r="ES921" s="3"/>
      <c r="ET921" s="3"/>
      <c r="EU921" s="3"/>
      <c r="EV921" s="3"/>
      <c r="EW921" s="3"/>
      <c r="EX921" s="3"/>
      <c r="EY921" s="3"/>
      <c r="EZ921" s="3"/>
      <c r="FA921" s="3"/>
      <c r="FB921" s="3"/>
      <c r="FC921" s="3"/>
      <c r="FD921" s="3"/>
      <c r="FE921" s="3"/>
      <c r="FF921" s="3"/>
      <c r="FG921" s="3"/>
      <c r="FH921" s="3"/>
      <c r="FI921" s="3"/>
      <c r="FJ921" s="3"/>
      <c r="FK921" s="3"/>
      <c r="FL921" s="3"/>
      <c r="FM921" s="3"/>
      <c r="FN921" s="3"/>
      <c r="FO921" s="3"/>
      <c r="FP921" s="3"/>
      <c r="FQ921" s="3"/>
      <c r="FR921" s="3"/>
      <c r="FS921" s="3"/>
      <c r="FT921" s="3"/>
      <c r="FU921" s="3"/>
      <c r="FV921" s="3"/>
      <c r="FW921" s="3"/>
      <c r="FX921" s="3"/>
      <c r="FY921" s="3"/>
    </row>
    <row r="922" spans="7:181" ht="15" x14ac:dyDescent="0.25">
      <c r="G922" s="2"/>
      <c r="H922" s="2"/>
      <c r="I922" s="2"/>
      <c r="J922" s="2"/>
      <c r="K922" s="2"/>
      <c r="L922" s="3"/>
      <c r="M922" s="3"/>
      <c r="N922" s="3"/>
      <c r="O922" s="3"/>
      <c r="P922" s="3"/>
      <c r="Q922" s="3"/>
      <c r="R922" s="3"/>
      <c r="S922" s="3"/>
      <c r="T922" s="3"/>
      <c r="U922" s="4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4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4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4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  <c r="DS922" s="3"/>
      <c r="DT922" s="3"/>
      <c r="DU922" s="3"/>
      <c r="DV922" s="3"/>
      <c r="DW922" s="3"/>
      <c r="DX922" s="3"/>
      <c r="DY922" s="3"/>
      <c r="DZ922" s="3"/>
      <c r="EA922" s="3"/>
      <c r="EB922" s="3"/>
      <c r="EC922" s="3"/>
      <c r="ED922" s="3"/>
      <c r="EE922" s="3"/>
      <c r="EF922" s="3"/>
      <c r="EG922" s="3"/>
      <c r="EH922" s="3"/>
      <c r="EI922" s="3"/>
      <c r="EJ922" s="3"/>
      <c r="EK922" s="3"/>
      <c r="EL922" s="3"/>
      <c r="EM922" s="3"/>
      <c r="EN922" s="3"/>
      <c r="EO922" s="3"/>
      <c r="EP922" s="3"/>
      <c r="EQ922" s="3"/>
      <c r="ER922" s="3"/>
      <c r="ES922" s="3"/>
      <c r="ET922" s="3"/>
      <c r="EU922" s="3"/>
      <c r="EV922" s="3"/>
      <c r="EW922" s="3"/>
      <c r="EX922" s="3"/>
      <c r="EY922" s="3"/>
      <c r="EZ922" s="3"/>
      <c r="FA922" s="3"/>
      <c r="FB922" s="3"/>
      <c r="FC922" s="3"/>
      <c r="FD922" s="3"/>
      <c r="FE922" s="3"/>
      <c r="FF922" s="3"/>
      <c r="FG922" s="3"/>
      <c r="FH922" s="3"/>
      <c r="FI922" s="3"/>
      <c r="FJ922" s="3"/>
      <c r="FK922" s="3"/>
      <c r="FL922" s="3"/>
      <c r="FM922" s="3"/>
      <c r="FN922" s="3"/>
      <c r="FO922" s="3"/>
      <c r="FP922" s="3"/>
      <c r="FQ922" s="3"/>
      <c r="FR922" s="3"/>
      <c r="FS922" s="3"/>
      <c r="FT922" s="3"/>
      <c r="FU922" s="3"/>
      <c r="FV922" s="3"/>
      <c r="FW922" s="3"/>
      <c r="FX922" s="3"/>
      <c r="FY922" s="3"/>
    </row>
    <row r="923" spans="7:181" ht="15" x14ac:dyDescent="0.25">
      <c r="G923" s="2"/>
      <c r="H923" s="2"/>
      <c r="I923" s="2"/>
      <c r="J923" s="2"/>
      <c r="K923" s="2"/>
      <c r="L923" s="3"/>
      <c r="M923" s="3"/>
      <c r="N923" s="3"/>
      <c r="O923" s="3"/>
      <c r="P923" s="3"/>
      <c r="Q923" s="3"/>
      <c r="R923" s="3"/>
      <c r="S923" s="3"/>
      <c r="T923" s="3"/>
      <c r="U923" s="4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4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4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4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  <c r="DN923" s="3"/>
      <c r="DO923" s="3"/>
      <c r="DP923" s="3"/>
      <c r="DQ923" s="3"/>
      <c r="DR923" s="3"/>
      <c r="DS923" s="3"/>
      <c r="DT923" s="3"/>
      <c r="DU923" s="3"/>
      <c r="DV923" s="3"/>
      <c r="DW923" s="3"/>
      <c r="DX923" s="3"/>
      <c r="DY923" s="3"/>
      <c r="DZ923" s="3"/>
      <c r="EA923" s="3"/>
      <c r="EB923" s="3"/>
      <c r="EC923" s="3"/>
      <c r="ED923" s="3"/>
      <c r="EE923" s="3"/>
      <c r="EF923" s="3"/>
      <c r="EG923" s="3"/>
      <c r="EH923" s="3"/>
      <c r="EI923" s="3"/>
      <c r="EJ923" s="3"/>
      <c r="EK923" s="3"/>
      <c r="EL923" s="3"/>
      <c r="EM923" s="3"/>
      <c r="EN923" s="3"/>
      <c r="EO923" s="3"/>
      <c r="EP923" s="3"/>
      <c r="EQ923" s="3"/>
      <c r="ER923" s="3"/>
      <c r="ES923" s="3"/>
      <c r="ET923" s="3"/>
      <c r="EU923" s="3"/>
      <c r="EV923" s="3"/>
      <c r="EW923" s="3"/>
      <c r="EX923" s="3"/>
      <c r="EY923" s="3"/>
      <c r="EZ923" s="3"/>
      <c r="FA923" s="3"/>
      <c r="FB923" s="3"/>
      <c r="FC923" s="3"/>
      <c r="FD923" s="3"/>
      <c r="FE923" s="3"/>
      <c r="FF923" s="3"/>
      <c r="FG923" s="3"/>
      <c r="FH923" s="3"/>
      <c r="FI923" s="3"/>
      <c r="FJ923" s="3"/>
      <c r="FK923" s="3"/>
      <c r="FL923" s="3"/>
      <c r="FM923" s="3"/>
      <c r="FN923" s="3"/>
      <c r="FO923" s="3"/>
      <c r="FP923" s="3"/>
      <c r="FQ923" s="3"/>
      <c r="FR923" s="3"/>
      <c r="FS923" s="3"/>
      <c r="FT923" s="3"/>
      <c r="FU923" s="3"/>
      <c r="FV923" s="3"/>
      <c r="FW923" s="3"/>
      <c r="FX923" s="3"/>
      <c r="FY923" s="3"/>
    </row>
    <row r="924" spans="7:181" ht="15" x14ac:dyDescent="0.25">
      <c r="G924" s="2"/>
      <c r="H924" s="2"/>
      <c r="I924" s="2"/>
      <c r="J924" s="2"/>
      <c r="K924" s="2"/>
      <c r="L924" s="3"/>
      <c r="M924" s="3"/>
      <c r="N924" s="3"/>
      <c r="O924" s="3"/>
      <c r="P924" s="3"/>
      <c r="Q924" s="3"/>
      <c r="R924" s="3"/>
      <c r="S924" s="3"/>
      <c r="T924" s="3"/>
      <c r="U924" s="4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4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4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4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  <c r="DN924" s="3"/>
      <c r="DO924" s="3"/>
      <c r="DP924" s="3"/>
      <c r="DQ924" s="3"/>
      <c r="DR924" s="3"/>
      <c r="DS924" s="3"/>
      <c r="DT924" s="3"/>
      <c r="DU924" s="3"/>
      <c r="DV924" s="3"/>
      <c r="DW924" s="3"/>
      <c r="DX924" s="3"/>
      <c r="DY924" s="3"/>
      <c r="DZ924" s="3"/>
      <c r="EA924" s="3"/>
      <c r="EB924" s="3"/>
      <c r="EC924" s="3"/>
      <c r="ED924" s="3"/>
      <c r="EE924" s="3"/>
      <c r="EF924" s="3"/>
      <c r="EG924" s="3"/>
      <c r="EH924" s="3"/>
      <c r="EI924" s="3"/>
      <c r="EJ924" s="3"/>
      <c r="EK924" s="3"/>
      <c r="EL924" s="3"/>
      <c r="EM924" s="3"/>
      <c r="EN924" s="3"/>
      <c r="EO924" s="3"/>
      <c r="EP924" s="3"/>
      <c r="EQ924" s="3"/>
      <c r="ER924" s="3"/>
      <c r="ES924" s="3"/>
      <c r="ET924" s="3"/>
      <c r="EU924" s="3"/>
      <c r="EV924" s="3"/>
      <c r="EW924" s="3"/>
      <c r="EX924" s="3"/>
      <c r="EY924" s="3"/>
      <c r="EZ924" s="3"/>
      <c r="FA924" s="3"/>
      <c r="FB924" s="3"/>
      <c r="FC924" s="3"/>
      <c r="FD924" s="3"/>
      <c r="FE924" s="3"/>
      <c r="FF924" s="3"/>
      <c r="FG924" s="3"/>
      <c r="FH924" s="3"/>
      <c r="FI924" s="3"/>
      <c r="FJ924" s="3"/>
      <c r="FK924" s="3"/>
      <c r="FL924" s="3"/>
      <c r="FM924" s="3"/>
      <c r="FN924" s="3"/>
      <c r="FO924" s="3"/>
      <c r="FP924" s="3"/>
      <c r="FQ924" s="3"/>
      <c r="FR924" s="3"/>
      <c r="FS924" s="3"/>
      <c r="FT924" s="3"/>
      <c r="FU924" s="3"/>
      <c r="FV924" s="3"/>
      <c r="FW924" s="3"/>
      <c r="FX924" s="3"/>
      <c r="FY924" s="3"/>
    </row>
    <row r="925" spans="7:181" ht="15" x14ac:dyDescent="0.25">
      <c r="G925" s="2"/>
      <c r="H925" s="2"/>
      <c r="I925" s="2"/>
      <c r="J925" s="2"/>
      <c r="K925" s="2"/>
      <c r="L925" s="3"/>
      <c r="M925" s="3"/>
      <c r="N925" s="3"/>
      <c r="O925" s="3"/>
      <c r="P925" s="3"/>
      <c r="Q925" s="3"/>
      <c r="R925" s="3"/>
      <c r="S925" s="3"/>
      <c r="T925" s="3"/>
      <c r="U925" s="4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4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4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4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  <c r="DN925" s="3"/>
      <c r="DO925" s="3"/>
      <c r="DP925" s="3"/>
      <c r="DQ925" s="3"/>
      <c r="DR925" s="3"/>
      <c r="DS925" s="3"/>
      <c r="DT925" s="3"/>
      <c r="DU925" s="3"/>
      <c r="DV925" s="3"/>
      <c r="DW925" s="3"/>
      <c r="DX925" s="3"/>
      <c r="DY925" s="3"/>
      <c r="DZ925" s="3"/>
      <c r="EA925" s="3"/>
      <c r="EB925" s="3"/>
      <c r="EC925" s="3"/>
      <c r="ED925" s="3"/>
      <c r="EE925" s="3"/>
      <c r="EF925" s="3"/>
      <c r="EG925" s="3"/>
      <c r="EH925" s="3"/>
      <c r="EI925" s="3"/>
      <c r="EJ925" s="3"/>
      <c r="EK925" s="3"/>
      <c r="EL925" s="3"/>
      <c r="EM925" s="3"/>
      <c r="EN925" s="3"/>
      <c r="EO925" s="3"/>
      <c r="EP925" s="3"/>
      <c r="EQ925" s="3"/>
      <c r="ER925" s="3"/>
      <c r="ES925" s="3"/>
      <c r="ET925" s="3"/>
      <c r="EU925" s="3"/>
      <c r="EV925" s="3"/>
      <c r="EW925" s="3"/>
      <c r="EX925" s="3"/>
      <c r="EY925" s="3"/>
      <c r="EZ925" s="3"/>
      <c r="FA925" s="3"/>
      <c r="FB925" s="3"/>
      <c r="FC925" s="3"/>
      <c r="FD925" s="3"/>
      <c r="FE925" s="3"/>
      <c r="FF925" s="3"/>
      <c r="FG925" s="3"/>
      <c r="FH925" s="3"/>
      <c r="FI925" s="3"/>
      <c r="FJ925" s="3"/>
      <c r="FK925" s="3"/>
      <c r="FL925" s="3"/>
      <c r="FM925" s="3"/>
      <c r="FN925" s="3"/>
      <c r="FO925" s="3"/>
      <c r="FP925" s="3"/>
      <c r="FQ925" s="3"/>
      <c r="FR925" s="3"/>
      <c r="FS925" s="3"/>
      <c r="FT925" s="3"/>
      <c r="FU925" s="3"/>
      <c r="FV925" s="3"/>
      <c r="FW925" s="3"/>
      <c r="FX925" s="3"/>
      <c r="FY925" s="3"/>
    </row>
    <row r="926" spans="7:181" ht="15" x14ac:dyDescent="0.25">
      <c r="G926" s="2"/>
      <c r="H926" s="2"/>
      <c r="I926" s="2"/>
      <c r="J926" s="2"/>
      <c r="K926" s="2"/>
      <c r="L926" s="3"/>
      <c r="M926" s="3"/>
      <c r="N926" s="3"/>
      <c r="O926" s="3"/>
      <c r="P926" s="3"/>
      <c r="Q926" s="3"/>
      <c r="R926" s="3"/>
      <c r="S926" s="3"/>
      <c r="T926" s="3"/>
      <c r="U926" s="4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4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4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4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  <c r="DP926" s="3"/>
      <c r="DQ926" s="3"/>
      <c r="DR926" s="3"/>
      <c r="DS926" s="3"/>
      <c r="DT926" s="3"/>
      <c r="DU926" s="3"/>
      <c r="DV926" s="3"/>
      <c r="DW926" s="3"/>
      <c r="DX926" s="3"/>
      <c r="DY926" s="3"/>
      <c r="DZ926" s="3"/>
      <c r="EA926" s="3"/>
      <c r="EB926" s="3"/>
      <c r="EC926" s="3"/>
      <c r="ED926" s="3"/>
      <c r="EE926" s="3"/>
      <c r="EF926" s="3"/>
      <c r="EG926" s="3"/>
      <c r="EH926" s="3"/>
      <c r="EI926" s="3"/>
      <c r="EJ926" s="3"/>
      <c r="EK926" s="3"/>
      <c r="EL926" s="3"/>
      <c r="EM926" s="3"/>
      <c r="EN926" s="3"/>
      <c r="EO926" s="3"/>
      <c r="EP926" s="3"/>
      <c r="EQ926" s="3"/>
      <c r="ER926" s="3"/>
      <c r="ES926" s="3"/>
      <c r="ET926" s="3"/>
      <c r="EU926" s="3"/>
      <c r="EV926" s="3"/>
      <c r="EW926" s="3"/>
      <c r="EX926" s="3"/>
      <c r="EY926" s="3"/>
      <c r="EZ926" s="3"/>
      <c r="FA926" s="3"/>
      <c r="FB926" s="3"/>
      <c r="FC926" s="3"/>
      <c r="FD926" s="3"/>
      <c r="FE926" s="3"/>
      <c r="FF926" s="3"/>
      <c r="FG926" s="3"/>
      <c r="FH926" s="3"/>
      <c r="FI926" s="3"/>
      <c r="FJ926" s="3"/>
      <c r="FK926" s="3"/>
      <c r="FL926" s="3"/>
      <c r="FM926" s="3"/>
      <c r="FN926" s="3"/>
      <c r="FO926" s="3"/>
      <c r="FP926" s="3"/>
      <c r="FQ926" s="3"/>
      <c r="FR926" s="3"/>
      <c r="FS926" s="3"/>
      <c r="FT926" s="3"/>
      <c r="FU926" s="3"/>
      <c r="FV926" s="3"/>
      <c r="FW926" s="3"/>
      <c r="FX926" s="3"/>
      <c r="FY926" s="3"/>
    </row>
    <row r="927" spans="7:181" ht="15" x14ac:dyDescent="0.25">
      <c r="G927" s="2"/>
      <c r="H927" s="2"/>
      <c r="I927" s="2"/>
      <c r="J927" s="2"/>
      <c r="K927" s="2"/>
      <c r="L927" s="3"/>
      <c r="M927" s="3"/>
      <c r="N927" s="3"/>
      <c r="O927" s="3"/>
      <c r="P927" s="3"/>
      <c r="Q927" s="3"/>
      <c r="R927" s="3"/>
      <c r="S927" s="3"/>
      <c r="T927" s="3"/>
      <c r="U927" s="4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4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4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4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  <c r="DP927" s="3"/>
      <c r="DQ927" s="3"/>
      <c r="DR927" s="3"/>
      <c r="DS927" s="3"/>
      <c r="DT927" s="3"/>
      <c r="DU927" s="3"/>
      <c r="DV927" s="3"/>
      <c r="DW927" s="3"/>
      <c r="DX927" s="3"/>
      <c r="DY927" s="3"/>
      <c r="DZ927" s="3"/>
      <c r="EA927" s="3"/>
      <c r="EB927" s="3"/>
      <c r="EC927" s="3"/>
      <c r="ED927" s="3"/>
      <c r="EE927" s="3"/>
      <c r="EF927" s="3"/>
      <c r="EG927" s="3"/>
      <c r="EH927" s="3"/>
      <c r="EI927" s="3"/>
      <c r="EJ927" s="3"/>
      <c r="EK927" s="3"/>
      <c r="EL927" s="3"/>
      <c r="EM927" s="3"/>
      <c r="EN927" s="3"/>
      <c r="EO927" s="3"/>
      <c r="EP927" s="3"/>
      <c r="EQ927" s="3"/>
      <c r="ER927" s="3"/>
      <c r="ES927" s="3"/>
      <c r="ET927" s="3"/>
      <c r="EU927" s="3"/>
      <c r="EV927" s="3"/>
      <c r="EW927" s="3"/>
      <c r="EX927" s="3"/>
      <c r="EY927" s="3"/>
      <c r="EZ927" s="3"/>
      <c r="FA927" s="3"/>
      <c r="FB927" s="3"/>
      <c r="FC927" s="3"/>
      <c r="FD927" s="3"/>
      <c r="FE927" s="3"/>
      <c r="FF927" s="3"/>
      <c r="FG927" s="3"/>
      <c r="FH927" s="3"/>
      <c r="FI927" s="3"/>
      <c r="FJ927" s="3"/>
      <c r="FK927" s="3"/>
      <c r="FL927" s="3"/>
      <c r="FM927" s="3"/>
      <c r="FN927" s="3"/>
      <c r="FO927" s="3"/>
      <c r="FP927" s="3"/>
      <c r="FQ927" s="3"/>
      <c r="FR927" s="3"/>
      <c r="FS927" s="3"/>
      <c r="FT927" s="3"/>
      <c r="FU927" s="3"/>
      <c r="FV927" s="3"/>
      <c r="FW927" s="3"/>
      <c r="FX927" s="3"/>
      <c r="FY927" s="3"/>
    </row>
    <row r="928" spans="7:181" ht="15" x14ac:dyDescent="0.25">
      <c r="G928" s="2"/>
      <c r="H928" s="2"/>
      <c r="I928" s="2"/>
      <c r="J928" s="2"/>
      <c r="K928" s="2"/>
      <c r="L928" s="3"/>
      <c r="M928" s="3"/>
      <c r="N928" s="3"/>
      <c r="O928" s="3"/>
      <c r="P928" s="3"/>
      <c r="Q928" s="3"/>
      <c r="R928" s="3"/>
      <c r="S928" s="3"/>
      <c r="T928" s="3"/>
      <c r="U928" s="4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4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4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4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  <c r="DP928" s="3"/>
      <c r="DQ928" s="3"/>
      <c r="DR928" s="3"/>
      <c r="DS928" s="3"/>
      <c r="DT928" s="3"/>
      <c r="DU928" s="3"/>
      <c r="DV928" s="3"/>
      <c r="DW928" s="3"/>
      <c r="DX928" s="3"/>
      <c r="DY928" s="3"/>
      <c r="DZ928" s="3"/>
      <c r="EA928" s="3"/>
      <c r="EB928" s="3"/>
      <c r="EC928" s="3"/>
      <c r="ED928" s="3"/>
      <c r="EE928" s="3"/>
      <c r="EF928" s="3"/>
      <c r="EG928" s="3"/>
      <c r="EH928" s="3"/>
      <c r="EI928" s="3"/>
      <c r="EJ928" s="3"/>
      <c r="EK928" s="3"/>
      <c r="EL928" s="3"/>
      <c r="EM928" s="3"/>
      <c r="EN928" s="3"/>
      <c r="EO928" s="3"/>
      <c r="EP928" s="3"/>
      <c r="EQ928" s="3"/>
      <c r="ER928" s="3"/>
      <c r="ES928" s="3"/>
      <c r="ET928" s="3"/>
      <c r="EU928" s="3"/>
      <c r="EV928" s="3"/>
      <c r="EW928" s="3"/>
      <c r="EX928" s="3"/>
      <c r="EY928" s="3"/>
      <c r="EZ928" s="3"/>
      <c r="FA928" s="3"/>
      <c r="FB928" s="3"/>
      <c r="FC928" s="3"/>
      <c r="FD928" s="3"/>
      <c r="FE928" s="3"/>
      <c r="FF928" s="3"/>
      <c r="FG928" s="3"/>
      <c r="FH928" s="3"/>
      <c r="FI928" s="3"/>
      <c r="FJ928" s="3"/>
      <c r="FK928" s="3"/>
      <c r="FL928" s="3"/>
      <c r="FM928" s="3"/>
      <c r="FN928" s="3"/>
      <c r="FO928" s="3"/>
      <c r="FP928" s="3"/>
      <c r="FQ928" s="3"/>
      <c r="FR928" s="3"/>
      <c r="FS928" s="3"/>
      <c r="FT928" s="3"/>
      <c r="FU928" s="3"/>
      <c r="FV928" s="3"/>
      <c r="FW928" s="3"/>
      <c r="FX928" s="3"/>
      <c r="FY928" s="3"/>
    </row>
    <row r="929" spans="7:181" ht="15" x14ac:dyDescent="0.25">
      <c r="G929" s="2"/>
      <c r="H929" s="2"/>
      <c r="I929" s="2"/>
      <c r="J929" s="2"/>
      <c r="K929" s="2"/>
      <c r="L929" s="3"/>
      <c r="M929" s="3"/>
      <c r="N929" s="3"/>
      <c r="O929" s="3"/>
      <c r="P929" s="3"/>
      <c r="Q929" s="3"/>
      <c r="R929" s="3"/>
      <c r="S929" s="3"/>
      <c r="T929" s="3"/>
      <c r="U929" s="4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4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4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4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  <c r="DP929" s="3"/>
      <c r="DQ929" s="3"/>
      <c r="DR929" s="3"/>
      <c r="DS929" s="3"/>
      <c r="DT929" s="3"/>
      <c r="DU929" s="3"/>
      <c r="DV929" s="3"/>
      <c r="DW929" s="3"/>
      <c r="DX929" s="3"/>
      <c r="DY929" s="3"/>
      <c r="DZ929" s="3"/>
      <c r="EA929" s="3"/>
      <c r="EB929" s="3"/>
      <c r="EC929" s="3"/>
      <c r="ED929" s="3"/>
      <c r="EE929" s="3"/>
      <c r="EF929" s="3"/>
      <c r="EG929" s="3"/>
      <c r="EH929" s="3"/>
      <c r="EI929" s="3"/>
      <c r="EJ929" s="3"/>
      <c r="EK929" s="3"/>
      <c r="EL929" s="3"/>
      <c r="EM929" s="3"/>
      <c r="EN929" s="3"/>
      <c r="EO929" s="3"/>
      <c r="EP929" s="3"/>
      <c r="EQ929" s="3"/>
      <c r="ER929" s="3"/>
      <c r="ES929" s="3"/>
      <c r="ET929" s="3"/>
      <c r="EU929" s="3"/>
      <c r="EV929" s="3"/>
      <c r="EW929" s="3"/>
      <c r="EX929" s="3"/>
      <c r="EY929" s="3"/>
      <c r="EZ929" s="3"/>
      <c r="FA929" s="3"/>
      <c r="FB929" s="3"/>
      <c r="FC929" s="3"/>
      <c r="FD929" s="3"/>
      <c r="FE929" s="3"/>
      <c r="FF929" s="3"/>
      <c r="FG929" s="3"/>
      <c r="FH929" s="3"/>
      <c r="FI929" s="3"/>
      <c r="FJ929" s="3"/>
      <c r="FK929" s="3"/>
      <c r="FL929" s="3"/>
      <c r="FM929" s="3"/>
      <c r="FN929" s="3"/>
      <c r="FO929" s="3"/>
      <c r="FP929" s="3"/>
      <c r="FQ929" s="3"/>
      <c r="FR929" s="3"/>
      <c r="FS929" s="3"/>
      <c r="FT929" s="3"/>
      <c r="FU929" s="3"/>
      <c r="FV929" s="3"/>
      <c r="FW929" s="3"/>
      <c r="FX929" s="3"/>
      <c r="FY929" s="3"/>
    </row>
    <row r="930" spans="7:181" ht="15" x14ac:dyDescent="0.25">
      <c r="G930" s="2"/>
      <c r="H930" s="2"/>
      <c r="I930" s="2"/>
      <c r="J930" s="2"/>
      <c r="K930" s="2"/>
      <c r="L930" s="3"/>
      <c r="M930" s="3"/>
      <c r="N930" s="3"/>
      <c r="O930" s="3"/>
      <c r="P930" s="3"/>
      <c r="Q930" s="3"/>
      <c r="R930" s="3"/>
      <c r="S930" s="3"/>
      <c r="T930" s="3"/>
      <c r="U930" s="4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4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4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4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  <c r="DN930" s="3"/>
      <c r="DO930" s="3"/>
      <c r="DP930" s="3"/>
      <c r="DQ930" s="3"/>
      <c r="DR930" s="3"/>
      <c r="DS930" s="3"/>
      <c r="DT930" s="3"/>
      <c r="DU930" s="3"/>
      <c r="DV930" s="3"/>
      <c r="DW930" s="3"/>
      <c r="DX930" s="3"/>
      <c r="DY930" s="3"/>
      <c r="DZ930" s="3"/>
      <c r="EA930" s="3"/>
      <c r="EB930" s="3"/>
      <c r="EC930" s="3"/>
      <c r="ED930" s="3"/>
      <c r="EE930" s="3"/>
      <c r="EF930" s="3"/>
      <c r="EG930" s="3"/>
      <c r="EH930" s="3"/>
      <c r="EI930" s="3"/>
      <c r="EJ930" s="3"/>
      <c r="EK930" s="3"/>
      <c r="EL930" s="3"/>
      <c r="EM930" s="3"/>
      <c r="EN930" s="3"/>
      <c r="EO930" s="3"/>
      <c r="EP930" s="3"/>
      <c r="EQ930" s="3"/>
      <c r="ER930" s="3"/>
      <c r="ES930" s="3"/>
      <c r="ET930" s="3"/>
      <c r="EU930" s="3"/>
      <c r="EV930" s="3"/>
      <c r="EW930" s="3"/>
      <c r="EX930" s="3"/>
      <c r="EY930" s="3"/>
      <c r="EZ930" s="3"/>
      <c r="FA930" s="3"/>
      <c r="FB930" s="3"/>
      <c r="FC930" s="3"/>
      <c r="FD930" s="3"/>
      <c r="FE930" s="3"/>
      <c r="FF930" s="3"/>
      <c r="FG930" s="3"/>
      <c r="FH930" s="3"/>
      <c r="FI930" s="3"/>
      <c r="FJ930" s="3"/>
      <c r="FK930" s="3"/>
      <c r="FL930" s="3"/>
      <c r="FM930" s="3"/>
      <c r="FN930" s="3"/>
      <c r="FO930" s="3"/>
      <c r="FP930" s="3"/>
      <c r="FQ930" s="3"/>
      <c r="FR930" s="3"/>
      <c r="FS930" s="3"/>
      <c r="FT930" s="3"/>
      <c r="FU930" s="3"/>
      <c r="FV930" s="3"/>
      <c r="FW930" s="3"/>
      <c r="FX930" s="3"/>
      <c r="FY930" s="3"/>
    </row>
    <row r="931" spans="7:181" ht="15" x14ac:dyDescent="0.25">
      <c r="G931" s="2"/>
      <c r="H931" s="2"/>
      <c r="I931" s="2"/>
      <c r="J931" s="2"/>
      <c r="K931" s="2"/>
      <c r="L931" s="3"/>
      <c r="M931" s="3"/>
      <c r="N931" s="3"/>
      <c r="O931" s="3"/>
      <c r="P931" s="3"/>
      <c r="Q931" s="3"/>
      <c r="R931" s="3"/>
      <c r="S931" s="3"/>
      <c r="T931" s="3"/>
      <c r="U931" s="4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4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4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4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  <c r="DN931" s="3"/>
      <c r="DO931" s="3"/>
      <c r="DP931" s="3"/>
      <c r="DQ931" s="3"/>
      <c r="DR931" s="3"/>
      <c r="DS931" s="3"/>
      <c r="DT931" s="3"/>
      <c r="DU931" s="3"/>
      <c r="DV931" s="3"/>
      <c r="DW931" s="3"/>
      <c r="DX931" s="3"/>
      <c r="DY931" s="3"/>
      <c r="DZ931" s="3"/>
      <c r="EA931" s="3"/>
      <c r="EB931" s="3"/>
      <c r="EC931" s="3"/>
      <c r="ED931" s="3"/>
      <c r="EE931" s="3"/>
      <c r="EF931" s="3"/>
      <c r="EG931" s="3"/>
      <c r="EH931" s="3"/>
      <c r="EI931" s="3"/>
      <c r="EJ931" s="3"/>
      <c r="EK931" s="3"/>
      <c r="EL931" s="3"/>
      <c r="EM931" s="3"/>
      <c r="EN931" s="3"/>
      <c r="EO931" s="3"/>
      <c r="EP931" s="3"/>
      <c r="EQ931" s="3"/>
      <c r="ER931" s="3"/>
      <c r="ES931" s="3"/>
      <c r="ET931" s="3"/>
      <c r="EU931" s="3"/>
      <c r="EV931" s="3"/>
      <c r="EW931" s="3"/>
      <c r="EX931" s="3"/>
      <c r="EY931" s="3"/>
      <c r="EZ931" s="3"/>
      <c r="FA931" s="3"/>
      <c r="FB931" s="3"/>
      <c r="FC931" s="3"/>
      <c r="FD931" s="3"/>
      <c r="FE931" s="3"/>
      <c r="FF931" s="3"/>
      <c r="FG931" s="3"/>
      <c r="FH931" s="3"/>
      <c r="FI931" s="3"/>
      <c r="FJ931" s="3"/>
      <c r="FK931" s="3"/>
      <c r="FL931" s="3"/>
      <c r="FM931" s="3"/>
      <c r="FN931" s="3"/>
      <c r="FO931" s="3"/>
      <c r="FP931" s="3"/>
      <c r="FQ931" s="3"/>
      <c r="FR931" s="3"/>
      <c r="FS931" s="3"/>
      <c r="FT931" s="3"/>
      <c r="FU931" s="3"/>
      <c r="FV931" s="3"/>
      <c r="FW931" s="3"/>
      <c r="FX931" s="3"/>
      <c r="FY931" s="3"/>
    </row>
    <row r="932" spans="7:181" ht="15" x14ac:dyDescent="0.25">
      <c r="G932" s="2"/>
      <c r="H932" s="2"/>
      <c r="I932" s="2"/>
      <c r="J932" s="2"/>
      <c r="K932" s="2"/>
      <c r="L932" s="3"/>
      <c r="M932" s="3"/>
      <c r="N932" s="3"/>
      <c r="O932" s="3"/>
      <c r="P932" s="3"/>
      <c r="Q932" s="3"/>
      <c r="R932" s="3"/>
      <c r="S932" s="3"/>
      <c r="T932" s="3"/>
      <c r="U932" s="4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4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4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4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  <c r="DN932" s="3"/>
      <c r="DO932" s="3"/>
      <c r="DP932" s="3"/>
      <c r="DQ932" s="3"/>
      <c r="DR932" s="3"/>
      <c r="DS932" s="3"/>
      <c r="DT932" s="3"/>
      <c r="DU932" s="3"/>
      <c r="DV932" s="3"/>
      <c r="DW932" s="3"/>
      <c r="DX932" s="3"/>
      <c r="DY932" s="3"/>
      <c r="DZ932" s="3"/>
      <c r="EA932" s="3"/>
      <c r="EB932" s="3"/>
      <c r="EC932" s="3"/>
      <c r="ED932" s="3"/>
      <c r="EE932" s="3"/>
      <c r="EF932" s="3"/>
      <c r="EG932" s="3"/>
      <c r="EH932" s="3"/>
      <c r="EI932" s="3"/>
      <c r="EJ932" s="3"/>
      <c r="EK932" s="3"/>
      <c r="EL932" s="3"/>
      <c r="EM932" s="3"/>
      <c r="EN932" s="3"/>
      <c r="EO932" s="3"/>
      <c r="EP932" s="3"/>
      <c r="EQ932" s="3"/>
      <c r="ER932" s="3"/>
      <c r="ES932" s="3"/>
      <c r="ET932" s="3"/>
      <c r="EU932" s="3"/>
      <c r="EV932" s="3"/>
      <c r="EW932" s="3"/>
      <c r="EX932" s="3"/>
      <c r="EY932" s="3"/>
      <c r="EZ932" s="3"/>
      <c r="FA932" s="3"/>
      <c r="FB932" s="3"/>
      <c r="FC932" s="3"/>
      <c r="FD932" s="3"/>
      <c r="FE932" s="3"/>
      <c r="FF932" s="3"/>
      <c r="FG932" s="3"/>
      <c r="FH932" s="3"/>
      <c r="FI932" s="3"/>
      <c r="FJ932" s="3"/>
      <c r="FK932" s="3"/>
      <c r="FL932" s="3"/>
      <c r="FM932" s="3"/>
      <c r="FN932" s="3"/>
      <c r="FO932" s="3"/>
      <c r="FP932" s="3"/>
      <c r="FQ932" s="3"/>
      <c r="FR932" s="3"/>
      <c r="FS932" s="3"/>
      <c r="FT932" s="3"/>
      <c r="FU932" s="3"/>
      <c r="FV932" s="3"/>
      <c r="FW932" s="3"/>
      <c r="FX932" s="3"/>
      <c r="FY932" s="3"/>
    </row>
    <row r="933" spans="7:181" ht="15" x14ac:dyDescent="0.25">
      <c r="G933" s="2"/>
      <c r="H933" s="2"/>
      <c r="I933" s="2"/>
      <c r="J933" s="2"/>
      <c r="K933" s="2"/>
      <c r="L933" s="3"/>
      <c r="M933" s="3"/>
      <c r="N933" s="3"/>
      <c r="O933" s="3"/>
      <c r="P933" s="3"/>
      <c r="Q933" s="3"/>
      <c r="R933" s="3"/>
      <c r="S933" s="3"/>
      <c r="T933" s="3"/>
      <c r="U933" s="4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4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4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4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  <c r="DN933" s="3"/>
      <c r="DO933" s="3"/>
      <c r="DP933" s="3"/>
      <c r="DQ933" s="3"/>
      <c r="DR933" s="3"/>
      <c r="DS933" s="3"/>
      <c r="DT933" s="3"/>
      <c r="DU933" s="3"/>
      <c r="DV933" s="3"/>
      <c r="DW933" s="3"/>
      <c r="DX933" s="3"/>
      <c r="DY933" s="3"/>
      <c r="DZ933" s="3"/>
      <c r="EA933" s="3"/>
      <c r="EB933" s="3"/>
      <c r="EC933" s="3"/>
      <c r="ED933" s="3"/>
      <c r="EE933" s="3"/>
      <c r="EF933" s="3"/>
      <c r="EG933" s="3"/>
      <c r="EH933" s="3"/>
      <c r="EI933" s="3"/>
      <c r="EJ933" s="3"/>
      <c r="EK933" s="3"/>
      <c r="EL933" s="3"/>
      <c r="EM933" s="3"/>
      <c r="EN933" s="3"/>
      <c r="EO933" s="3"/>
      <c r="EP933" s="3"/>
      <c r="EQ933" s="3"/>
      <c r="ER933" s="3"/>
      <c r="ES933" s="3"/>
      <c r="ET933" s="3"/>
      <c r="EU933" s="3"/>
      <c r="EV933" s="3"/>
      <c r="EW933" s="3"/>
      <c r="EX933" s="3"/>
      <c r="EY933" s="3"/>
      <c r="EZ933" s="3"/>
      <c r="FA933" s="3"/>
      <c r="FB933" s="3"/>
      <c r="FC933" s="3"/>
      <c r="FD933" s="3"/>
      <c r="FE933" s="3"/>
      <c r="FF933" s="3"/>
      <c r="FG933" s="3"/>
      <c r="FH933" s="3"/>
      <c r="FI933" s="3"/>
      <c r="FJ933" s="3"/>
      <c r="FK933" s="3"/>
      <c r="FL933" s="3"/>
      <c r="FM933" s="3"/>
      <c r="FN933" s="3"/>
      <c r="FO933" s="3"/>
      <c r="FP933" s="3"/>
      <c r="FQ933" s="3"/>
      <c r="FR933" s="3"/>
      <c r="FS933" s="3"/>
      <c r="FT933" s="3"/>
      <c r="FU933" s="3"/>
      <c r="FV933" s="3"/>
      <c r="FW933" s="3"/>
      <c r="FX933" s="3"/>
      <c r="FY933" s="3"/>
    </row>
    <row r="934" spans="7:181" ht="15" x14ac:dyDescent="0.25">
      <c r="G934" s="2"/>
      <c r="H934" s="2"/>
      <c r="I934" s="2"/>
      <c r="J934" s="2"/>
      <c r="K934" s="2"/>
      <c r="L934" s="3"/>
      <c r="M934" s="3"/>
      <c r="N934" s="3"/>
      <c r="O934" s="3"/>
      <c r="P934" s="3"/>
      <c r="Q934" s="3"/>
      <c r="R934" s="3"/>
      <c r="S934" s="3"/>
      <c r="T934" s="3"/>
      <c r="U934" s="4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4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4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4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  <c r="DN934" s="3"/>
      <c r="DO934" s="3"/>
      <c r="DP934" s="3"/>
      <c r="DQ934" s="3"/>
      <c r="DR934" s="3"/>
      <c r="DS934" s="3"/>
      <c r="DT934" s="3"/>
      <c r="DU934" s="3"/>
      <c r="DV934" s="3"/>
      <c r="DW934" s="3"/>
      <c r="DX934" s="3"/>
      <c r="DY934" s="3"/>
      <c r="DZ934" s="3"/>
      <c r="EA934" s="3"/>
      <c r="EB934" s="3"/>
      <c r="EC934" s="3"/>
      <c r="ED934" s="3"/>
      <c r="EE934" s="3"/>
      <c r="EF934" s="3"/>
      <c r="EG934" s="3"/>
      <c r="EH934" s="3"/>
      <c r="EI934" s="3"/>
      <c r="EJ934" s="3"/>
      <c r="EK934" s="3"/>
      <c r="EL934" s="3"/>
      <c r="EM934" s="3"/>
      <c r="EN934" s="3"/>
      <c r="EO934" s="3"/>
      <c r="EP934" s="3"/>
      <c r="EQ934" s="3"/>
      <c r="ER934" s="3"/>
      <c r="ES934" s="3"/>
      <c r="ET934" s="3"/>
      <c r="EU934" s="3"/>
      <c r="EV934" s="3"/>
      <c r="EW934" s="3"/>
      <c r="EX934" s="3"/>
      <c r="EY934" s="3"/>
      <c r="EZ934" s="3"/>
      <c r="FA934" s="3"/>
      <c r="FB934" s="3"/>
      <c r="FC934" s="3"/>
      <c r="FD934" s="3"/>
      <c r="FE934" s="3"/>
      <c r="FF934" s="3"/>
      <c r="FG934" s="3"/>
      <c r="FH934" s="3"/>
      <c r="FI934" s="3"/>
      <c r="FJ934" s="3"/>
      <c r="FK934" s="3"/>
      <c r="FL934" s="3"/>
      <c r="FM934" s="3"/>
      <c r="FN934" s="3"/>
      <c r="FO934" s="3"/>
      <c r="FP934" s="3"/>
      <c r="FQ934" s="3"/>
      <c r="FR934" s="3"/>
      <c r="FS934" s="3"/>
      <c r="FT934" s="3"/>
      <c r="FU934" s="3"/>
      <c r="FV934" s="3"/>
      <c r="FW934" s="3"/>
      <c r="FX934" s="3"/>
      <c r="FY934" s="3"/>
    </row>
    <row r="935" spans="7:181" ht="15" x14ac:dyDescent="0.25">
      <c r="G935" s="2"/>
      <c r="H935" s="2"/>
      <c r="I935" s="2"/>
      <c r="J935" s="2"/>
      <c r="K935" s="2"/>
      <c r="L935" s="3"/>
      <c r="M935" s="3"/>
      <c r="N935" s="3"/>
      <c r="O935" s="3"/>
      <c r="P935" s="3"/>
      <c r="Q935" s="3"/>
      <c r="R935" s="3"/>
      <c r="S935" s="3"/>
      <c r="T935" s="3"/>
      <c r="U935" s="4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4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4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4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  <c r="DN935" s="3"/>
      <c r="DO935" s="3"/>
      <c r="DP935" s="3"/>
      <c r="DQ935" s="3"/>
      <c r="DR935" s="3"/>
      <c r="DS935" s="3"/>
      <c r="DT935" s="3"/>
      <c r="DU935" s="3"/>
      <c r="DV935" s="3"/>
      <c r="DW935" s="3"/>
      <c r="DX935" s="3"/>
      <c r="DY935" s="3"/>
      <c r="DZ935" s="3"/>
      <c r="EA935" s="3"/>
      <c r="EB935" s="3"/>
      <c r="EC935" s="3"/>
      <c r="ED935" s="3"/>
      <c r="EE935" s="3"/>
      <c r="EF935" s="3"/>
      <c r="EG935" s="3"/>
      <c r="EH935" s="3"/>
      <c r="EI935" s="3"/>
      <c r="EJ935" s="3"/>
      <c r="EK935" s="3"/>
      <c r="EL935" s="3"/>
      <c r="EM935" s="3"/>
      <c r="EN935" s="3"/>
      <c r="EO935" s="3"/>
      <c r="EP935" s="3"/>
      <c r="EQ935" s="3"/>
      <c r="ER935" s="3"/>
      <c r="ES935" s="3"/>
      <c r="ET935" s="3"/>
      <c r="EU935" s="3"/>
      <c r="EV935" s="3"/>
      <c r="EW935" s="3"/>
      <c r="EX935" s="3"/>
      <c r="EY935" s="3"/>
      <c r="EZ935" s="3"/>
      <c r="FA935" s="3"/>
      <c r="FB935" s="3"/>
      <c r="FC935" s="3"/>
      <c r="FD935" s="3"/>
      <c r="FE935" s="3"/>
      <c r="FF935" s="3"/>
      <c r="FG935" s="3"/>
      <c r="FH935" s="3"/>
      <c r="FI935" s="3"/>
      <c r="FJ935" s="3"/>
      <c r="FK935" s="3"/>
      <c r="FL935" s="3"/>
      <c r="FM935" s="3"/>
      <c r="FN935" s="3"/>
      <c r="FO935" s="3"/>
      <c r="FP935" s="3"/>
      <c r="FQ935" s="3"/>
      <c r="FR935" s="3"/>
      <c r="FS935" s="3"/>
      <c r="FT935" s="3"/>
      <c r="FU935" s="3"/>
      <c r="FV935" s="3"/>
      <c r="FW935" s="3"/>
      <c r="FX935" s="3"/>
      <c r="FY935" s="3"/>
    </row>
    <row r="936" spans="7:181" ht="15" x14ac:dyDescent="0.25">
      <c r="G936" s="2"/>
      <c r="H936" s="2"/>
      <c r="I936" s="2"/>
      <c r="J936" s="2"/>
      <c r="K936" s="2"/>
      <c r="L936" s="3"/>
      <c r="M936" s="3"/>
      <c r="N936" s="3"/>
      <c r="O936" s="3"/>
      <c r="P936" s="3"/>
      <c r="Q936" s="3"/>
      <c r="R936" s="3"/>
      <c r="S936" s="3"/>
      <c r="T936" s="3"/>
      <c r="U936" s="4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4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4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4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  <c r="DI936" s="3"/>
      <c r="DJ936" s="3"/>
      <c r="DK936" s="3"/>
      <c r="DL936" s="3"/>
      <c r="DM936" s="3"/>
      <c r="DN936" s="3"/>
      <c r="DO936" s="3"/>
      <c r="DP936" s="3"/>
      <c r="DQ936" s="3"/>
      <c r="DR936" s="3"/>
      <c r="DS936" s="3"/>
      <c r="DT936" s="3"/>
      <c r="DU936" s="3"/>
      <c r="DV936" s="3"/>
      <c r="DW936" s="3"/>
      <c r="DX936" s="3"/>
      <c r="DY936" s="3"/>
      <c r="DZ936" s="3"/>
      <c r="EA936" s="3"/>
      <c r="EB936" s="3"/>
      <c r="EC936" s="3"/>
      <c r="ED936" s="3"/>
      <c r="EE936" s="3"/>
      <c r="EF936" s="3"/>
      <c r="EG936" s="3"/>
      <c r="EH936" s="3"/>
      <c r="EI936" s="3"/>
      <c r="EJ936" s="3"/>
      <c r="EK936" s="3"/>
      <c r="EL936" s="3"/>
      <c r="EM936" s="3"/>
      <c r="EN936" s="3"/>
      <c r="EO936" s="3"/>
      <c r="EP936" s="3"/>
      <c r="EQ936" s="3"/>
      <c r="ER936" s="3"/>
      <c r="ES936" s="3"/>
      <c r="ET936" s="3"/>
      <c r="EU936" s="3"/>
      <c r="EV936" s="3"/>
      <c r="EW936" s="3"/>
      <c r="EX936" s="3"/>
      <c r="EY936" s="3"/>
      <c r="EZ936" s="3"/>
      <c r="FA936" s="3"/>
      <c r="FB936" s="3"/>
      <c r="FC936" s="3"/>
      <c r="FD936" s="3"/>
      <c r="FE936" s="3"/>
      <c r="FF936" s="3"/>
      <c r="FG936" s="3"/>
      <c r="FH936" s="3"/>
      <c r="FI936" s="3"/>
      <c r="FJ936" s="3"/>
      <c r="FK936" s="3"/>
      <c r="FL936" s="3"/>
      <c r="FM936" s="3"/>
      <c r="FN936" s="3"/>
      <c r="FO936" s="3"/>
      <c r="FP936" s="3"/>
      <c r="FQ936" s="3"/>
      <c r="FR936" s="3"/>
      <c r="FS936" s="3"/>
      <c r="FT936" s="3"/>
      <c r="FU936" s="3"/>
      <c r="FV936" s="3"/>
      <c r="FW936" s="3"/>
      <c r="FX936" s="3"/>
      <c r="FY936" s="3"/>
    </row>
    <row r="937" spans="7:181" ht="15" x14ac:dyDescent="0.25">
      <c r="G937" s="2"/>
      <c r="H937" s="2"/>
      <c r="I937" s="2"/>
      <c r="J937" s="2"/>
      <c r="K937" s="2"/>
      <c r="L937" s="3"/>
      <c r="M937" s="3"/>
      <c r="N937" s="3"/>
      <c r="O937" s="3"/>
      <c r="P937" s="3"/>
      <c r="Q937" s="3"/>
      <c r="R937" s="3"/>
      <c r="S937" s="3"/>
      <c r="T937" s="3"/>
      <c r="U937" s="4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4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4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4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  <c r="DI937" s="3"/>
      <c r="DJ937" s="3"/>
      <c r="DK937" s="3"/>
      <c r="DL937" s="3"/>
      <c r="DM937" s="3"/>
      <c r="DN937" s="3"/>
      <c r="DO937" s="3"/>
      <c r="DP937" s="3"/>
      <c r="DQ937" s="3"/>
      <c r="DR937" s="3"/>
      <c r="DS937" s="3"/>
      <c r="DT937" s="3"/>
      <c r="DU937" s="3"/>
      <c r="DV937" s="3"/>
      <c r="DW937" s="3"/>
      <c r="DX937" s="3"/>
      <c r="DY937" s="3"/>
      <c r="DZ937" s="3"/>
      <c r="EA937" s="3"/>
      <c r="EB937" s="3"/>
      <c r="EC937" s="3"/>
      <c r="ED937" s="3"/>
      <c r="EE937" s="3"/>
      <c r="EF937" s="3"/>
      <c r="EG937" s="3"/>
      <c r="EH937" s="3"/>
      <c r="EI937" s="3"/>
      <c r="EJ937" s="3"/>
      <c r="EK937" s="3"/>
      <c r="EL937" s="3"/>
      <c r="EM937" s="3"/>
      <c r="EN937" s="3"/>
      <c r="EO937" s="3"/>
      <c r="EP937" s="3"/>
      <c r="EQ937" s="3"/>
      <c r="ER937" s="3"/>
      <c r="ES937" s="3"/>
      <c r="ET937" s="3"/>
      <c r="EU937" s="3"/>
      <c r="EV937" s="3"/>
      <c r="EW937" s="3"/>
      <c r="EX937" s="3"/>
      <c r="EY937" s="3"/>
      <c r="EZ937" s="3"/>
      <c r="FA937" s="3"/>
      <c r="FB937" s="3"/>
      <c r="FC937" s="3"/>
      <c r="FD937" s="3"/>
      <c r="FE937" s="3"/>
      <c r="FF937" s="3"/>
      <c r="FG937" s="3"/>
      <c r="FH937" s="3"/>
      <c r="FI937" s="3"/>
      <c r="FJ937" s="3"/>
      <c r="FK937" s="3"/>
      <c r="FL937" s="3"/>
      <c r="FM937" s="3"/>
      <c r="FN937" s="3"/>
      <c r="FO937" s="3"/>
      <c r="FP937" s="3"/>
      <c r="FQ937" s="3"/>
      <c r="FR937" s="3"/>
      <c r="FS937" s="3"/>
      <c r="FT937" s="3"/>
      <c r="FU937" s="3"/>
      <c r="FV937" s="3"/>
      <c r="FW937" s="3"/>
      <c r="FX937" s="3"/>
      <c r="FY937" s="3"/>
    </row>
    <row r="938" spans="7:181" ht="15" x14ac:dyDescent="0.25">
      <c r="G938" s="2"/>
      <c r="H938" s="2"/>
      <c r="I938" s="2"/>
      <c r="J938" s="2"/>
      <c r="K938" s="2"/>
      <c r="L938" s="3"/>
      <c r="M938" s="3"/>
      <c r="N938" s="3"/>
      <c r="O938" s="3"/>
      <c r="P938" s="3"/>
      <c r="Q938" s="3"/>
      <c r="R938" s="3"/>
      <c r="S938" s="3"/>
      <c r="T938" s="3"/>
      <c r="U938" s="4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4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4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4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  <c r="DI938" s="3"/>
      <c r="DJ938" s="3"/>
      <c r="DK938" s="3"/>
      <c r="DL938" s="3"/>
      <c r="DM938" s="3"/>
      <c r="DN938" s="3"/>
      <c r="DO938" s="3"/>
      <c r="DP938" s="3"/>
      <c r="DQ938" s="3"/>
      <c r="DR938" s="3"/>
      <c r="DS938" s="3"/>
      <c r="DT938" s="3"/>
      <c r="DU938" s="3"/>
      <c r="DV938" s="3"/>
      <c r="DW938" s="3"/>
      <c r="DX938" s="3"/>
      <c r="DY938" s="3"/>
      <c r="DZ938" s="3"/>
      <c r="EA938" s="3"/>
      <c r="EB938" s="3"/>
      <c r="EC938" s="3"/>
      <c r="ED938" s="3"/>
      <c r="EE938" s="3"/>
      <c r="EF938" s="3"/>
      <c r="EG938" s="3"/>
      <c r="EH938" s="3"/>
      <c r="EI938" s="3"/>
      <c r="EJ938" s="3"/>
      <c r="EK938" s="3"/>
      <c r="EL938" s="3"/>
      <c r="EM938" s="3"/>
      <c r="EN938" s="3"/>
      <c r="EO938" s="3"/>
      <c r="EP938" s="3"/>
      <c r="EQ938" s="3"/>
      <c r="ER938" s="3"/>
      <c r="ES938" s="3"/>
      <c r="ET938" s="3"/>
      <c r="EU938" s="3"/>
      <c r="EV938" s="3"/>
      <c r="EW938" s="3"/>
      <c r="EX938" s="3"/>
      <c r="EY938" s="3"/>
      <c r="EZ938" s="3"/>
      <c r="FA938" s="3"/>
      <c r="FB938" s="3"/>
      <c r="FC938" s="3"/>
      <c r="FD938" s="3"/>
      <c r="FE938" s="3"/>
      <c r="FF938" s="3"/>
      <c r="FG938" s="3"/>
      <c r="FH938" s="3"/>
      <c r="FI938" s="3"/>
      <c r="FJ938" s="3"/>
      <c r="FK938" s="3"/>
      <c r="FL938" s="3"/>
      <c r="FM938" s="3"/>
      <c r="FN938" s="3"/>
      <c r="FO938" s="3"/>
      <c r="FP938" s="3"/>
      <c r="FQ938" s="3"/>
      <c r="FR938" s="3"/>
      <c r="FS938" s="3"/>
      <c r="FT938" s="3"/>
      <c r="FU938" s="3"/>
      <c r="FV938" s="3"/>
      <c r="FW938" s="3"/>
      <c r="FX938" s="3"/>
      <c r="FY938" s="3"/>
    </row>
    <row r="939" spans="7:181" ht="15" x14ac:dyDescent="0.25">
      <c r="G939" s="2"/>
      <c r="H939" s="2"/>
      <c r="I939" s="2"/>
      <c r="J939" s="2"/>
      <c r="K939" s="2"/>
      <c r="L939" s="3"/>
      <c r="M939" s="3"/>
      <c r="N939" s="3"/>
      <c r="O939" s="3"/>
      <c r="P939" s="3"/>
      <c r="Q939" s="3"/>
      <c r="R939" s="3"/>
      <c r="S939" s="3"/>
      <c r="T939" s="3"/>
      <c r="U939" s="4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4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4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4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/>
      <c r="DS939" s="3"/>
      <c r="DT939" s="3"/>
      <c r="DU939" s="3"/>
      <c r="DV939" s="3"/>
      <c r="DW939" s="3"/>
      <c r="DX939" s="3"/>
      <c r="DY939" s="3"/>
      <c r="DZ939" s="3"/>
      <c r="EA939" s="3"/>
      <c r="EB939" s="3"/>
      <c r="EC939" s="3"/>
      <c r="ED939" s="3"/>
      <c r="EE939" s="3"/>
      <c r="EF939" s="3"/>
      <c r="EG939" s="3"/>
      <c r="EH939" s="3"/>
      <c r="EI939" s="3"/>
      <c r="EJ939" s="3"/>
      <c r="EK939" s="3"/>
      <c r="EL939" s="3"/>
      <c r="EM939" s="3"/>
      <c r="EN939" s="3"/>
      <c r="EO939" s="3"/>
      <c r="EP939" s="3"/>
      <c r="EQ939" s="3"/>
      <c r="ER939" s="3"/>
      <c r="ES939" s="3"/>
      <c r="ET939" s="3"/>
      <c r="EU939" s="3"/>
      <c r="EV939" s="3"/>
      <c r="EW939" s="3"/>
      <c r="EX939" s="3"/>
      <c r="EY939" s="3"/>
      <c r="EZ939" s="3"/>
      <c r="FA939" s="3"/>
      <c r="FB939" s="3"/>
      <c r="FC939" s="3"/>
      <c r="FD939" s="3"/>
      <c r="FE939" s="3"/>
      <c r="FF939" s="3"/>
      <c r="FG939" s="3"/>
      <c r="FH939" s="3"/>
      <c r="FI939" s="3"/>
      <c r="FJ939" s="3"/>
      <c r="FK939" s="3"/>
      <c r="FL939" s="3"/>
      <c r="FM939" s="3"/>
      <c r="FN939" s="3"/>
      <c r="FO939" s="3"/>
      <c r="FP939" s="3"/>
      <c r="FQ939" s="3"/>
      <c r="FR939" s="3"/>
      <c r="FS939" s="3"/>
      <c r="FT939" s="3"/>
      <c r="FU939" s="3"/>
      <c r="FV939" s="3"/>
      <c r="FW939" s="3"/>
      <c r="FX939" s="3"/>
      <c r="FY939" s="3"/>
    </row>
    <row r="940" spans="7:181" ht="15" x14ac:dyDescent="0.25">
      <c r="G940" s="2"/>
      <c r="H940" s="2"/>
      <c r="I940" s="2"/>
      <c r="J940" s="2"/>
      <c r="K940" s="2"/>
      <c r="L940" s="3"/>
      <c r="M940" s="3"/>
      <c r="N940" s="3"/>
      <c r="O940" s="3"/>
      <c r="P940" s="3"/>
      <c r="Q940" s="3"/>
      <c r="R940" s="3"/>
      <c r="S940" s="3"/>
      <c r="T940" s="3"/>
      <c r="U940" s="4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4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4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4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/>
      <c r="DS940" s="3"/>
      <c r="DT940" s="3"/>
      <c r="DU940" s="3"/>
      <c r="DV940" s="3"/>
      <c r="DW940" s="3"/>
      <c r="DX940" s="3"/>
      <c r="DY940" s="3"/>
      <c r="DZ940" s="3"/>
      <c r="EA940" s="3"/>
      <c r="EB940" s="3"/>
      <c r="EC940" s="3"/>
      <c r="ED940" s="3"/>
      <c r="EE940" s="3"/>
      <c r="EF940" s="3"/>
      <c r="EG940" s="3"/>
      <c r="EH940" s="3"/>
      <c r="EI940" s="3"/>
      <c r="EJ940" s="3"/>
      <c r="EK940" s="3"/>
      <c r="EL940" s="3"/>
      <c r="EM940" s="3"/>
      <c r="EN940" s="3"/>
      <c r="EO940" s="3"/>
      <c r="EP940" s="3"/>
      <c r="EQ940" s="3"/>
      <c r="ER940" s="3"/>
      <c r="ES940" s="3"/>
      <c r="ET940" s="3"/>
      <c r="EU940" s="3"/>
      <c r="EV940" s="3"/>
      <c r="EW940" s="3"/>
      <c r="EX940" s="3"/>
      <c r="EY940" s="3"/>
      <c r="EZ940" s="3"/>
      <c r="FA940" s="3"/>
      <c r="FB940" s="3"/>
      <c r="FC940" s="3"/>
      <c r="FD940" s="3"/>
      <c r="FE940" s="3"/>
      <c r="FF940" s="3"/>
      <c r="FG940" s="3"/>
      <c r="FH940" s="3"/>
      <c r="FI940" s="3"/>
      <c r="FJ940" s="3"/>
      <c r="FK940" s="3"/>
      <c r="FL940" s="3"/>
      <c r="FM940" s="3"/>
      <c r="FN940" s="3"/>
      <c r="FO940" s="3"/>
      <c r="FP940" s="3"/>
      <c r="FQ940" s="3"/>
      <c r="FR940" s="3"/>
      <c r="FS940" s="3"/>
      <c r="FT940" s="3"/>
      <c r="FU940" s="3"/>
      <c r="FV940" s="3"/>
      <c r="FW940" s="3"/>
      <c r="FX940" s="3"/>
      <c r="FY940" s="3"/>
    </row>
    <row r="941" spans="7:181" ht="15" x14ac:dyDescent="0.25">
      <c r="G941" s="2"/>
      <c r="H941" s="2"/>
      <c r="I941" s="2"/>
      <c r="J941" s="2"/>
      <c r="K941" s="2"/>
      <c r="L941" s="3"/>
      <c r="M941" s="3"/>
      <c r="N941" s="3"/>
      <c r="O941" s="3"/>
      <c r="P941" s="3"/>
      <c r="Q941" s="3"/>
      <c r="R941" s="3"/>
      <c r="S941" s="3"/>
      <c r="T941" s="3"/>
      <c r="U941" s="4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4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4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4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/>
      <c r="DS941" s="3"/>
      <c r="DT941" s="3"/>
      <c r="DU941" s="3"/>
      <c r="DV941" s="3"/>
      <c r="DW941" s="3"/>
      <c r="DX941" s="3"/>
      <c r="DY941" s="3"/>
      <c r="DZ941" s="3"/>
      <c r="EA941" s="3"/>
      <c r="EB941" s="3"/>
      <c r="EC941" s="3"/>
      <c r="ED941" s="3"/>
      <c r="EE941" s="3"/>
      <c r="EF941" s="3"/>
      <c r="EG941" s="3"/>
      <c r="EH941" s="3"/>
      <c r="EI941" s="3"/>
      <c r="EJ941" s="3"/>
      <c r="EK941" s="3"/>
      <c r="EL941" s="3"/>
      <c r="EM941" s="3"/>
      <c r="EN941" s="3"/>
      <c r="EO941" s="3"/>
      <c r="EP941" s="3"/>
      <c r="EQ941" s="3"/>
      <c r="ER941" s="3"/>
      <c r="ES941" s="3"/>
      <c r="ET941" s="3"/>
      <c r="EU941" s="3"/>
      <c r="EV941" s="3"/>
      <c r="EW941" s="3"/>
      <c r="EX941" s="3"/>
      <c r="EY941" s="3"/>
      <c r="EZ941" s="3"/>
      <c r="FA941" s="3"/>
      <c r="FB941" s="3"/>
      <c r="FC941" s="3"/>
      <c r="FD941" s="3"/>
      <c r="FE941" s="3"/>
      <c r="FF941" s="3"/>
      <c r="FG941" s="3"/>
      <c r="FH941" s="3"/>
      <c r="FI941" s="3"/>
      <c r="FJ941" s="3"/>
      <c r="FK941" s="3"/>
      <c r="FL941" s="3"/>
      <c r="FM941" s="3"/>
      <c r="FN941" s="3"/>
      <c r="FO941" s="3"/>
      <c r="FP941" s="3"/>
      <c r="FQ941" s="3"/>
      <c r="FR941" s="3"/>
      <c r="FS941" s="3"/>
      <c r="FT941" s="3"/>
      <c r="FU941" s="3"/>
      <c r="FV941" s="3"/>
      <c r="FW941" s="3"/>
      <c r="FX941" s="3"/>
      <c r="FY941" s="3"/>
    </row>
    <row r="942" spans="7:181" ht="15" x14ac:dyDescent="0.25">
      <c r="G942" s="2"/>
      <c r="H942" s="2"/>
      <c r="I942" s="2"/>
      <c r="J942" s="2"/>
      <c r="K942" s="2"/>
      <c r="L942" s="3"/>
      <c r="M942" s="3"/>
      <c r="N942" s="3"/>
      <c r="O942" s="3"/>
      <c r="P942" s="3"/>
      <c r="Q942" s="3"/>
      <c r="R942" s="3"/>
      <c r="S942" s="3"/>
      <c r="T942" s="3"/>
      <c r="U942" s="4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4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4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4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  <c r="DS942" s="3"/>
      <c r="DT942" s="3"/>
      <c r="DU942" s="3"/>
      <c r="DV942" s="3"/>
      <c r="DW942" s="3"/>
      <c r="DX942" s="3"/>
      <c r="DY942" s="3"/>
      <c r="DZ942" s="3"/>
      <c r="EA942" s="3"/>
      <c r="EB942" s="3"/>
      <c r="EC942" s="3"/>
      <c r="ED942" s="3"/>
      <c r="EE942" s="3"/>
      <c r="EF942" s="3"/>
      <c r="EG942" s="3"/>
      <c r="EH942" s="3"/>
      <c r="EI942" s="3"/>
      <c r="EJ942" s="3"/>
      <c r="EK942" s="3"/>
      <c r="EL942" s="3"/>
      <c r="EM942" s="3"/>
      <c r="EN942" s="3"/>
      <c r="EO942" s="3"/>
      <c r="EP942" s="3"/>
      <c r="EQ942" s="3"/>
      <c r="ER942" s="3"/>
      <c r="ES942" s="3"/>
      <c r="ET942" s="3"/>
      <c r="EU942" s="3"/>
      <c r="EV942" s="3"/>
      <c r="EW942" s="3"/>
      <c r="EX942" s="3"/>
      <c r="EY942" s="3"/>
      <c r="EZ942" s="3"/>
      <c r="FA942" s="3"/>
      <c r="FB942" s="3"/>
      <c r="FC942" s="3"/>
      <c r="FD942" s="3"/>
      <c r="FE942" s="3"/>
      <c r="FF942" s="3"/>
      <c r="FG942" s="3"/>
      <c r="FH942" s="3"/>
      <c r="FI942" s="3"/>
      <c r="FJ942" s="3"/>
      <c r="FK942" s="3"/>
      <c r="FL942" s="3"/>
      <c r="FM942" s="3"/>
      <c r="FN942" s="3"/>
      <c r="FO942" s="3"/>
      <c r="FP942" s="3"/>
      <c r="FQ942" s="3"/>
      <c r="FR942" s="3"/>
      <c r="FS942" s="3"/>
      <c r="FT942" s="3"/>
      <c r="FU942" s="3"/>
      <c r="FV942" s="3"/>
      <c r="FW942" s="3"/>
      <c r="FX942" s="3"/>
      <c r="FY942" s="3"/>
    </row>
    <row r="943" spans="7:181" ht="15" x14ac:dyDescent="0.25">
      <c r="G943" s="2"/>
      <c r="H943" s="2"/>
      <c r="I943" s="2"/>
      <c r="J943" s="2"/>
      <c r="K943" s="2"/>
      <c r="L943" s="3"/>
      <c r="M943" s="3"/>
      <c r="N943" s="3"/>
      <c r="O943" s="3"/>
      <c r="P943" s="3"/>
      <c r="Q943" s="3"/>
      <c r="R943" s="3"/>
      <c r="S943" s="3"/>
      <c r="T943" s="3"/>
      <c r="U943" s="4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4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4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4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  <c r="DI943" s="3"/>
      <c r="DJ943" s="3"/>
      <c r="DK943" s="3"/>
      <c r="DL943" s="3"/>
      <c r="DM943" s="3"/>
      <c r="DN943" s="3"/>
      <c r="DO943" s="3"/>
      <c r="DP943" s="3"/>
      <c r="DQ943" s="3"/>
      <c r="DR943" s="3"/>
      <c r="DS943" s="3"/>
      <c r="DT943" s="3"/>
      <c r="DU943" s="3"/>
      <c r="DV943" s="3"/>
      <c r="DW943" s="3"/>
      <c r="DX943" s="3"/>
      <c r="DY943" s="3"/>
      <c r="DZ943" s="3"/>
      <c r="EA943" s="3"/>
      <c r="EB943" s="3"/>
      <c r="EC943" s="3"/>
      <c r="ED943" s="3"/>
      <c r="EE943" s="3"/>
      <c r="EF943" s="3"/>
      <c r="EG943" s="3"/>
      <c r="EH943" s="3"/>
      <c r="EI943" s="3"/>
      <c r="EJ943" s="3"/>
      <c r="EK943" s="3"/>
      <c r="EL943" s="3"/>
      <c r="EM943" s="3"/>
      <c r="EN943" s="3"/>
      <c r="EO943" s="3"/>
      <c r="EP943" s="3"/>
      <c r="EQ943" s="3"/>
      <c r="ER943" s="3"/>
      <c r="ES943" s="3"/>
      <c r="ET943" s="3"/>
      <c r="EU943" s="3"/>
      <c r="EV943" s="3"/>
      <c r="EW943" s="3"/>
      <c r="EX943" s="3"/>
      <c r="EY943" s="3"/>
      <c r="EZ943" s="3"/>
      <c r="FA943" s="3"/>
      <c r="FB943" s="3"/>
      <c r="FC943" s="3"/>
      <c r="FD943" s="3"/>
      <c r="FE943" s="3"/>
      <c r="FF943" s="3"/>
      <c r="FG943" s="3"/>
      <c r="FH943" s="3"/>
      <c r="FI943" s="3"/>
      <c r="FJ943" s="3"/>
      <c r="FK943" s="3"/>
      <c r="FL943" s="3"/>
      <c r="FM943" s="3"/>
      <c r="FN943" s="3"/>
      <c r="FO943" s="3"/>
      <c r="FP943" s="3"/>
      <c r="FQ943" s="3"/>
      <c r="FR943" s="3"/>
      <c r="FS943" s="3"/>
      <c r="FT943" s="3"/>
      <c r="FU943" s="3"/>
      <c r="FV943" s="3"/>
      <c r="FW943" s="3"/>
      <c r="FX943" s="3"/>
      <c r="FY943" s="3"/>
    </row>
    <row r="944" spans="7:181" ht="15" x14ac:dyDescent="0.25">
      <c r="G944" s="2"/>
      <c r="H944" s="2"/>
      <c r="I944" s="2"/>
      <c r="J944" s="2"/>
      <c r="K944" s="2"/>
      <c r="L944" s="3"/>
      <c r="M944" s="3"/>
      <c r="N944" s="3"/>
      <c r="O944" s="3"/>
      <c r="P944" s="3"/>
      <c r="Q944" s="3"/>
      <c r="R944" s="3"/>
      <c r="S944" s="3"/>
      <c r="T944" s="3"/>
      <c r="U944" s="4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4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4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4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  <c r="DI944" s="3"/>
      <c r="DJ944" s="3"/>
      <c r="DK944" s="3"/>
      <c r="DL944" s="3"/>
      <c r="DM944" s="3"/>
      <c r="DN944" s="3"/>
      <c r="DO944" s="3"/>
      <c r="DP944" s="3"/>
      <c r="DQ944" s="3"/>
      <c r="DR944" s="3"/>
      <c r="DS944" s="3"/>
      <c r="DT944" s="3"/>
      <c r="DU944" s="3"/>
      <c r="DV944" s="3"/>
      <c r="DW944" s="3"/>
      <c r="DX944" s="3"/>
      <c r="DY944" s="3"/>
      <c r="DZ944" s="3"/>
      <c r="EA944" s="3"/>
      <c r="EB944" s="3"/>
      <c r="EC944" s="3"/>
      <c r="ED944" s="3"/>
      <c r="EE944" s="3"/>
      <c r="EF944" s="3"/>
      <c r="EG944" s="3"/>
      <c r="EH944" s="3"/>
      <c r="EI944" s="3"/>
      <c r="EJ944" s="3"/>
      <c r="EK944" s="3"/>
      <c r="EL944" s="3"/>
      <c r="EM944" s="3"/>
      <c r="EN944" s="3"/>
      <c r="EO944" s="3"/>
      <c r="EP944" s="3"/>
      <c r="EQ944" s="3"/>
      <c r="ER944" s="3"/>
      <c r="ES944" s="3"/>
      <c r="ET944" s="3"/>
      <c r="EU944" s="3"/>
      <c r="EV944" s="3"/>
      <c r="EW944" s="3"/>
      <c r="EX944" s="3"/>
      <c r="EY944" s="3"/>
      <c r="EZ944" s="3"/>
      <c r="FA944" s="3"/>
      <c r="FB944" s="3"/>
      <c r="FC944" s="3"/>
      <c r="FD944" s="3"/>
      <c r="FE944" s="3"/>
      <c r="FF944" s="3"/>
      <c r="FG944" s="3"/>
      <c r="FH944" s="3"/>
      <c r="FI944" s="3"/>
      <c r="FJ944" s="3"/>
      <c r="FK944" s="3"/>
      <c r="FL944" s="3"/>
      <c r="FM944" s="3"/>
      <c r="FN944" s="3"/>
      <c r="FO944" s="3"/>
      <c r="FP944" s="3"/>
      <c r="FQ944" s="3"/>
      <c r="FR944" s="3"/>
      <c r="FS944" s="3"/>
      <c r="FT944" s="3"/>
      <c r="FU944" s="3"/>
      <c r="FV944" s="3"/>
      <c r="FW944" s="3"/>
      <c r="FX944" s="3"/>
      <c r="FY944" s="3"/>
    </row>
    <row r="945" spans="7:181" ht="15" x14ac:dyDescent="0.25">
      <c r="G945" s="2"/>
      <c r="H945" s="2"/>
      <c r="I945" s="2"/>
      <c r="J945" s="2"/>
      <c r="K945" s="2"/>
      <c r="L945" s="3"/>
      <c r="M945" s="3"/>
      <c r="N945" s="3"/>
      <c r="O945" s="3"/>
      <c r="P945" s="3"/>
      <c r="Q945" s="3"/>
      <c r="R945" s="3"/>
      <c r="S945" s="3"/>
      <c r="T945" s="3"/>
      <c r="U945" s="4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4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4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4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3"/>
      <c r="DK945" s="3"/>
      <c r="DL945" s="3"/>
      <c r="DM945" s="3"/>
      <c r="DN945" s="3"/>
      <c r="DO945" s="3"/>
      <c r="DP945" s="3"/>
      <c r="DQ945" s="3"/>
      <c r="DR945" s="3"/>
      <c r="DS945" s="3"/>
      <c r="DT945" s="3"/>
      <c r="DU945" s="3"/>
      <c r="DV945" s="3"/>
      <c r="DW945" s="3"/>
      <c r="DX945" s="3"/>
      <c r="DY945" s="3"/>
      <c r="DZ945" s="3"/>
      <c r="EA945" s="3"/>
      <c r="EB945" s="3"/>
      <c r="EC945" s="3"/>
      <c r="ED945" s="3"/>
      <c r="EE945" s="3"/>
      <c r="EF945" s="3"/>
      <c r="EG945" s="3"/>
      <c r="EH945" s="3"/>
      <c r="EI945" s="3"/>
      <c r="EJ945" s="3"/>
      <c r="EK945" s="3"/>
      <c r="EL945" s="3"/>
      <c r="EM945" s="3"/>
      <c r="EN945" s="3"/>
      <c r="EO945" s="3"/>
      <c r="EP945" s="3"/>
      <c r="EQ945" s="3"/>
      <c r="ER945" s="3"/>
      <c r="ES945" s="3"/>
      <c r="ET945" s="3"/>
      <c r="EU945" s="3"/>
      <c r="EV945" s="3"/>
      <c r="EW945" s="3"/>
      <c r="EX945" s="3"/>
      <c r="EY945" s="3"/>
      <c r="EZ945" s="3"/>
      <c r="FA945" s="3"/>
      <c r="FB945" s="3"/>
      <c r="FC945" s="3"/>
      <c r="FD945" s="3"/>
      <c r="FE945" s="3"/>
      <c r="FF945" s="3"/>
      <c r="FG945" s="3"/>
      <c r="FH945" s="3"/>
      <c r="FI945" s="3"/>
      <c r="FJ945" s="3"/>
      <c r="FK945" s="3"/>
      <c r="FL945" s="3"/>
      <c r="FM945" s="3"/>
      <c r="FN945" s="3"/>
      <c r="FO945" s="3"/>
      <c r="FP945" s="3"/>
      <c r="FQ945" s="3"/>
      <c r="FR945" s="3"/>
      <c r="FS945" s="3"/>
      <c r="FT945" s="3"/>
      <c r="FU945" s="3"/>
      <c r="FV945" s="3"/>
      <c r="FW945" s="3"/>
      <c r="FX945" s="3"/>
      <c r="FY945" s="3"/>
    </row>
    <row r="946" spans="7:181" ht="15" x14ac:dyDescent="0.25">
      <c r="G946" s="2"/>
      <c r="H946" s="2"/>
      <c r="I946" s="2"/>
      <c r="J946" s="2"/>
      <c r="K946" s="2"/>
      <c r="L946" s="3"/>
      <c r="M946" s="3"/>
      <c r="N946" s="3"/>
      <c r="O946" s="3"/>
      <c r="P946" s="3"/>
      <c r="Q946" s="3"/>
      <c r="R946" s="3"/>
      <c r="S946" s="3"/>
      <c r="T946" s="3"/>
      <c r="U946" s="4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4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4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4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3"/>
      <c r="DK946" s="3"/>
      <c r="DL946" s="3"/>
      <c r="DM946" s="3"/>
      <c r="DN946" s="3"/>
      <c r="DO946" s="3"/>
      <c r="DP946" s="3"/>
      <c r="DQ946" s="3"/>
      <c r="DR946" s="3"/>
      <c r="DS946" s="3"/>
      <c r="DT946" s="3"/>
      <c r="DU946" s="3"/>
      <c r="DV946" s="3"/>
      <c r="DW946" s="3"/>
      <c r="DX946" s="3"/>
      <c r="DY946" s="3"/>
      <c r="DZ946" s="3"/>
      <c r="EA946" s="3"/>
      <c r="EB946" s="3"/>
      <c r="EC946" s="3"/>
      <c r="ED946" s="3"/>
      <c r="EE946" s="3"/>
      <c r="EF946" s="3"/>
      <c r="EG946" s="3"/>
      <c r="EH946" s="3"/>
      <c r="EI946" s="3"/>
      <c r="EJ946" s="3"/>
      <c r="EK946" s="3"/>
      <c r="EL946" s="3"/>
      <c r="EM946" s="3"/>
      <c r="EN946" s="3"/>
      <c r="EO946" s="3"/>
      <c r="EP946" s="3"/>
      <c r="EQ946" s="3"/>
      <c r="ER946" s="3"/>
      <c r="ES946" s="3"/>
      <c r="ET946" s="3"/>
      <c r="EU946" s="3"/>
      <c r="EV946" s="3"/>
      <c r="EW946" s="3"/>
      <c r="EX946" s="3"/>
      <c r="EY946" s="3"/>
      <c r="EZ946" s="3"/>
      <c r="FA946" s="3"/>
      <c r="FB946" s="3"/>
      <c r="FC946" s="3"/>
      <c r="FD946" s="3"/>
      <c r="FE946" s="3"/>
      <c r="FF946" s="3"/>
      <c r="FG946" s="3"/>
      <c r="FH946" s="3"/>
      <c r="FI946" s="3"/>
      <c r="FJ946" s="3"/>
      <c r="FK946" s="3"/>
      <c r="FL946" s="3"/>
      <c r="FM946" s="3"/>
      <c r="FN946" s="3"/>
      <c r="FO946" s="3"/>
      <c r="FP946" s="3"/>
      <c r="FQ946" s="3"/>
      <c r="FR946" s="3"/>
      <c r="FS946" s="3"/>
      <c r="FT946" s="3"/>
      <c r="FU946" s="3"/>
      <c r="FV946" s="3"/>
      <c r="FW946" s="3"/>
      <c r="FX946" s="3"/>
      <c r="FY946" s="3"/>
    </row>
    <row r="947" spans="7:181" ht="15" x14ac:dyDescent="0.25">
      <c r="G947" s="2"/>
      <c r="H947" s="2"/>
      <c r="I947" s="2"/>
      <c r="J947" s="2"/>
      <c r="K947" s="2"/>
      <c r="L947" s="3"/>
      <c r="M947" s="3"/>
      <c r="N947" s="3"/>
      <c r="O947" s="3"/>
      <c r="P947" s="3"/>
      <c r="Q947" s="3"/>
      <c r="R947" s="3"/>
      <c r="S947" s="3"/>
      <c r="T947" s="3"/>
      <c r="U947" s="4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4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4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4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3"/>
      <c r="DK947" s="3"/>
      <c r="DL947" s="3"/>
      <c r="DM947" s="3"/>
      <c r="DN947" s="3"/>
      <c r="DO947" s="3"/>
      <c r="DP947" s="3"/>
      <c r="DQ947" s="3"/>
      <c r="DR947" s="3"/>
      <c r="DS947" s="3"/>
      <c r="DT947" s="3"/>
      <c r="DU947" s="3"/>
      <c r="DV947" s="3"/>
      <c r="DW947" s="3"/>
      <c r="DX947" s="3"/>
      <c r="DY947" s="3"/>
      <c r="DZ947" s="3"/>
      <c r="EA947" s="3"/>
      <c r="EB947" s="3"/>
      <c r="EC947" s="3"/>
      <c r="ED947" s="3"/>
      <c r="EE947" s="3"/>
      <c r="EF947" s="3"/>
      <c r="EG947" s="3"/>
      <c r="EH947" s="3"/>
      <c r="EI947" s="3"/>
      <c r="EJ947" s="3"/>
      <c r="EK947" s="3"/>
      <c r="EL947" s="3"/>
      <c r="EM947" s="3"/>
      <c r="EN947" s="3"/>
      <c r="EO947" s="3"/>
      <c r="EP947" s="3"/>
      <c r="EQ947" s="3"/>
      <c r="ER947" s="3"/>
      <c r="ES947" s="3"/>
      <c r="ET947" s="3"/>
      <c r="EU947" s="3"/>
      <c r="EV947" s="3"/>
      <c r="EW947" s="3"/>
      <c r="EX947" s="3"/>
      <c r="EY947" s="3"/>
      <c r="EZ947" s="3"/>
      <c r="FA947" s="3"/>
      <c r="FB947" s="3"/>
      <c r="FC947" s="3"/>
      <c r="FD947" s="3"/>
      <c r="FE947" s="3"/>
      <c r="FF947" s="3"/>
      <c r="FG947" s="3"/>
      <c r="FH947" s="3"/>
      <c r="FI947" s="3"/>
      <c r="FJ947" s="3"/>
      <c r="FK947" s="3"/>
      <c r="FL947" s="3"/>
      <c r="FM947" s="3"/>
      <c r="FN947" s="3"/>
      <c r="FO947" s="3"/>
      <c r="FP947" s="3"/>
      <c r="FQ947" s="3"/>
      <c r="FR947" s="3"/>
      <c r="FS947" s="3"/>
      <c r="FT947" s="3"/>
      <c r="FU947" s="3"/>
      <c r="FV947" s="3"/>
      <c r="FW947" s="3"/>
      <c r="FX947" s="3"/>
      <c r="FY947" s="3"/>
    </row>
    <row r="948" spans="7:181" ht="15" x14ac:dyDescent="0.25">
      <c r="G948" s="2"/>
      <c r="H948" s="2"/>
      <c r="I948" s="2"/>
      <c r="J948" s="2"/>
      <c r="K948" s="2"/>
      <c r="L948" s="3"/>
      <c r="M948" s="3"/>
      <c r="N948" s="3"/>
      <c r="O948" s="3"/>
      <c r="P948" s="3"/>
      <c r="Q948" s="3"/>
      <c r="R948" s="3"/>
      <c r="S948" s="3"/>
      <c r="T948" s="3"/>
      <c r="U948" s="4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4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4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4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  <c r="DI948" s="3"/>
      <c r="DJ948" s="3"/>
      <c r="DK948" s="3"/>
      <c r="DL948" s="3"/>
      <c r="DM948" s="3"/>
      <c r="DN948" s="3"/>
      <c r="DO948" s="3"/>
      <c r="DP948" s="3"/>
      <c r="DQ948" s="3"/>
      <c r="DR948" s="3"/>
      <c r="DS948" s="3"/>
      <c r="DT948" s="3"/>
      <c r="DU948" s="3"/>
      <c r="DV948" s="3"/>
      <c r="DW948" s="3"/>
      <c r="DX948" s="3"/>
      <c r="DY948" s="3"/>
      <c r="DZ948" s="3"/>
      <c r="EA948" s="3"/>
      <c r="EB948" s="3"/>
      <c r="EC948" s="3"/>
      <c r="ED948" s="3"/>
      <c r="EE948" s="3"/>
      <c r="EF948" s="3"/>
      <c r="EG948" s="3"/>
      <c r="EH948" s="3"/>
      <c r="EI948" s="3"/>
      <c r="EJ948" s="3"/>
      <c r="EK948" s="3"/>
      <c r="EL948" s="3"/>
      <c r="EM948" s="3"/>
      <c r="EN948" s="3"/>
      <c r="EO948" s="3"/>
      <c r="EP948" s="3"/>
      <c r="EQ948" s="3"/>
      <c r="ER948" s="3"/>
      <c r="ES948" s="3"/>
      <c r="ET948" s="3"/>
      <c r="EU948" s="3"/>
      <c r="EV948" s="3"/>
      <c r="EW948" s="3"/>
      <c r="EX948" s="3"/>
      <c r="EY948" s="3"/>
      <c r="EZ948" s="3"/>
      <c r="FA948" s="3"/>
      <c r="FB948" s="3"/>
      <c r="FC948" s="3"/>
      <c r="FD948" s="3"/>
      <c r="FE948" s="3"/>
      <c r="FF948" s="3"/>
      <c r="FG948" s="3"/>
      <c r="FH948" s="3"/>
      <c r="FI948" s="3"/>
      <c r="FJ948" s="3"/>
      <c r="FK948" s="3"/>
      <c r="FL948" s="3"/>
      <c r="FM948" s="3"/>
      <c r="FN948" s="3"/>
      <c r="FO948" s="3"/>
      <c r="FP948" s="3"/>
      <c r="FQ948" s="3"/>
      <c r="FR948" s="3"/>
      <c r="FS948" s="3"/>
      <c r="FT948" s="3"/>
      <c r="FU948" s="3"/>
      <c r="FV948" s="3"/>
      <c r="FW948" s="3"/>
      <c r="FX948" s="3"/>
      <c r="FY948" s="3"/>
    </row>
    <row r="949" spans="7:181" ht="15" x14ac:dyDescent="0.25">
      <c r="G949" s="2"/>
      <c r="H949" s="2"/>
      <c r="I949" s="2"/>
      <c r="J949" s="2"/>
      <c r="K949" s="2"/>
      <c r="L949" s="3"/>
      <c r="M949" s="3"/>
      <c r="N949" s="3"/>
      <c r="O949" s="3"/>
      <c r="P949" s="3"/>
      <c r="Q949" s="3"/>
      <c r="R949" s="3"/>
      <c r="S949" s="3"/>
      <c r="T949" s="3"/>
      <c r="U949" s="4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4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4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4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3"/>
      <c r="DK949" s="3"/>
      <c r="DL949" s="3"/>
      <c r="DM949" s="3"/>
      <c r="DN949" s="3"/>
      <c r="DO949" s="3"/>
      <c r="DP949" s="3"/>
      <c r="DQ949" s="3"/>
      <c r="DR949" s="3"/>
      <c r="DS949" s="3"/>
      <c r="DT949" s="3"/>
      <c r="DU949" s="3"/>
      <c r="DV949" s="3"/>
      <c r="DW949" s="3"/>
      <c r="DX949" s="3"/>
      <c r="DY949" s="3"/>
      <c r="DZ949" s="3"/>
      <c r="EA949" s="3"/>
      <c r="EB949" s="3"/>
      <c r="EC949" s="3"/>
      <c r="ED949" s="3"/>
      <c r="EE949" s="3"/>
      <c r="EF949" s="3"/>
      <c r="EG949" s="3"/>
      <c r="EH949" s="3"/>
      <c r="EI949" s="3"/>
      <c r="EJ949" s="3"/>
      <c r="EK949" s="3"/>
      <c r="EL949" s="3"/>
      <c r="EM949" s="3"/>
      <c r="EN949" s="3"/>
      <c r="EO949" s="3"/>
      <c r="EP949" s="3"/>
      <c r="EQ949" s="3"/>
      <c r="ER949" s="3"/>
      <c r="ES949" s="3"/>
      <c r="ET949" s="3"/>
      <c r="EU949" s="3"/>
      <c r="EV949" s="3"/>
      <c r="EW949" s="3"/>
      <c r="EX949" s="3"/>
      <c r="EY949" s="3"/>
      <c r="EZ949" s="3"/>
      <c r="FA949" s="3"/>
      <c r="FB949" s="3"/>
      <c r="FC949" s="3"/>
      <c r="FD949" s="3"/>
      <c r="FE949" s="3"/>
      <c r="FF949" s="3"/>
      <c r="FG949" s="3"/>
      <c r="FH949" s="3"/>
      <c r="FI949" s="3"/>
      <c r="FJ949" s="3"/>
      <c r="FK949" s="3"/>
      <c r="FL949" s="3"/>
      <c r="FM949" s="3"/>
      <c r="FN949" s="3"/>
      <c r="FO949" s="3"/>
      <c r="FP949" s="3"/>
      <c r="FQ949" s="3"/>
      <c r="FR949" s="3"/>
      <c r="FS949" s="3"/>
      <c r="FT949" s="3"/>
      <c r="FU949" s="3"/>
      <c r="FV949" s="3"/>
      <c r="FW949" s="3"/>
      <c r="FX949" s="3"/>
      <c r="FY949" s="3"/>
    </row>
    <row r="950" spans="7:181" ht="15" x14ac:dyDescent="0.25">
      <c r="G950" s="2"/>
      <c r="H950" s="2"/>
      <c r="I950" s="2"/>
      <c r="J950" s="2"/>
      <c r="K950" s="2"/>
      <c r="L950" s="3"/>
      <c r="M950" s="3"/>
      <c r="N950" s="3"/>
      <c r="O950" s="3"/>
      <c r="P950" s="3"/>
      <c r="Q950" s="3"/>
      <c r="R950" s="3"/>
      <c r="S950" s="3"/>
      <c r="T950" s="3"/>
      <c r="U950" s="4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4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4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4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  <c r="DP950" s="3"/>
      <c r="DQ950" s="3"/>
      <c r="DR950" s="3"/>
      <c r="DS950" s="3"/>
      <c r="DT950" s="3"/>
      <c r="DU950" s="3"/>
      <c r="DV950" s="3"/>
      <c r="DW950" s="3"/>
      <c r="DX950" s="3"/>
      <c r="DY950" s="3"/>
      <c r="DZ950" s="3"/>
      <c r="EA950" s="3"/>
      <c r="EB950" s="3"/>
      <c r="EC950" s="3"/>
      <c r="ED950" s="3"/>
      <c r="EE950" s="3"/>
      <c r="EF950" s="3"/>
      <c r="EG950" s="3"/>
      <c r="EH950" s="3"/>
      <c r="EI950" s="3"/>
      <c r="EJ950" s="3"/>
      <c r="EK950" s="3"/>
      <c r="EL950" s="3"/>
      <c r="EM950" s="3"/>
      <c r="EN950" s="3"/>
      <c r="EO950" s="3"/>
      <c r="EP950" s="3"/>
      <c r="EQ950" s="3"/>
      <c r="ER950" s="3"/>
      <c r="ES950" s="3"/>
      <c r="ET950" s="3"/>
      <c r="EU950" s="3"/>
      <c r="EV950" s="3"/>
      <c r="EW950" s="3"/>
      <c r="EX950" s="3"/>
      <c r="EY950" s="3"/>
      <c r="EZ950" s="3"/>
      <c r="FA950" s="3"/>
      <c r="FB950" s="3"/>
      <c r="FC950" s="3"/>
      <c r="FD950" s="3"/>
      <c r="FE950" s="3"/>
      <c r="FF950" s="3"/>
      <c r="FG950" s="3"/>
      <c r="FH950" s="3"/>
      <c r="FI950" s="3"/>
      <c r="FJ950" s="3"/>
      <c r="FK950" s="3"/>
      <c r="FL950" s="3"/>
      <c r="FM950" s="3"/>
      <c r="FN950" s="3"/>
      <c r="FO950" s="3"/>
      <c r="FP950" s="3"/>
      <c r="FQ950" s="3"/>
      <c r="FR950" s="3"/>
      <c r="FS950" s="3"/>
      <c r="FT950" s="3"/>
      <c r="FU950" s="3"/>
      <c r="FV950" s="3"/>
      <c r="FW950" s="3"/>
      <c r="FX950" s="3"/>
      <c r="FY950" s="3"/>
    </row>
    <row r="951" spans="7:181" ht="15" x14ac:dyDescent="0.25">
      <c r="G951" s="2"/>
      <c r="H951" s="2"/>
      <c r="I951" s="2"/>
      <c r="J951" s="2"/>
      <c r="K951" s="2"/>
      <c r="L951" s="3"/>
      <c r="M951" s="3"/>
      <c r="N951" s="3"/>
      <c r="O951" s="3"/>
      <c r="P951" s="3"/>
      <c r="Q951" s="3"/>
      <c r="R951" s="3"/>
      <c r="S951" s="3"/>
      <c r="T951" s="3"/>
      <c r="U951" s="4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4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4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4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  <c r="DP951" s="3"/>
      <c r="DQ951" s="3"/>
      <c r="DR951" s="3"/>
      <c r="DS951" s="3"/>
      <c r="DT951" s="3"/>
      <c r="DU951" s="3"/>
      <c r="DV951" s="3"/>
      <c r="DW951" s="3"/>
      <c r="DX951" s="3"/>
      <c r="DY951" s="3"/>
      <c r="DZ951" s="3"/>
      <c r="EA951" s="3"/>
      <c r="EB951" s="3"/>
      <c r="EC951" s="3"/>
      <c r="ED951" s="3"/>
      <c r="EE951" s="3"/>
      <c r="EF951" s="3"/>
      <c r="EG951" s="3"/>
      <c r="EH951" s="3"/>
      <c r="EI951" s="3"/>
      <c r="EJ951" s="3"/>
      <c r="EK951" s="3"/>
      <c r="EL951" s="3"/>
      <c r="EM951" s="3"/>
      <c r="EN951" s="3"/>
      <c r="EO951" s="3"/>
      <c r="EP951" s="3"/>
      <c r="EQ951" s="3"/>
      <c r="ER951" s="3"/>
      <c r="ES951" s="3"/>
      <c r="ET951" s="3"/>
      <c r="EU951" s="3"/>
      <c r="EV951" s="3"/>
      <c r="EW951" s="3"/>
      <c r="EX951" s="3"/>
      <c r="EY951" s="3"/>
      <c r="EZ951" s="3"/>
      <c r="FA951" s="3"/>
      <c r="FB951" s="3"/>
      <c r="FC951" s="3"/>
      <c r="FD951" s="3"/>
      <c r="FE951" s="3"/>
      <c r="FF951" s="3"/>
      <c r="FG951" s="3"/>
      <c r="FH951" s="3"/>
      <c r="FI951" s="3"/>
      <c r="FJ951" s="3"/>
      <c r="FK951" s="3"/>
      <c r="FL951" s="3"/>
      <c r="FM951" s="3"/>
      <c r="FN951" s="3"/>
      <c r="FO951" s="3"/>
      <c r="FP951" s="3"/>
      <c r="FQ951" s="3"/>
      <c r="FR951" s="3"/>
      <c r="FS951" s="3"/>
      <c r="FT951" s="3"/>
      <c r="FU951" s="3"/>
      <c r="FV951" s="3"/>
      <c r="FW951" s="3"/>
      <c r="FX951" s="3"/>
      <c r="FY951" s="3"/>
    </row>
    <row r="952" spans="7:181" ht="15" x14ac:dyDescent="0.25">
      <c r="G952" s="2"/>
      <c r="H952" s="2"/>
      <c r="I952" s="2"/>
      <c r="J952" s="2"/>
      <c r="K952" s="2"/>
      <c r="L952" s="3"/>
      <c r="M952" s="3"/>
      <c r="N952" s="3"/>
      <c r="O952" s="3"/>
      <c r="P952" s="3"/>
      <c r="Q952" s="3"/>
      <c r="R952" s="3"/>
      <c r="S952" s="3"/>
      <c r="T952" s="3"/>
      <c r="U952" s="4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4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4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4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  <c r="DP952" s="3"/>
      <c r="DQ952" s="3"/>
      <c r="DR952" s="3"/>
      <c r="DS952" s="3"/>
      <c r="DT952" s="3"/>
      <c r="DU952" s="3"/>
      <c r="DV952" s="3"/>
      <c r="DW952" s="3"/>
      <c r="DX952" s="3"/>
      <c r="DY952" s="3"/>
      <c r="DZ952" s="3"/>
      <c r="EA952" s="3"/>
      <c r="EB952" s="3"/>
      <c r="EC952" s="3"/>
      <c r="ED952" s="3"/>
      <c r="EE952" s="3"/>
      <c r="EF952" s="3"/>
      <c r="EG952" s="3"/>
      <c r="EH952" s="3"/>
      <c r="EI952" s="3"/>
      <c r="EJ952" s="3"/>
      <c r="EK952" s="3"/>
      <c r="EL952" s="3"/>
      <c r="EM952" s="3"/>
      <c r="EN952" s="3"/>
      <c r="EO952" s="3"/>
      <c r="EP952" s="3"/>
      <c r="EQ952" s="3"/>
      <c r="ER952" s="3"/>
      <c r="ES952" s="3"/>
      <c r="ET952" s="3"/>
      <c r="EU952" s="3"/>
      <c r="EV952" s="3"/>
      <c r="EW952" s="3"/>
      <c r="EX952" s="3"/>
      <c r="EY952" s="3"/>
      <c r="EZ952" s="3"/>
      <c r="FA952" s="3"/>
      <c r="FB952" s="3"/>
      <c r="FC952" s="3"/>
      <c r="FD952" s="3"/>
      <c r="FE952" s="3"/>
      <c r="FF952" s="3"/>
      <c r="FG952" s="3"/>
      <c r="FH952" s="3"/>
      <c r="FI952" s="3"/>
      <c r="FJ952" s="3"/>
      <c r="FK952" s="3"/>
      <c r="FL952" s="3"/>
      <c r="FM952" s="3"/>
      <c r="FN952" s="3"/>
      <c r="FO952" s="3"/>
      <c r="FP952" s="3"/>
      <c r="FQ952" s="3"/>
      <c r="FR952" s="3"/>
      <c r="FS952" s="3"/>
      <c r="FT952" s="3"/>
      <c r="FU952" s="3"/>
      <c r="FV952" s="3"/>
      <c r="FW952" s="3"/>
      <c r="FX952" s="3"/>
      <c r="FY952" s="3"/>
    </row>
    <row r="953" spans="7:181" ht="15" x14ac:dyDescent="0.25">
      <c r="G953" s="2"/>
      <c r="H953" s="2"/>
      <c r="I953" s="2"/>
      <c r="J953" s="2"/>
      <c r="K953" s="2"/>
      <c r="L953" s="3"/>
      <c r="M953" s="3"/>
      <c r="N953" s="3"/>
      <c r="O953" s="3"/>
      <c r="P953" s="3"/>
      <c r="Q953" s="3"/>
      <c r="R953" s="3"/>
      <c r="S953" s="3"/>
      <c r="T953" s="3"/>
      <c r="U953" s="4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4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4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4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  <c r="DP953" s="3"/>
      <c r="DQ953" s="3"/>
      <c r="DR953" s="3"/>
      <c r="DS953" s="3"/>
      <c r="DT953" s="3"/>
      <c r="DU953" s="3"/>
      <c r="DV953" s="3"/>
      <c r="DW953" s="3"/>
      <c r="DX953" s="3"/>
      <c r="DY953" s="3"/>
      <c r="DZ953" s="3"/>
      <c r="EA953" s="3"/>
      <c r="EB953" s="3"/>
      <c r="EC953" s="3"/>
      <c r="ED953" s="3"/>
      <c r="EE953" s="3"/>
      <c r="EF953" s="3"/>
      <c r="EG953" s="3"/>
      <c r="EH953" s="3"/>
      <c r="EI953" s="3"/>
      <c r="EJ953" s="3"/>
      <c r="EK953" s="3"/>
      <c r="EL953" s="3"/>
      <c r="EM953" s="3"/>
      <c r="EN953" s="3"/>
      <c r="EO953" s="3"/>
      <c r="EP953" s="3"/>
      <c r="EQ953" s="3"/>
      <c r="ER953" s="3"/>
      <c r="ES953" s="3"/>
      <c r="ET953" s="3"/>
      <c r="EU953" s="3"/>
      <c r="EV953" s="3"/>
      <c r="EW953" s="3"/>
      <c r="EX953" s="3"/>
      <c r="EY953" s="3"/>
      <c r="EZ953" s="3"/>
      <c r="FA953" s="3"/>
      <c r="FB953" s="3"/>
      <c r="FC953" s="3"/>
      <c r="FD953" s="3"/>
      <c r="FE953" s="3"/>
      <c r="FF953" s="3"/>
      <c r="FG953" s="3"/>
      <c r="FH953" s="3"/>
      <c r="FI953" s="3"/>
      <c r="FJ953" s="3"/>
      <c r="FK953" s="3"/>
      <c r="FL953" s="3"/>
      <c r="FM953" s="3"/>
      <c r="FN953" s="3"/>
      <c r="FO953" s="3"/>
      <c r="FP953" s="3"/>
      <c r="FQ953" s="3"/>
      <c r="FR953" s="3"/>
      <c r="FS953" s="3"/>
      <c r="FT953" s="3"/>
      <c r="FU953" s="3"/>
      <c r="FV953" s="3"/>
      <c r="FW953" s="3"/>
      <c r="FX953" s="3"/>
      <c r="FY953" s="3"/>
    </row>
    <row r="954" spans="7:181" ht="15" x14ac:dyDescent="0.25">
      <c r="G954" s="2"/>
      <c r="H954" s="2"/>
      <c r="I954" s="2"/>
      <c r="J954" s="2"/>
      <c r="K954" s="2"/>
      <c r="L954" s="3"/>
      <c r="M954" s="3"/>
      <c r="N954" s="3"/>
      <c r="O954" s="3"/>
      <c r="P954" s="3"/>
      <c r="Q954" s="3"/>
      <c r="R954" s="3"/>
      <c r="S954" s="3"/>
      <c r="T954" s="3"/>
      <c r="U954" s="4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4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4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4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3"/>
      <c r="DK954" s="3"/>
      <c r="DL954" s="3"/>
      <c r="DM954" s="3"/>
      <c r="DN954" s="3"/>
      <c r="DO954" s="3"/>
      <c r="DP954" s="3"/>
      <c r="DQ954" s="3"/>
      <c r="DR954" s="3"/>
      <c r="DS954" s="3"/>
      <c r="DT954" s="3"/>
      <c r="DU954" s="3"/>
      <c r="DV954" s="3"/>
      <c r="DW954" s="3"/>
      <c r="DX954" s="3"/>
      <c r="DY954" s="3"/>
      <c r="DZ954" s="3"/>
      <c r="EA954" s="3"/>
      <c r="EB954" s="3"/>
      <c r="EC954" s="3"/>
      <c r="ED954" s="3"/>
      <c r="EE954" s="3"/>
      <c r="EF954" s="3"/>
      <c r="EG954" s="3"/>
      <c r="EH954" s="3"/>
      <c r="EI954" s="3"/>
      <c r="EJ954" s="3"/>
      <c r="EK954" s="3"/>
      <c r="EL954" s="3"/>
      <c r="EM954" s="3"/>
      <c r="EN954" s="3"/>
      <c r="EO954" s="3"/>
      <c r="EP954" s="3"/>
      <c r="EQ954" s="3"/>
      <c r="ER954" s="3"/>
      <c r="ES954" s="3"/>
      <c r="ET954" s="3"/>
      <c r="EU954" s="3"/>
      <c r="EV954" s="3"/>
      <c r="EW954" s="3"/>
      <c r="EX954" s="3"/>
      <c r="EY954" s="3"/>
      <c r="EZ954" s="3"/>
      <c r="FA954" s="3"/>
      <c r="FB954" s="3"/>
      <c r="FC954" s="3"/>
      <c r="FD954" s="3"/>
      <c r="FE954" s="3"/>
      <c r="FF954" s="3"/>
      <c r="FG954" s="3"/>
      <c r="FH954" s="3"/>
      <c r="FI954" s="3"/>
      <c r="FJ954" s="3"/>
      <c r="FK954" s="3"/>
      <c r="FL954" s="3"/>
      <c r="FM954" s="3"/>
      <c r="FN954" s="3"/>
      <c r="FO954" s="3"/>
      <c r="FP954" s="3"/>
      <c r="FQ954" s="3"/>
      <c r="FR954" s="3"/>
      <c r="FS954" s="3"/>
      <c r="FT954" s="3"/>
      <c r="FU954" s="3"/>
      <c r="FV954" s="3"/>
      <c r="FW954" s="3"/>
      <c r="FX954" s="3"/>
      <c r="FY954" s="3"/>
    </row>
    <row r="955" spans="7:181" ht="15" x14ac:dyDescent="0.25">
      <c r="G955" s="2"/>
      <c r="H955" s="2"/>
      <c r="I955" s="2"/>
      <c r="J955" s="2"/>
      <c r="K955" s="2"/>
      <c r="L955" s="3"/>
      <c r="M955" s="3"/>
      <c r="N955" s="3"/>
      <c r="O955" s="3"/>
      <c r="P955" s="3"/>
      <c r="Q955" s="3"/>
      <c r="R955" s="3"/>
      <c r="S955" s="3"/>
      <c r="T955" s="3"/>
      <c r="U955" s="4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4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4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4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3"/>
      <c r="DK955" s="3"/>
      <c r="DL955" s="3"/>
      <c r="DM955" s="3"/>
      <c r="DN955" s="3"/>
      <c r="DO955" s="3"/>
      <c r="DP955" s="3"/>
      <c r="DQ955" s="3"/>
      <c r="DR955" s="3"/>
      <c r="DS955" s="3"/>
      <c r="DT955" s="3"/>
      <c r="DU955" s="3"/>
      <c r="DV955" s="3"/>
      <c r="DW955" s="3"/>
      <c r="DX955" s="3"/>
      <c r="DY955" s="3"/>
      <c r="DZ955" s="3"/>
      <c r="EA955" s="3"/>
      <c r="EB955" s="3"/>
      <c r="EC955" s="3"/>
      <c r="ED955" s="3"/>
      <c r="EE955" s="3"/>
      <c r="EF955" s="3"/>
      <c r="EG955" s="3"/>
      <c r="EH955" s="3"/>
      <c r="EI955" s="3"/>
      <c r="EJ955" s="3"/>
      <c r="EK955" s="3"/>
      <c r="EL955" s="3"/>
      <c r="EM955" s="3"/>
      <c r="EN955" s="3"/>
      <c r="EO955" s="3"/>
      <c r="EP955" s="3"/>
      <c r="EQ955" s="3"/>
      <c r="ER955" s="3"/>
      <c r="ES955" s="3"/>
      <c r="ET955" s="3"/>
      <c r="EU955" s="3"/>
      <c r="EV955" s="3"/>
      <c r="EW955" s="3"/>
      <c r="EX955" s="3"/>
      <c r="EY955" s="3"/>
      <c r="EZ955" s="3"/>
      <c r="FA955" s="3"/>
      <c r="FB955" s="3"/>
      <c r="FC955" s="3"/>
      <c r="FD955" s="3"/>
      <c r="FE955" s="3"/>
      <c r="FF955" s="3"/>
      <c r="FG955" s="3"/>
      <c r="FH955" s="3"/>
      <c r="FI955" s="3"/>
      <c r="FJ955" s="3"/>
      <c r="FK955" s="3"/>
      <c r="FL955" s="3"/>
      <c r="FM955" s="3"/>
      <c r="FN955" s="3"/>
      <c r="FO955" s="3"/>
      <c r="FP955" s="3"/>
      <c r="FQ955" s="3"/>
      <c r="FR955" s="3"/>
      <c r="FS955" s="3"/>
      <c r="FT955" s="3"/>
      <c r="FU955" s="3"/>
      <c r="FV955" s="3"/>
      <c r="FW955" s="3"/>
      <c r="FX955" s="3"/>
      <c r="FY955" s="3"/>
    </row>
    <row r="956" spans="7:181" ht="15" x14ac:dyDescent="0.25">
      <c r="G956" s="2"/>
      <c r="H956" s="2"/>
      <c r="I956" s="2"/>
      <c r="J956" s="2"/>
      <c r="K956" s="2"/>
      <c r="L956" s="3"/>
      <c r="M956" s="3"/>
      <c r="N956" s="3"/>
      <c r="O956" s="3"/>
      <c r="P956" s="3"/>
      <c r="Q956" s="3"/>
      <c r="R956" s="3"/>
      <c r="S956" s="3"/>
      <c r="T956" s="3"/>
      <c r="U956" s="4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4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4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4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3"/>
      <c r="DK956" s="3"/>
      <c r="DL956" s="3"/>
      <c r="DM956" s="3"/>
      <c r="DN956" s="3"/>
      <c r="DO956" s="3"/>
      <c r="DP956" s="3"/>
      <c r="DQ956" s="3"/>
      <c r="DR956" s="3"/>
      <c r="DS956" s="3"/>
      <c r="DT956" s="3"/>
      <c r="DU956" s="3"/>
      <c r="DV956" s="3"/>
      <c r="DW956" s="3"/>
      <c r="DX956" s="3"/>
      <c r="DY956" s="3"/>
      <c r="DZ956" s="3"/>
      <c r="EA956" s="3"/>
      <c r="EB956" s="3"/>
      <c r="EC956" s="3"/>
      <c r="ED956" s="3"/>
      <c r="EE956" s="3"/>
      <c r="EF956" s="3"/>
      <c r="EG956" s="3"/>
      <c r="EH956" s="3"/>
      <c r="EI956" s="3"/>
      <c r="EJ956" s="3"/>
      <c r="EK956" s="3"/>
      <c r="EL956" s="3"/>
      <c r="EM956" s="3"/>
      <c r="EN956" s="3"/>
      <c r="EO956" s="3"/>
      <c r="EP956" s="3"/>
      <c r="EQ956" s="3"/>
      <c r="ER956" s="3"/>
      <c r="ES956" s="3"/>
      <c r="ET956" s="3"/>
      <c r="EU956" s="3"/>
      <c r="EV956" s="3"/>
      <c r="EW956" s="3"/>
      <c r="EX956" s="3"/>
      <c r="EY956" s="3"/>
      <c r="EZ956" s="3"/>
      <c r="FA956" s="3"/>
      <c r="FB956" s="3"/>
      <c r="FC956" s="3"/>
      <c r="FD956" s="3"/>
      <c r="FE956" s="3"/>
      <c r="FF956" s="3"/>
      <c r="FG956" s="3"/>
      <c r="FH956" s="3"/>
      <c r="FI956" s="3"/>
      <c r="FJ956" s="3"/>
      <c r="FK956" s="3"/>
      <c r="FL956" s="3"/>
      <c r="FM956" s="3"/>
      <c r="FN956" s="3"/>
      <c r="FO956" s="3"/>
      <c r="FP956" s="3"/>
      <c r="FQ956" s="3"/>
      <c r="FR956" s="3"/>
      <c r="FS956" s="3"/>
      <c r="FT956" s="3"/>
      <c r="FU956" s="3"/>
      <c r="FV956" s="3"/>
      <c r="FW956" s="3"/>
      <c r="FX956" s="3"/>
      <c r="FY956" s="3"/>
    </row>
    <row r="957" spans="7:181" ht="15" x14ac:dyDescent="0.25">
      <c r="G957" s="2"/>
      <c r="H957" s="2"/>
      <c r="I957" s="2"/>
      <c r="J957" s="2"/>
      <c r="K957" s="2"/>
      <c r="L957" s="3"/>
      <c r="M957" s="3"/>
      <c r="N957" s="3"/>
      <c r="O957" s="3"/>
      <c r="P957" s="3"/>
      <c r="Q957" s="3"/>
      <c r="R957" s="3"/>
      <c r="S957" s="3"/>
      <c r="T957" s="3"/>
      <c r="U957" s="4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4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4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4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/>
      <c r="DS957" s="3"/>
      <c r="DT957" s="3"/>
      <c r="DU957" s="3"/>
      <c r="DV957" s="3"/>
      <c r="DW957" s="3"/>
      <c r="DX957" s="3"/>
      <c r="DY957" s="3"/>
      <c r="DZ957" s="3"/>
      <c r="EA957" s="3"/>
      <c r="EB957" s="3"/>
      <c r="EC957" s="3"/>
      <c r="ED957" s="3"/>
      <c r="EE957" s="3"/>
      <c r="EF957" s="3"/>
      <c r="EG957" s="3"/>
      <c r="EH957" s="3"/>
      <c r="EI957" s="3"/>
      <c r="EJ957" s="3"/>
      <c r="EK957" s="3"/>
      <c r="EL957" s="3"/>
      <c r="EM957" s="3"/>
      <c r="EN957" s="3"/>
      <c r="EO957" s="3"/>
      <c r="EP957" s="3"/>
      <c r="EQ957" s="3"/>
      <c r="ER957" s="3"/>
      <c r="ES957" s="3"/>
      <c r="ET957" s="3"/>
      <c r="EU957" s="3"/>
      <c r="EV957" s="3"/>
      <c r="EW957" s="3"/>
      <c r="EX957" s="3"/>
      <c r="EY957" s="3"/>
      <c r="EZ957" s="3"/>
      <c r="FA957" s="3"/>
      <c r="FB957" s="3"/>
      <c r="FC957" s="3"/>
      <c r="FD957" s="3"/>
      <c r="FE957" s="3"/>
      <c r="FF957" s="3"/>
      <c r="FG957" s="3"/>
      <c r="FH957" s="3"/>
      <c r="FI957" s="3"/>
      <c r="FJ957" s="3"/>
      <c r="FK957" s="3"/>
      <c r="FL957" s="3"/>
      <c r="FM957" s="3"/>
      <c r="FN957" s="3"/>
      <c r="FO957" s="3"/>
      <c r="FP957" s="3"/>
      <c r="FQ957" s="3"/>
      <c r="FR957" s="3"/>
      <c r="FS957" s="3"/>
      <c r="FT957" s="3"/>
      <c r="FU957" s="3"/>
      <c r="FV957" s="3"/>
      <c r="FW957" s="3"/>
      <c r="FX957" s="3"/>
      <c r="FY957" s="3"/>
    </row>
    <row r="958" spans="7:181" ht="15" x14ac:dyDescent="0.25">
      <c r="G958" s="2"/>
      <c r="H958" s="2"/>
      <c r="I958" s="2"/>
      <c r="J958" s="2"/>
      <c r="K958" s="2"/>
      <c r="L958" s="3"/>
      <c r="M958" s="3"/>
      <c r="N958" s="3"/>
      <c r="O958" s="3"/>
      <c r="P958" s="3"/>
      <c r="Q958" s="3"/>
      <c r="R958" s="3"/>
      <c r="S958" s="3"/>
      <c r="T958" s="3"/>
      <c r="U958" s="4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4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4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4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3"/>
      <c r="DK958" s="3"/>
      <c r="DL958" s="3"/>
      <c r="DM958" s="3"/>
      <c r="DN958" s="3"/>
      <c r="DO958" s="3"/>
      <c r="DP958" s="3"/>
      <c r="DQ958" s="3"/>
      <c r="DR958" s="3"/>
      <c r="DS958" s="3"/>
      <c r="DT958" s="3"/>
      <c r="DU958" s="3"/>
      <c r="DV958" s="3"/>
      <c r="DW958" s="3"/>
      <c r="DX958" s="3"/>
      <c r="DY958" s="3"/>
      <c r="DZ958" s="3"/>
      <c r="EA958" s="3"/>
      <c r="EB958" s="3"/>
      <c r="EC958" s="3"/>
      <c r="ED958" s="3"/>
      <c r="EE958" s="3"/>
      <c r="EF958" s="3"/>
      <c r="EG958" s="3"/>
      <c r="EH958" s="3"/>
      <c r="EI958" s="3"/>
      <c r="EJ958" s="3"/>
      <c r="EK958" s="3"/>
      <c r="EL958" s="3"/>
      <c r="EM958" s="3"/>
      <c r="EN958" s="3"/>
      <c r="EO958" s="3"/>
      <c r="EP958" s="3"/>
      <c r="EQ958" s="3"/>
      <c r="ER958" s="3"/>
      <c r="ES958" s="3"/>
      <c r="ET958" s="3"/>
      <c r="EU958" s="3"/>
      <c r="EV958" s="3"/>
      <c r="EW958" s="3"/>
      <c r="EX958" s="3"/>
      <c r="EY958" s="3"/>
      <c r="EZ958" s="3"/>
      <c r="FA958" s="3"/>
      <c r="FB958" s="3"/>
      <c r="FC958" s="3"/>
      <c r="FD958" s="3"/>
      <c r="FE958" s="3"/>
      <c r="FF958" s="3"/>
      <c r="FG958" s="3"/>
      <c r="FH958" s="3"/>
      <c r="FI958" s="3"/>
      <c r="FJ958" s="3"/>
      <c r="FK958" s="3"/>
      <c r="FL958" s="3"/>
      <c r="FM958" s="3"/>
      <c r="FN958" s="3"/>
      <c r="FO958" s="3"/>
      <c r="FP958" s="3"/>
      <c r="FQ958" s="3"/>
      <c r="FR958" s="3"/>
      <c r="FS958" s="3"/>
      <c r="FT958" s="3"/>
      <c r="FU958" s="3"/>
      <c r="FV958" s="3"/>
      <c r="FW958" s="3"/>
      <c r="FX958" s="3"/>
      <c r="FY958" s="3"/>
    </row>
    <row r="959" spans="7:181" ht="15" x14ac:dyDescent="0.25">
      <c r="G959" s="2"/>
      <c r="H959" s="2"/>
      <c r="I959" s="2"/>
      <c r="J959" s="2"/>
      <c r="K959" s="2"/>
      <c r="L959" s="3"/>
      <c r="M959" s="3"/>
      <c r="N959" s="3"/>
      <c r="O959" s="3"/>
      <c r="P959" s="3"/>
      <c r="Q959" s="3"/>
      <c r="R959" s="3"/>
      <c r="S959" s="3"/>
      <c r="T959" s="3"/>
      <c r="U959" s="4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4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4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4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3"/>
      <c r="DK959" s="3"/>
      <c r="DL959" s="3"/>
      <c r="DM959" s="3"/>
      <c r="DN959" s="3"/>
      <c r="DO959" s="3"/>
      <c r="DP959" s="3"/>
      <c r="DQ959" s="3"/>
      <c r="DR959" s="3"/>
      <c r="DS959" s="3"/>
      <c r="DT959" s="3"/>
      <c r="DU959" s="3"/>
      <c r="DV959" s="3"/>
      <c r="DW959" s="3"/>
      <c r="DX959" s="3"/>
      <c r="DY959" s="3"/>
      <c r="DZ959" s="3"/>
      <c r="EA959" s="3"/>
      <c r="EB959" s="3"/>
      <c r="EC959" s="3"/>
      <c r="ED959" s="3"/>
      <c r="EE959" s="3"/>
      <c r="EF959" s="3"/>
      <c r="EG959" s="3"/>
      <c r="EH959" s="3"/>
      <c r="EI959" s="3"/>
      <c r="EJ959" s="3"/>
      <c r="EK959" s="3"/>
      <c r="EL959" s="3"/>
      <c r="EM959" s="3"/>
      <c r="EN959" s="3"/>
      <c r="EO959" s="3"/>
      <c r="EP959" s="3"/>
      <c r="EQ959" s="3"/>
      <c r="ER959" s="3"/>
      <c r="ES959" s="3"/>
      <c r="ET959" s="3"/>
      <c r="EU959" s="3"/>
      <c r="EV959" s="3"/>
      <c r="EW959" s="3"/>
      <c r="EX959" s="3"/>
      <c r="EY959" s="3"/>
      <c r="EZ959" s="3"/>
      <c r="FA959" s="3"/>
      <c r="FB959" s="3"/>
      <c r="FC959" s="3"/>
      <c r="FD959" s="3"/>
      <c r="FE959" s="3"/>
      <c r="FF959" s="3"/>
      <c r="FG959" s="3"/>
      <c r="FH959" s="3"/>
      <c r="FI959" s="3"/>
      <c r="FJ959" s="3"/>
      <c r="FK959" s="3"/>
      <c r="FL959" s="3"/>
      <c r="FM959" s="3"/>
      <c r="FN959" s="3"/>
      <c r="FO959" s="3"/>
      <c r="FP959" s="3"/>
      <c r="FQ959" s="3"/>
      <c r="FR959" s="3"/>
      <c r="FS959" s="3"/>
      <c r="FT959" s="3"/>
      <c r="FU959" s="3"/>
      <c r="FV959" s="3"/>
      <c r="FW959" s="3"/>
      <c r="FX959" s="3"/>
      <c r="FY959" s="3"/>
    </row>
    <row r="960" spans="7:181" ht="15" x14ac:dyDescent="0.25">
      <c r="G960" s="2"/>
      <c r="H960" s="2"/>
      <c r="I960" s="2"/>
      <c r="J960" s="2"/>
      <c r="K960" s="2"/>
      <c r="L960" s="3"/>
      <c r="M960" s="3"/>
      <c r="N960" s="3"/>
      <c r="O960" s="3"/>
      <c r="P960" s="3"/>
      <c r="Q960" s="3"/>
      <c r="R960" s="3"/>
      <c r="S960" s="3"/>
      <c r="T960" s="3"/>
      <c r="U960" s="4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4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4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4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3"/>
      <c r="DK960" s="3"/>
      <c r="DL960" s="3"/>
      <c r="DM960" s="3"/>
      <c r="DN960" s="3"/>
      <c r="DO960" s="3"/>
      <c r="DP960" s="3"/>
      <c r="DQ960" s="3"/>
      <c r="DR960" s="3"/>
      <c r="DS960" s="3"/>
      <c r="DT960" s="3"/>
      <c r="DU960" s="3"/>
      <c r="DV960" s="3"/>
      <c r="DW960" s="3"/>
      <c r="DX960" s="3"/>
      <c r="DY960" s="3"/>
      <c r="DZ960" s="3"/>
      <c r="EA960" s="3"/>
      <c r="EB960" s="3"/>
      <c r="EC960" s="3"/>
      <c r="ED960" s="3"/>
      <c r="EE960" s="3"/>
      <c r="EF960" s="3"/>
      <c r="EG960" s="3"/>
      <c r="EH960" s="3"/>
      <c r="EI960" s="3"/>
      <c r="EJ960" s="3"/>
      <c r="EK960" s="3"/>
      <c r="EL960" s="3"/>
      <c r="EM960" s="3"/>
      <c r="EN960" s="3"/>
      <c r="EO960" s="3"/>
      <c r="EP960" s="3"/>
      <c r="EQ960" s="3"/>
      <c r="ER960" s="3"/>
      <c r="ES960" s="3"/>
      <c r="ET960" s="3"/>
      <c r="EU960" s="3"/>
      <c r="EV960" s="3"/>
      <c r="EW960" s="3"/>
      <c r="EX960" s="3"/>
      <c r="EY960" s="3"/>
      <c r="EZ960" s="3"/>
      <c r="FA960" s="3"/>
      <c r="FB960" s="3"/>
      <c r="FC960" s="3"/>
      <c r="FD960" s="3"/>
      <c r="FE960" s="3"/>
      <c r="FF960" s="3"/>
      <c r="FG960" s="3"/>
      <c r="FH960" s="3"/>
      <c r="FI960" s="3"/>
      <c r="FJ960" s="3"/>
      <c r="FK960" s="3"/>
      <c r="FL960" s="3"/>
      <c r="FM960" s="3"/>
      <c r="FN960" s="3"/>
      <c r="FO960" s="3"/>
      <c r="FP960" s="3"/>
      <c r="FQ960" s="3"/>
      <c r="FR960" s="3"/>
      <c r="FS960" s="3"/>
      <c r="FT960" s="3"/>
      <c r="FU960" s="3"/>
      <c r="FV960" s="3"/>
      <c r="FW960" s="3"/>
      <c r="FX960" s="3"/>
      <c r="FY960" s="3"/>
    </row>
    <row r="961" spans="7:181" ht="15" x14ac:dyDescent="0.25">
      <c r="G961" s="2"/>
      <c r="H961" s="2"/>
      <c r="I961" s="2"/>
      <c r="J961" s="2"/>
      <c r="K961" s="2"/>
      <c r="L961" s="3"/>
      <c r="M961" s="3"/>
      <c r="N961" s="3"/>
      <c r="O961" s="3"/>
      <c r="P961" s="3"/>
      <c r="Q961" s="3"/>
      <c r="R961" s="3"/>
      <c r="S961" s="3"/>
      <c r="T961" s="3"/>
      <c r="U961" s="4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4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4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4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3"/>
      <c r="DK961" s="3"/>
      <c r="DL961" s="3"/>
      <c r="DM961" s="3"/>
      <c r="DN961" s="3"/>
      <c r="DO961" s="3"/>
      <c r="DP961" s="3"/>
      <c r="DQ961" s="3"/>
      <c r="DR961" s="3"/>
      <c r="DS961" s="3"/>
      <c r="DT961" s="3"/>
      <c r="DU961" s="3"/>
      <c r="DV961" s="3"/>
      <c r="DW961" s="3"/>
      <c r="DX961" s="3"/>
      <c r="DY961" s="3"/>
      <c r="DZ961" s="3"/>
      <c r="EA961" s="3"/>
      <c r="EB961" s="3"/>
      <c r="EC961" s="3"/>
      <c r="ED961" s="3"/>
      <c r="EE961" s="3"/>
      <c r="EF961" s="3"/>
      <c r="EG961" s="3"/>
      <c r="EH961" s="3"/>
      <c r="EI961" s="3"/>
      <c r="EJ961" s="3"/>
      <c r="EK961" s="3"/>
      <c r="EL961" s="3"/>
      <c r="EM961" s="3"/>
      <c r="EN961" s="3"/>
      <c r="EO961" s="3"/>
      <c r="EP961" s="3"/>
      <c r="EQ961" s="3"/>
      <c r="ER961" s="3"/>
      <c r="ES961" s="3"/>
      <c r="ET961" s="3"/>
      <c r="EU961" s="3"/>
      <c r="EV961" s="3"/>
      <c r="EW961" s="3"/>
      <c r="EX961" s="3"/>
      <c r="EY961" s="3"/>
      <c r="EZ961" s="3"/>
      <c r="FA961" s="3"/>
      <c r="FB961" s="3"/>
      <c r="FC961" s="3"/>
      <c r="FD961" s="3"/>
      <c r="FE961" s="3"/>
      <c r="FF961" s="3"/>
      <c r="FG961" s="3"/>
      <c r="FH961" s="3"/>
      <c r="FI961" s="3"/>
      <c r="FJ961" s="3"/>
      <c r="FK961" s="3"/>
      <c r="FL961" s="3"/>
      <c r="FM961" s="3"/>
      <c r="FN961" s="3"/>
      <c r="FO961" s="3"/>
      <c r="FP961" s="3"/>
      <c r="FQ961" s="3"/>
      <c r="FR961" s="3"/>
      <c r="FS961" s="3"/>
      <c r="FT961" s="3"/>
      <c r="FU961" s="3"/>
      <c r="FV961" s="3"/>
      <c r="FW961" s="3"/>
      <c r="FX961" s="3"/>
      <c r="FY961" s="3"/>
    </row>
    <row r="962" spans="7:181" ht="15" x14ac:dyDescent="0.25">
      <c r="G962" s="2"/>
      <c r="H962" s="2"/>
      <c r="I962" s="2"/>
      <c r="J962" s="2"/>
      <c r="K962" s="2"/>
      <c r="L962" s="3"/>
      <c r="M962" s="3"/>
      <c r="N962" s="3"/>
      <c r="O962" s="3"/>
      <c r="P962" s="3"/>
      <c r="Q962" s="3"/>
      <c r="R962" s="3"/>
      <c r="S962" s="3"/>
      <c r="T962" s="3"/>
      <c r="U962" s="4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4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4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4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3"/>
      <c r="DK962" s="3"/>
      <c r="DL962" s="3"/>
      <c r="DM962" s="3"/>
      <c r="DN962" s="3"/>
      <c r="DO962" s="3"/>
      <c r="DP962" s="3"/>
      <c r="DQ962" s="3"/>
      <c r="DR962" s="3"/>
      <c r="DS962" s="3"/>
      <c r="DT962" s="3"/>
      <c r="DU962" s="3"/>
      <c r="DV962" s="3"/>
      <c r="DW962" s="3"/>
      <c r="DX962" s="3"/>
      <c r="DY962" s="3"/>
      <c r="DZ962" s="3"/>
      <c r="EA962" s="3"/>
      <c r="EB962" s="3"/>
      <c r="EC962" s="3"/>
      <c r="ED962" s="3"/>
      <c r="EE962" s="3"/>
      <c r="EF962" s="3"/>
      <c r="EG962" s="3"/>
      <c r="EH962" s="3"/>
      <c r="EI962" s="3"/>
      <c r="EJ962" s="3"/>
      <c r="EK962" s="3"/>
      <c r="EL962" s="3"/>
      <c r="EM962" s="3"/>
      <c r="EN962" s="3"/>
      <c r="EO962" s="3"/>
      <c r="EP962" s="3"/>
      <c r="EQ962" s="3"/>
      <c r="ER962" s="3"/>
      <c r="ES962" s="3"/>
      <c r="ET962" s="3"/>
      <c r="EU962" s="3"/>
      <c r="EV962" s="3"/>
      <c r="EW962" s="3"/>
      <c r="EX962" s="3"/>
      <c r="EY962" s="3"/>
      <c r="EZ962" s="3"/>
      <c r="FA962" s="3"/>
      <c r="FB962" s="3"/>
      <c r="FC962" s="3"/>
      <c r="FD962" s="3"/>
      <c r="FE962" s="3"/>
      <c r="FF962" s="3"/>
      <c r="FG962" s="3"/>
      <c r="FH962" s="3"/>
      <c r="FI962" s="3"/>
      <c r="FJ962" s="3"/>
      <c r="FK962" s="3"/>
      <c r="FL962" s="3"/>
      <c r="FM962" s="3"/>
      <c r="FN962" s="3"/>
      <c r="FO962" s="3"/>
      <c r="FP962" s="3"/>
      <c r="FQ962" s="3"/>
      <c r="FR962" s="3"/>
      <c r="FS962" s="3"/>
      <c r="FT962" s="3"/>
      <c r="FU962" s="3"/>
      <c r="FV962" s="3"/>
      <c r="FW962" s="3"/>
      <c r="FX962" s="3"/>
      <c r="FY962" s="3"/>
    </row>
    <row r="963" spans="7:181" ht="15" x14ac:dyDescent="0.25">
      <c r="G963" s="2"/>
      <c r="H963" s="2"/>
      <c r="I963" s="2"/>
      <c r="J963" s="2"/>
      <c r="K963" s="2"/>
      <c r="L963" s="3"/>
      <c r="M963" s="3"/>
      <c r="N963" s="3"/>
      <c r="O963" s="3"/>
      <c r="P963" s="3"/>
      <c r="Q963" s="3"/>
      <c r="R963" s="3"/>
      <c r="S963" s="3"/>
      <c r="T963" s="3"/>
      <c r="U963" s="4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4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4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4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3"/>
      <c r="DK963" s="3"/>
      <c r="DL963" s="3"/>
      <c r="DM963" s="3"/>
      <c r="DN963" s="3"/>
      <c r="DO963" s="3"/>
      <c r="DP963" s="3"/>
      <c r="DQ963" s="3"/>
      <c r="DR963" s="3"/>
      <c r="DS963" s="3"/>
      <c r="DT963" s="3"/>
      <c r="DU963" s="3"/>
      <c r="DV963" s="3"/>
      <c r="DW963" s="3"/>
      <c r="DX963" s="3"/>
      <c r="DY963" s="3"/>
      <c r="DZ963" s="3"/>
      <c r="EA963" s="3"/>
      <c r="EB963" s="3"/>
      <c r="EC963" s="3"/>
      <c r="ED963" s="3"/>
      <c r="EE963" s="3"/>
      <c r="EF963" s="3"/>
      <c r="EG963" s="3"/>
      <c r="EH963" s="3"/>
      <c r="EI963" s="3"/>
      <c r="EJ963" s="3"/>
      <c r="EK963" s="3"/>
      <c r="EL963" s="3"/>
      <c r="EM963" s="3"/>
      <c r="EN963" s="3"/>
      <c r="EO963" s="3"/>
      <c r="EP963" s="3"/>
      <c r="EQ963" s="3"/>
      <c r="ER963" s="3"/>
      <c r="ES963" s="3"/>
      <c r="ET963" s="3"/>
      <c r="EU963" s="3"/>
      <c r="EV963" s="3"/>
      <c r="EW963" s="3"/>
      <c r="EX963" s="3"/>
      <c r="EY963" s="3"/>
      <c r="EZ963" s="3"/>
      <c r="FA963" s="3"/>
      <c r="FB963" s="3"/>
      <c r="FC963" s="3"/>
      <c r="FD963" s="3"/>
      <c r="FE963" s="3"/>
      <c r="FF963" s="3"/>
      <c r="FG963" s="3"/>
      <c r="FH963" s="3"/>
      <c r="FI963" s="3"/>
      <c r="FJ963" s="3"/>
      <c r="FK963" s="3"/>
      <c r="FL963" s="3"/>
      <c r="FM963" s="3"/>
      <c r="FN963" s="3"/>
      <c r="FO963" s="3"/>
      <c r="FP963" s="3"/>
      <c r="FQ963" s="3"/>
      <c r="FR963" s="3"/>
      <c r="FS963" s="3"/>
      <c r="FT963" s="3"/>
      <c r="FU963" s="3"/>
      <c r="FV963" s="3"/>
      <c r="FW963" s="3"/>
      <c r="FX963" s="3"/>
      <c r="FY963" s="3"/>
    </row>
    <row r="964" spans="7:181" ht="15" x14ac:dyDescent="0.25">
      <c r="G964" s="2"/>
      <c r="H964" s="2"/>
      <c r="I964" s="2"/>
      <c r="J964" s="2"/>
      <c r="K964" s="2"/>
      <c r="L964" s="3"/>
      <c r="M964" s="3"/>
      <c r="N964" s="3"/>
      <c r="O964" s="3"/>
      <c r="P964" s="3"/>
      <c r="Q964" s="3"/>
      <c r="R964" s="3"/>
      <c r="S964" s="3"/>
      <c r="T964" s="3"/>
      <c r="U964" s="4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4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4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4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  <c r="DI964" s="3"/>
      <c r="DJ964" s="3"/>
      <c r="DK964" s="3"/>
      <c r="DL964" s="3"/>
      <c r="DM964" s="3"/>
      <c r="DN964" s="3"/>
      <c r="DO964" s="3"/>
      <c r="DP964" s="3"/>
      <c r="DQ964" s="3"/>
      <c r="DR964" s="3"/>
      <c r="DS964" s="3"/>
      <c r="DT964" s="3"/>
      <c r="DU964" s="3"/>
      <c r="DV964" s="3"/>
      <c r="DW964" s="3"/>
      <c r="DX964" s="3"/>
      <c r="DY964" s="3"/>
      <c r="DZ964" s="3"/>
      <c r="EA964" s="3"/>
      <c r="EB964" s="3"/>
      <c r="EC964" s="3"/>
      <c r="ED964" s="3"/>
      <c r="EE964" s="3"/>
      <c r="EF964" s="3"/>
      <c r="EG964" s="3"/>
      <c r="EH964" s="3"/>
      <c r="EI964" s="3"/>
      <c r="EJ964" s="3"/>
      <c r="EK964" s="3"/>
      <c r="EL964" s="3"/>
      <c r="EM964" s="3"/>
      <c r="EN964" s="3"/>
      <c r="EO964" s="3"/>
      <c r="EP964" s="3"/>
      <c r="EQ964" s="3"/>
      <c r="ER964" s="3"/>
      <c r="ES964" s="3"/>
      <c r="ET964" s="3"/>
      <c r="EU964" s="3"/>
      <c r="EV964" s="3"/>
      <c r="EW964" s="3"/>
      <c r="EX964" s="3"/>
      <c r="EY964" s="3"/>
      <c r="EZ964" s="3"/>
      <c r="FA964" s="3"/>
      <c r="FB964" s="3"/>
      <c r="FC964" s="3"/>
      <c r="FD964" s="3"/>
      <c r="FE964" s="3"/>
      <c r="FF964" s="3"/>
      <c r="FG964" s="3"/>
      <c r="FH964" s="3"/>
      <c r="FI964" s="3"/>
      <c r="FJ964" s="3"/>
      <c r="FK964" s="3"/>
      <c r="FL964" s="3"/>
      <c r="FM964" s="3"/>
      <c r="FN964" s="3"/>
      <c r="FO964" s="3"/>
      <c r="FP964" s="3"/>
      <c r="FQ964" s="3"/>
      <c r="FR964" s="3"/>
      <c r="FS964" s="3"/>
      <c r="FT964" s="3"/>
      <c r="FU964" s="3"/>
      <c r="FV964" s="3"/>
      <c r="FW964" s="3"/>
      <c r="FX964" s="3"/>
      <c r="FY964" s="3"/>
    </row>
    <row r="965" spans="7:181" ht="15" x14ac:dyDescent="0.25">
      <c r="G965" s="2"/>
      <c r="H965" s="2"/>
      <c r="I965" s="2"/>
      <c r="J965" s="2"/>
      <c r="K965" s="2"/>
      <c r="L965" s="3"/>
      <c r="M965" s="3"/>
      <c r="N965" s="3"/>
      <c r="O965" s="3"/>
      <c r="P965" s="3"/>
      <c r="Q965" s="3"/>
      <c r="R965" s="3"/>
      <c r="S965" s="3"/>
      <c r="T965" s="3"/>
      <c r="U965" s="4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4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4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4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  <c r="DI965" s="3"/>
      <c r="DJ965" s="3"/>
      <c r="DK965" s="3"/>
      <c r="DL965" s="3"/>
      <c r="DM965" s="3"/>
      <c r="DN965" s="3"/>
      <c r="DO965" s="3"/>
      <c r="DP965" s="3"/>
      <c r="DQ965" s="3"/>
      <c r="DR965" s="3"/>
      <c r="DS965" s="3"/>
      <c r="DT965" s="3"/>
      <c r="DU965" s="3"/>
      <c r="DV965" s="3"/>
      <c r="DW965" s="3"/>
      <c r="DX965" s="3"/>
      <c r="DY965" s="3"/>
      <c r="DZ965" s="3"/>
      <c r="EA965" s="3"/>
      <c r="EB965" s="3"/>
      <c r="EC965" s="3"/>
      <c r="ED965" s="3"/>
      <c r="EE965" s="3"/>
      <c r="EF965" s="3"/>
      <c r="EG965" s="3"/>
      <c r="EH965" s="3"/>
      <c r="EI965" s="3"/>
      <c r="EJ965" s="3"/>
      <c r="EK965" s="3"/>
      <c r="EL965" s="3"/>
      <c r="EM965" s="3"/>
      <c r="EN965" s="3"/>
      <c r="EO965" s="3"/>
      <c r="EP965" s="3"/>
      <c r="EQ965" s="3"/>
      <c r="ER965" s="3"/>
      <c r="ES965" s="3"/>
      <c r="ET965" s="3"/>
      <c r="EU965" s="3"/>
      <c r="EV965" s="3"/>
      <c r="EW965" s="3"/>
      <c r="EX965" s="3"/>
      <c r="EY965" s="3"/>
      <c r="EZ965" s="3"/>
      <c r="FA965" s="3"/>
      <c r="FB965" s="3"/>
      <c r="FC965" s="3"/>
      <c r="FD965" s="3"/>
      <c r="FE965" s="3"/>
      <c r="FF965" s="3"/>
      <c r="FG965" s="3"/>
      <c r="FH965" s="3"/>
      <c r="FI965" s="3"/>
      <c r="FJ965" s="3"/>
      <c r="FK965" s="3"/>
      <c r="FL965" s="3"/>
      <c r="FM965" s="3"/>
      <c r="FN965" s="3"/>
      <c r="FO965" s="3"/>
      <c r="FP965" s="3"/>
      <c r="FQ965" s="3"/>
      <c r="FR965" s="3"/>
      <c r="FS965" s="3"/>
      <c r="FT965" s="3"/>
      <c r="FU965" s="3"/>
      <c r="FV965" s="3"/>
      <c r="FW965" s="3"/>
      <c r="FX965" s="3"/>
      <c r="FY965" s="3"/>
    </row>
    <row r="966" spans="7:181" ht="15" x14ac:dyDescent="0.25">
      <c r="G966" s="2"/>
      <c r="H966" s="2"/>
      <c r="I966" s="2"/>
      <c r="J966" s="2"/>
      <c r="K966" s="2"/>
      <c r="L966" s="3"/>
      <c r="M966" s="3"/>
      <c r="N966" s="3"/>
      <c r="O966" s="3"/>
      <c r="P966" s="3"/>
      <c r="Q966" s="3"/>
      <c r="R966" s="3"/>
      <c r="S966" s="3"/>
      <c r="T966" s="3"/>
      <c r="U966" s="4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4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4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4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  <c r="DI966" s="3"/>
      <c r="DJ966" s="3"/>
      <c r="DK966" s="3"/>
      <c r="DL966" s="3"/>
      <c r="DM966" s="3"/>
      <c r="DN966" s="3"/>
      <c r="DO966" s="3"/>
      <c r="DP966" s="3"/>
      <c r="DQ966" s="3"/>
      <c r="DR966" s="3"/>
      <c r="DS966" s="3"/>
      <c r="DT966" s="3"/>
      <c r="DU966" s="3"/>
      <c r="DV966" s="3"/>
      <c r="DW966" s="3"/>
      <c r="DX966" s="3"/>
      <c r="DY966" s="3"/>
      <c r="DZ966" s="3"/>
      <c r="EA966" s="3"/>
      <c r="EB966" s="3"/>
      <c r="EC966" s="3"/>
      <c r="ED966" s="3"/>
      <c r="EE966" s="3"/>
      <c r="EF966" s="3"/>
      <c r="EG966" s="3"/>
      <c r="EH966" s="3"/>
      <c r="EI966" s="3"/>
      <c r="EJ966" s="3"/>
      <c r="EK966" s="3"/>
      <c r="EL966" s="3"/>
      <c r="EM966" s="3"/>
      <c r="EN966" s="3"/>
      <c r="EO966" s="3"/>
      <c r="EP966" s="3"/>
      <c r="EQ966" s="3"/>
      <c r="ER966" s="3"/>
      <c r="ES966" s="3"/>
      <c r="ET966" s="3"/>
      <c r="EU966" s="3"/>
      <c r="EV966" s="3"/>
      <c r="EW966" s="3"/>
      <c r="EX966" s="3"/>
      <c r="EY966" s="3"/>
      <c r="EZ966" s="3"/>
      <c r="FA966" s="3"/>
      <c r="FB966" s="3"/>
      <c r="FC966" s="3"/>
      <c r="FD966" s="3"/>
      <c r="FE966" s="3"/>
      <c r="FF966" s="3"/>
      <c r="FG966" s="3"/>
      <c r="FH966" s="3"/>
      <c r="FI966" s="3"/>
      <c r="FJ966" s="3"/>
      <c r="FK966" s="3"/>
      <c r="FL966" s="3"/>
      <c r="FM966" s="3"/>
      <c r="FN966" s="3"/>
      <c r="FO966" s="3"/>
      <c r="FP966" s="3"/>
      <c r="FQ966" s="3"/>
      <c r="FR966" s="3"/>
      <c r="FS966" s="3"/>
      <c r="FT966" s="3"/>
      <c r="FU966" s="3"/>
      <c r="FV966" s="3"/>
      <c r="FW966" s="3"/>
      <c r="FX966" s="3"/>
      <c r="FY966" s="3"/>
    </row>
    <row r="967" spans="7:181" ht="15" x14ac:dyDescent="0.25">
      <c r="G967" s="2"/>
      <c r="H967" s="2"/>
      <c r="I967" s="2"/>
      <c r="J967" s="2"/>
      <c r="K967" s="2"/>
      <c r="L967" s="3"/>
      <c r="M967" s="3"/>
      <c r="N967" s="3"/>
      <c r="O967" s="3"/>
      <c r="P967" s="3"/>
      <c r="Q967" s="3"/>
      <c r="R967" s="3"/>
      <c r="S967" s="3"/>
      <c r="T967" s="3"/>
      <c r="U967" s="4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4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4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4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  <c r="DI967" s="3"/>
      <c r="DJ967" s="3"/>
      <c r="DK967" s="3"/>
      <c r="DL967" s="3"/>
      <c r="DM967" s="3"/>
      <c r="DN967" s="3"/>
      <c r="DO967" s="3"/>
      <c r="DP967" s="3"/>
      <c r="DQ967" s="3"/>
      <c r="DR967" s="3"/>
      <c r="DS967" s="3"/>
      <c r="DT967" s="3"/>
      <c r="DU967" s="3"/>
      <c r="DV967" s="3"/>
      <c r="DW967" s="3"/>
      <c r="DX967" s="3"/>
      <c r="DY967" s="3"/>
      <c r="DZ967" s="3"/>
      <c r="EA967" s="3"/>
      <c r="EB967" s="3"/>
      <c r="EC967" s="3"/>
      <c r="ED967" s="3"/>
      <c r="EE967" s="3"/>
      <c r="EF967" s="3"/>
      <c r="EG967" s="3"/>
      <c r="EH967" s="3"/>
      <c r="EI967" s="3"/>
      <c r="EJ967" s="3"/>
      <c r="EK967" s="3"/>
      <c r="EL967" s="3"/>
      <c r="EM967" s="3"/>
      <c r="EN967" s="3"/>
      <c r="EO967" s="3"/>
      <c r="EP967" s="3"/>
      <c r="EQ967" s="3"/>
      <c r="ER967" s="3"/>
      <c r="ES967" s="3"/>
      <c r="ET967" s="3"/>
      <c r="EU967" s="3"/>
      <c r="EV967" s="3"/>
      <c r="EW967" s="3"/>
      <c r="EX967" s="3"/>
      <c r="EY967" s="3"/>
      <c r="EZ967" s="3"/>
      <c r="FA967" s="3"/>
      <c r="FB967" s="3"/>
      <c r="FC967" s="3"/>
      <c r="FD967" s="3"/>
      <c r="FE967" s="3"/>
      <c r="FF967" s="3"/>
      <c r="FG967" s="3"/>
      <c r="FH967" s="3"/>
      <c r="FI967" s="3"/>
      <c r="FJ967" s="3"/>
      <c r="FK967" s="3"/>
      <c r="FL967" s="3"/>
      <c r="FM967" s="3"/>
      <c r="FN967" s="3"/>
      <c r="FO967" s="3"/>
      <c r="FP967" s="3"/>
      <c r="FQ967" s="3"/>
      <c r="FR967" s="3"/>
      <c r="FS967" s="3"/>
      <c r="FT967" s="3"/>
      <c r="FU967" s="3"/>
      <c r="FV967" s="3"/>
      <c r="FW967" s="3"/>
      <c r="FX967" s="3"/>
      <c r="FY967" s="3"/>
    </row>
    <row r="968" spans="7:181" ht="15" x14ac:dyDescent="0.25">
      <c r="G968" s="2"/>
      <c r="H968" s="2"/>
      <c r="I968" s="2"/>
      <c r="J968" s="2"/>
      <c r="K968" s="2"/>
      <c r="L968" s="3"/>
      <c r="M968" s="3"/>
      <c r="N968" s="3"/>
      <c r="O968" s="3"/>
      <c r="P968" s="3"/>
      <c r="Q968" s="3"/>
      <c r="R968" s="3"/>
      <c r="S968" s="3"/>
      <c r="T968" s="3"/>
      <c r="U968" s="4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4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4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4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  <c r="DI968" s="3"/>
      <c r="DJ968" s="3"/>
      <c r="DK968" s="3"/>
      <c r="DL968" s="3"/>
      <c r="DM968" s="3"/>
      <c r="DN968" s="3"/>
      <c r="DO968" s="3"/>
      <c r="DP968" s="3"/>
      <c r="DQ968" s="3"/>
      <c r="DR968" s="3"/>
      <c r="DS968" s="3"/>
      <c r="DT968" s="3"/>
      <c r="DU968" s="3"/>
      <c r="DV968" s="3"/>
      <c r="DW968" s="3"/>
      <c r="DX968" s="3"/>
      <c r="DY968" s="3"/>
      <c r="DZ968" s="3"/>
      <c r="EA968" s="3"/>
      <c r="EB968" s="3"/>
      <c r="EC968" s="3"/>
      <c r="ED968" s="3"/>
      <c r="EE968" s="3"/>
      <c r="EF968" s="3"/>
      <c r="EG968" s="3"/>
      <c r="EH968" s="3"/>
      <c r="EI968" s="3"/>
      <c r="EJ968" s="3"/>
      <c r="EK968" s="3"/>
      <c r="EL968" s="3"/>
      <c r="EM968" s="3"/>
      <c r="EN968" s="3"/>
      <c r="EO968" s="3"/>
      <c r="EP968" s="3"/>
      <c r="EQ968" s="3"/>
      <c r="ER968" s="3"/>
      <c r="ES968" s="3"/>
      <c r="ET968" s="3"/>
      <c r="EU968" s="3"/>
      <c r="EV968" s="3"/>
      <c r="EW968" s="3"/>
      <c r="EX968" s="3"/>
      <c r="EY968" s="3"/>
      <c r="EZ968" s="3"/>
      <c r="FA968" s="3"/>
      <c r="FB968" s="3"/>
      <c r="FC968" s="3"/>
      <c r="FD968" s="3"/>
      <c r="FE968" s="3"/>
      <c r="FF968" s="3"/>
      <c r="FG968" s="3"/>
      <c r="FH968" s="3"/>
      <c r="FI968" s="3"/>
      <c r="FJ968" s="3"/>
      <c r="FK968" s="3"/>
      <c r="FL968" s="3"/>
      <c r="FM968" s="3"/>
      <c r="FN968" s="3"/>
      <c r="FO968" s="3"/>
      <c r="FP968" s="3"/>
      <c r="FQ968" s="3"/>
      <c r="FR968" s="3"/>
      <c r="FS968" s="3"/>
      <c r="FT968" s="3"/>
      <c r="FU968" s="3"/>
      <c r="FV968" s="3"/>
      <c r="FW968" s="3"/>
      <c r="FX968" s="3"/>
      <c r="FY968" s="3"/>
    </row>
    <row r="969" spans="7:181" ht="15" x14ac:dyDescent="0.25">
      <c r="G969" s="2"/>
      <c r="H969" s="2"/>
      <c r="I969" s="2"/>
      <c r="J969" s="2"/>
      <c r="K969" s="2"/>
      <c r="L969" s="3"/>
      <c r="M969" s="3"/>
      <c r="N969" s="3"/>
      <c r="O969" s="3"/>
      <c r="P969" s="3"/>
      <c r="Q969" s="3"/>
      <c r="R969" s="3"/>
      <c r="S969" s="3"/>
      <c r="T969" s="3"/>
      <c r="U969" s="4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4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4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4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3"/>
      <c r="DJ969" s="3"/>
      <c r="DK969" s="3"/>
      <c r="DL969" s="3"/>
      <c r="DM969" s="3"/>
      <c r="DN969" s="3"/>
      <c r="DO969" s="3"/>
      <c r="DP969" s="3"/>
      <c r="DQ969" s="3"/>
      <c r="DR969" s="3"/>
      <c r="DS969" s="3"/>
      <c r="DT969" s="3"/>
      <c r="DU969" s="3"/>
      <c r="DV969" s="3"/>
      <c r="DW969" s="3"/>
      <c r="DX969" s="3"/>
      <c r="DY969" s="3"/>
      <c r="DZ969" s="3"/>
      <c r="EA969" s="3"/>
      <c r="EB969" s="3"/>
      <c r="EC969" s="3"/>
      <c r="ED969" s="3"/>
      <c r="EE969" s="3"/>
      <c r="EF969" s="3"/>
      <c r="EG969" s="3"/>
      <c r="EH969" s="3"/>
      <c r="EI969" s="3"/>
      <c r="EJ969" s="3"/>
      <c r="EK969" s="3"/>
      <c r="EL969" s="3"/>
      <c r="EM969" s="3"/>
      <c r="EN969" s="3"/>
      <c r="EO969" s="3"/>
      <c r="EP969" s="3"/>
      <c r="EQ969" s="3"/>
      <c r="ER969" s="3"/>
      <c r="ES969" s="3"/>
      <c r="ET969" s="3"/>
      <c r="EU969" s="3"/>
      <c r="EV969" s="3"/>
      <c r="EW969" s="3"/>
      <c r="EX969" s="3"/>
      <c r="EY969" s="3"/>
      <c r="EZ969" s="3"/>
      <c r="FA969" s="3"/>
      <c r="FB969" s="3"/>
      <c r="FC969" s="3"/>
      <c r="FD969" s="3"/>
      <c r="FE969" s="3"/>
      <c r="FF969" s="3"/>
      <c r="FG969" s="3"/>
      <c r="FH969" s="3"/>
      <c r="FI969" s="3"/>
      <c r="FJ969" s="3"/>
      <c r="FK969" s="3"/>
      <c r="FL969" s="3"/>
      <c r="FM969" s="3"/>
      <c r="FN969" s="3"/>
      <c r="FO969" s="3"/>
      <c r="FP969" s="3"/>
      <c r="FQ969" s="3"/>
      <c r="FR969" s="3"/>
      <c r="FS969" s="3"/>
      <c r="FT969" s="3"/>
      <c r="FU969" s="3"/>
      <c r="FV969" s="3"/>
      <c r="FW969" s="3"/>
      <c r="FX969" s="3"/>
      <c r="FY969" s="3"/>
    </row>
    <row r="970" spans="7:181" ht="15" x14ac:dyDescent="0.25">
      <c r="G970" s="2"/>
      <c r="H970" s="2"/>
      <c r="I970" s="2"/>
      <c r="J970" s="2"/>
      <c r="K970" s="2"/>
      <c r="L970" s="3"/>
      <c r="M970" s="3"/>
      <c r="N970" s="3"/>
      <c r="O970" s="3"/>
      <c r="P970" s="3"/>
      <c r="Q970" s="3"/>
      <c r="R970" s="3"/>
      <c r="S970" s="3"/>
      <c r="T970" s="3"/>
      <c r="U970" s="4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4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4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4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  <c r="DI970" s="3"/>
      <c r="DJ970" s="3"/>
      <c r="DK970" s="3"/>
      <c r="DL970" s="3"/>
      <c r="DM970" s="3"/>
      <c r="DN970" s="3"/>
      <c r="DO970" s="3"/>
      <c r="DP970" s="3"/>
      <c r="DQ970" s="3"/>
      <c r="DR970" s="3"/>
      <c r="DS970" s="3"/>
      <c r="DT970" s="3"/>
      <c r="DU970" s="3"/>
      <c r="DV970" s="3"/>
      <c r="DW970" s="3"/>
      <c r="DX970" s="3"/>
      <c r="DY970" s="3"/>
      <c r="DZ970" s="3"/>
      <c r="EA970" s="3"/>
      <c r="EB970" s="3"/>
      <c r="EC970" s="3"/>
      <c r="ED970" s="3"/>
      <c r="EE970" s="3"/>
      <c r="EF970" s="3"/>
      <c r="EG970" s="3"/>
      <c r="EH970" s="3"/>
      <c r="EI970" s="3"/>
      <c r="EJ970" s="3"/>
      <c r="EK970" s="3"/>
      <c r="EL970" s="3"/>
      <c r="EM970" s="3"/>
      <c r="EN970" s="3"/>
      <c r="EO970" s="3"/>
      <c r="EP970" s="3"/>
      <c r="EQ970" s="3"/>
      <c r="ER970" s="3"/>
      <c r="ES970" s="3"/>
      <c r="ET970" s="3"/>
      <c r="EU970" s="3"/>
      <c r="EV970" s="3"/>
      <c r="EW970" s="3"/>
      <c r="EX970" s="3"/>
      <c r="EY970" s="3"/>
      <c r="EZ970" s="3"/>
      <c r="FA970" s="3"/>
      <c r="FB970" s="3"/>
      <c r="FC970" s="3"/>
      <c r="FD970" s="3"/>
      <c r="FE970" s="3"/>
      <c r="FF970" s="3"/>
      <c r="FG970" s="3"/>
      <c r="FH970" s="3"/>
      <c r="FI970" s="3"/>
      <c r="FJ970" s="3"/>
      <c r="FK970" s="3"/>
      <c r="FL970" s="3"/>
      <c r="FM970" s="3"/>
      <c r="FN970" s="3"/>
      <c r="FO970" s="3"/>
      <c r="FP970" s="3"/>
      <c r="FQ970" s="3"/>
      <c r="FR970" s="3"/>
      <c r="FS970" s="3"/>
      <c r="FT970" s="3"/>
      <c r="FU970" s="3"/>
      <c r="FV970" s="3"/>
      <c r="FW970" s="3"/>
      <c r="FX970" s="3"/>
      <c r="FY970" s="3"/>
    </row>
    <row r="971" spans="7:181" ht="15" x14ac:dyDescent="0.25">
      <c r="G971" s="2"/>
      <c r="H971" s="2"/>
      <c r="I971" s="2"/>
      <c r="J971" s="2"/>
      <c r="K971" s="2"/>
      <c r="L971" s="3"/>
      <c r="M971" s="3"/>
      <c r="N971" s="3"/>
      <c r="O971" s="3"/>
      <c r="P971" s="3"/>
      <c r="Q971" s="3"/>
      <c r="R971" s="3"/>
      <c r="S971" s="3"/>
      <c r="T971" s="3"/>
      <c r="U971" s="4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4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4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4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  <c r="DI971" s="3"/>
      <c r="DJ971" s="3"/>
      <c r="DK971" s="3"/>
      <c r="DL971" s="3"/>
      <c r="DM971" s="3"/>
      <c r="DN971" s="3"/>
      <c r="DO971" s="3"/>
      <c r="DP971" s="3"/>
      <c r="DQ971" s="3"/>
      <c r="DR971" s="3"/>
      <c r="DS971" s="3"/>
      <c r="DT971" s="3"/>
      <c r="DU971" s="3"/>
      <c r="DV971" s="3"/>
      <c r="DW971" s="3"/>
      <c r="DX971" s="3"/>
      <c r="DY971" s="3"/>
      <c r="DZ971" s="3"/>
      <c r="EA971" s="3"/>
      <c r="EB971" s="3"/>
      <c r="EC971" s="3"/>
      <c r="ED971" s="3"/>
      <c r="EE971" s="3"/>
      <c r="EF971" s="3"/>
      <c r="EG971" s="3"/>
      <c r="EH971" s="3"/>
      <c r="EI971" s="3"/>
      <c r="EJ971" s="3"/>
      <c r="EK971" s="3"/>
      <c r="EL971" s="3"/>
      <c r="EM971" s="3"/>
      <c r="EN971" s="3"/>
      <c r="EO971" s="3"/>
      <c r="EP971" s="3"/>
      <c r="EQ971" s="3"/>
      <c r="ER971" s="3"/>
      <c r="ES971" s="3"/>
      <c r="ET971" s="3"/>
      <c r="EU971" s="3"/>
      <c r="EV971" s="3"/>
      <c r="EW971" s="3"/>
      <c r="EX971" s="3"/>
      <c r="EY971" s="3"/>
      <c r="EZ971" s="3"/>
      <c r="FA971" s="3"/>
      <c r="FB971" s="3"/>
      <c r="FC971" s="3"/>
      <c r="FD971" s="3"/>
      <c r="FE971" s="3"/>
      <c r="FF971" s="3"/>
      <c r="FG971" s="3"/>
      <c r="FH971" s="3"/>
      <c r="FI971" s="3"/>
      <c r="FJ971" s="3"/>
      <c r="FK971" s="3"/>
      <c r="FL971" s="3"/>
      <c r="FM971" s="3"/>
      <c r="FN971" s="3"/>
      <c r="FO971" s="3"/>
      <c r="FP971" s="3"/>
      <c r="FQ971" s="3"/>
      <c r="FR971" s="3"/>
      <c r="FS971" s="3"/>
      <c r="FT971" s="3"/>
      <c r="FU971" s="3"/>
      <c r="FV971" s="3"/>
      <c r="FW971" s="3"/>
      <c r="FX971" s="3"/>
      <c r="FY971" s="3"/>
    </row>
    <row r="972" spans="7:181" ht="15" x14ac:dyDescent="0.25">
      <c r="G972" s="2"/>
      <c r="H972" s="2"/>
      <c r="I972" s="2"/>
      <c r="J972" s="2"/>
      <c r="K972" s="2"/>
      <c r="L972" s="3"/>
      <c r="M972" s="3"/>
      <c r="N972" s="3"/>
      <c r="O972" s="3"/>
      <c r="P972" s="3"/>
      <c r="Q972" s="3"/>
      <c r="R972" s="3"/>
      <c r="S972" s="3"/>
      <c r="T972" s="3"/>
      <c r="U972" s="4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4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4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4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  <c r="DI972" s="3"/>
      <c r="DJ972" s="3"/>
      <c r="DK972" s="3"/>
      <c r="DL972" s="3"/>
      <c r="DM972" s="3"/>
      <c r="DN972" s="3"/>
      <c r="DO972" s="3"/>
      <c r="DP972" s="3"/>
      <c r="DQ972" s="3"/>
      <c r="DR972" s="3"/>
      <c r="DS972" s="3"/>
      <c r="DT972" s="3"/>
      <c r="DU972" s="3"/>
      <c r="DV972" s="3"/>
      <c r="DW972" s="3"/>
      <c r="DX972" s="3"/>
      <c r="DY972" s="3"/>
      <c r="DZ972" s="3"/>
      <c r="EA972" s="3"/>
      <c r="EB972" s="3"/>
      <c r="EC972" s="3"/>
      <c r="ED972" s="3"/>
      <c r="EE972" s="3"/>
      <c r="EF972" s="3"/>
      <c r="EG972" s="3"/>
      <c r="EH972" s="3"/>
      <c r="EI972" s="3"/>
      <c r="EJ972" s="3"/>
      <c r="EK972" s="3"/>
      <c r="EL972" s="3"/>
      <c r="EM972" s="3"/>
      <c r="EN972" s="3"/>
      <c r="EO972" s="3"/>
      <c r="EP972" s="3"/>
      <c r="EQ972" s="3"/>
      <c r="ER972" s="3"/>
      <c r="ES972" s="3"/>
      <c r="ET972" s="3"/>
      <c r="EU972" s="3"/>
      <c r="EV972" s="3"/>
      <c r="EW972" s="3"/>
      <c r="EX972" s="3"/>
      <c r="EY972" s="3"/>
      <c r="EZ972" s="3"/>
      <c r="FA972" s="3"/>
      <c r="FB972" s="3"/>
      <c r="FC972" s="3"/>
      <c r="FD972" s="3"/>
      <c r="FE972" s="3"/>
      <c r="FF972" s="3"/>
      <c r="FG972" s="3"/>
      <c r="FH972" s="3"/>
      <c r="FI972" s="3"/>
      <c r="FJ972" s="3"/>
      <c r="FK972" s="3"/>
      <c r="FL972" s="3"/>
      <c r="FM972" s="3"/>
      <c r="FN972" s="3"/>
      <c r="FO972" s="3"/>
      <c r="FP972" s="3"/>
      <c r="FQ972" s="3"/>
      <c r="FR972" s="3"/>
      <c r="FS972" s="3"/>
      <c r="FT972" s="3"/>
      <c r="FU972" s="3"/>
      <c r="FV972" s="3"/>
      <c r="FW972" s="3"/>
      <c r="FX972" s="3"/>
      <c r="FY972" s="3"/>
    </row>
    <row r="973" spans="7:181" ht="15" x14ac:dyDescent="0.25">
      <c r="G973" s="2"/>
      <c r="H973" s="2"/>
      <c r="I973" s="2"/>
      <c r="J973" s="2"/>
      <c r="K973" s="2"/>
      <c r="L973" s="3"/>
      <c r="M973" s="3"/>
      <c r="N973" s="3"/>
      <c r="O973" s="3"/>
      <c r="P973" s="3"/>
      <c r="Q973" s="3"/>
      <c r="R973" s="3"/>
      <c r="S973" s="3"/>
      <c r="T973" s="3"/>
      <c r="U973" s="4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4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4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4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  <c r="DI973" s="3"/>
      <c r="DJ973" s="3"/>
      <c r="DK973" s="3"/>
      <c r="DL973" s="3"/>
      <c r="DM973" s="3"/>
      <c r="DN973" s="3"/>
      <c r="DO973" s="3"/>
      <c r="DP973" s="3"/>
      <c r="DQ973" s="3"/>
      <c r="DR973" s="3"/>
      <c r="DS973" s="3"/>
      <c r="DT973" s="3"/>
      <c r="DU973" s="3"/>
      <c r="DV973" s="3"/>
      <c r="DW973" s="3"/>
      <c r="DX973" s="3"/>
      <c r="DY973" s="3"/>
      <c r="DZ973" s="3"/>
      <c r="EA973" s="3"/>
      <c r="EB973" s="3"/>
      <c r="EC973" s="3"/>
      <c r="ED973" s="3"/>
      <c r="EE973" s="3"/>
      <c r="EF973" s="3"/>
      <c r="EG973" s="3"/>
      <c r="EH973" s="3"/>
      <c r="EI973" s="3"/>
      <c r="EJ973" s="3"/>
      <c r="EK973" s="3"/>
      <c r="EL973" s="3"/>
      <c r="EM973" s="3"/>
      <c r="EN973" s="3"/>
      <c r="EO973" s="3"/>
      <c r="EP973" s="3"/>
      <c r="EQ973" s="3"/>
      <c r="ER973" s="3"/>
      <c r="ES973" s="3"/>
      <c r="ET973" s="3"/>
      <c r="EU973" s="3"/>
      <c r="EV973" s="3"/>
      <c r="EW973" s="3"/>
      <c r="EX973" s="3"/>
      <c r="EY973" s="3"/>
      <c r="EZ973" s="3"/>
      <c r="FA973" s="3"/>
      <c r="FB973" s="3"/>
      <c r="FC973" s="3"/>
      <c r="FD973" s="3"/>
      <c r="FE973" s="3"/>
      <c r="FF973" s="3"/>
      <c r="FG973" s="3"/>
      <c r="FH973" s="3"/>
      <c r="FI973" s="3"/>
      <c r="FJ973" s="3"/>
      <c r="FK973" s="3"/>
      <c r="FL973" s="3"/>
      <c r="FM973" s="3"/>
      <c r="FN973" s="3"/>
      <c r="FO973" s="3"/>
      <c r="FP973" s="3"/>
      <c r="FQ973" s="3"/>
      <c r="FR973" s="3"/>
      <c r="FS973" s="3"/>
      <c r="FT973" s="3"/>
      <c r="FU973" s="3"/>
      <c r="FV973" s="3"/>
      <c r="FW973" s="3"/>
      <c r="FX973" s="3"/>
      <c r="FY973" s="3"/>
    </row>
    <row r="974" spans="7:181" ht="15" x14ac:dyDescent="0.25">
      <c r="G974" s="2"/>
      <c r="H974" s="2"/>
      <c r="I974" s="2"/>
      <c r="J974" s="2"/>
      <c r="K974" s="2"/>
      <c r="L974" s="3"/>
      <c r="M974" s="3"/>
      <c r="N974" s="3"/>
      <c r="O974" s="3"/>
      <c r="P974" s="3"/>
      <c r="Q974" s="3"/>
      <c r="R974" s="3"/>
      <c r="S974" s="3"/>
      <c r="T974" s="3"/>
      <c r="U974" s="4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4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4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4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/>
      <c r="DS974" s="3"/>
      <c r="DT974" s="3"/>
      <c r="DU974" s="3"/>
      <c r="DV974" s="3"/>
      <c r="DW974" s="3"/>
      <c r="DX974" s="3"/>
      <c r="DY974" s="3"/>
      <c r="DZ974" s="3"/>
      <c r="EA974" s="3"/>
      <c r="EB974" s="3"/>
      <c r="EC974" s="3"/>
      <c r="ED974" s="3"/>
      <c r="EE974" s="3"/>
      <c r="EF974" s="3"/>
      <c r="EG974" s="3"/>
      <c r="EH974" s="3"/>
      <c r="EI974" s="3"/>
      <c r="EJ974" s="3"/>
      <c r="EK974" s="3"/>
      <c r="EL974" s="3"/>
      <c r="EM974" s="3"/>
      <c r="EN974" s="3"/>
      <c r="EO974" s="3"/>
      <c r="EP974" s="3"/>
      <c r="EQ974" s="3"/>
      <c r="ER974" s="3"/>
      <c r="ES974" s="3"/>
      <c r="ET974" s="3"/>
      <c r="EU974" s="3"/>
      <c r="EV974" s="3"/>
      <c r="EW974" s="3"/>
      <c r="EX974" s="3"/>
      <c r="EY974" s="3"/>
      <c r="EZ974" s="3"/>
      <c r="FA974" s="3"/>
      <c r="FB974" s="3"/>
      <c r="FC974" s="3"/>
      <c r="FD974" s="3"/>
      <c r="FE974" s="3"/>
      <c r="FF974" s="3"/>
      <c r="FG974" s="3"/>
      <c r="FH974" s="3"/>
      <c r="FI974" s="3"/>
      <c r="FJ974" s="3"/>
      <c r="FK974" s="3"/>
      <c r="FL974" s="3"/>
      <c r="FM974" s="3"/>
      <c r="FN974" s="3"/>
      <c r="FO974" s="3"/>
      <c r="FP974" s="3"/>
      <c r="FQ974" s="3"/>
      <c r="FR974" s="3"/>
      <c r="FS974" s="3"/>
      <c r="FT974" s="3"/>
      <c r="FU974" s="3"/>
      <c r="FV974" s="3"/>
      <c r="FW974" s="3"/>
      <c r="FX974" s="3"/>
      <c r="FY974" s="3"/>
    </row>
    <row r="975" spans="7:181" ht="15" x14ac:dyDescent="0.25">
      <c r="G975" s="2"/>
      <c r="H975" s="2"/>
      <c r="I975" s="2"/>
      <c r="J975" s="2"/>
      <c r="K975" s="2"/>
      <c r="L975" s="3"/>
      <c r="M975" s="3"/>
      <c r="N975" s="3"/>
      <c r="O975" s="3"/>
      <c r="P975" s="3"/>
      <c r="Q975" s="3"/>
      <c r="R975" s="3"/>
      <c r="S975" s="3"/>
      <c r="T975" s="3"/>
      <c r="U975" s="4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4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4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4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/>
      <c r="DS975" s="3"/>
      <c r="DT975" s="3"/>
      <c r="DU975" s="3"/>
      <c r="DV975" s="3"/>
      <c r="DW975" s="3"/>
      <c r="DX975" s="3"/>
      <c r="DY975" s="3"/>
      <c r="DZ975" s="3"/>
      <c r="EA975" s="3"/>
      <c r="EB975" s="3"/>
      <c r="EC975" s="3"/>
      <c r="ED975" s="3"/>
      <c r="EE975" s="3"/>
      <c r="EF975" s="3"/>
      <c r="EG975" s="3"/>
      <c r="EH975" s="3"/>
      <c r="EI975" s="3"/>
      <c r="EJ975" s="3"/>
      <c r="EK975" s="3"/>
      <c r="EL975" s="3"/>
      <c r="EM975" s="3"/>
      <c r="EN975" s="3"/>
      <c r="EO975" s="3"/>
      <c r="EP975" s="3"/>
      <c r="EQ975" s="3"/>
      <c r="ER975" s="3"/>
      <c r="ES975" s="3"/>
      <c r="ET975" s="3"/>
      <c r="EU975" s="3"/>
      <c r="EV975" s="3"/>
      <c r="EW975" s="3"/>
      <c r="EX975" s="3"/>
      <c r="EY975" s="3"/>
      <c r="EZ975" s="3"/>
      <c r="FA975" s="3"/>
      <c r="FB975" s="3"/>
      <c r="FC975" s="3"/>
      <c r="FD975" s="3"/>
      <c r="FE975" s="3"/>
      <c r="FF975" s="3"/>
      <c r="FG975" s="3"/>
      <c r="FH975" s="3"/>
      <c r="FI975" s="3"/>
      <c r="FJ975" s="3"/>
      <c r="FK975" s="3"/>
      <c r="FL975" s="3"/>
      <c r="FM975" s="3"/>
      <c r="FN975" s="3"/>
      <c r="FO975" s="3"/>
      <c r="FP975" s="3"/>
      <c r="FQ975" s="3"/>
      <c r="FR975" s="3"/>
      <c r="FS975" s="3"/>
      <c r="FT975" s="3"/>
      <c r="FU975" s="3"/>
      <c r="FV975" s="3"/>
      <c r="FW975" s="3"/>
      <c r="FX975" s="3"/>
      <c r="FY975" s="3"/>
    </row>
    <row r="976" spans="7:181" ht="15" x14ac:dyDescent="0.25">
      <c r="G976" s="2"/>
      <c r="H976" s="2"/>
      <c r="I976" s="2"/>
      <c r="J976" s="2"/>
      <c r="K976" s="2"/>
      <c r="L976" s="3"/>
      <c r="M976" s="3"/>
      <c r="N976" s="3"/>
      <c r="O976" s="3"/>
      <c r="P976" s="3"/>
      <c r="Q976" s="3"/>
      <c r="R976" s="3"/>
      <c r="S976" s="3"/>
      <c r="T976" s="3"/>
      <c r="U976" s="4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4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4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4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  <c r="DP976" s="3"/>
      <c r="DQ976" s="3"/>
      <c r="DR976" s="3"/>
      <c r="DS976" s="3"/>
      <c r="DT976" s="3"/>
      <c r="DU976" s="3"/>
      <c r="DV976" s="3"/>
      <c r="DW976" s="3"/>
      <c r="DX976" s="3"/>
      <c r="DY976" s="3"/>
      <c r="DZ976" s="3"/>
      <c r="EA976" s="3"/>
      <c r="EB976" s="3"/>
      <c r="EC976" s="3"/>
      <c r="ED976" s="3"/>
      <c r="EE976" s="3"/>
      <c r="EF976" s="3"/>
      <c r="EG976" s="3"/>
      <c r="EH976" s="3"/>
      <c r="EI976" s="3"/>
      <c r="EJ976" s="3"/>
      <c r="EK976" s="3"/>
      <c r="EL976" s="3"/>
      <c r="EM976" s="3"/>
      <c r="EN976" s="3"/>
      <c r="EO976" s="3"/>
      <c r="EP976" s="3"/>
      <c r="EQ976" s="3"/>
      <c r="ER976" s="3"/>
      <c r="ES976" s="3"/>
      <c r="ET976" s="3"/>
      <c r="EU976" s="3"/>
      <c r="EV976" s="3"/>
      <c r="EW976" s="3"/>
      <c r="EX976" s="3"/>
      <c r="EY976" s="3"/>
      <c r="EZ976" s="3"/>
      <c r="FA976" s="3"/>
      <c r="FB976" s="3"/>
      <c r="FC976" s="3"/>
      <c r="FD976" s="3"/>
      <c r="FE976" s="3"/>
      <c r="FF976" s="3"/>
      <c r="FG976" s="3"/>
      <c r="FH976" s="3"/>
      <c r="FI976" s="3"/>
      <c r="FJ976" s="3"/>
      <c r="FK976" s="3"/>
      <c r="FL976" s="3"/>
      <c r="FM976" s="3"/>
      <c r="FN976" s="3"/>
      <c r="FO976" s="3"/>
      <c r="FP976" s="3"/>
      <c r="FQ976" s="3"/>
      <c r="FR976" s="3"/>
      <c r="FS976" s="3"/>
      <c r="FT976" s="3"/>
      <c r="FU976" s="3"/>
      <c r="FV976" s="3"/>
      <c r="FW976" s="3"/>
      <c r="FX976" s="3"/>
      <c r="FY976" s="3"/>
    </row>
    <row r="977" spans="7:181" ht="15" x14ac:dyDescent="0.25">
      <c r="G977" s="2"/>
      <c r="H977" s="2"/>
      <c r="I977" s="2"/>
      <c r="J977" s="2"/>
      <c r="K977" s="2"/>
      <c r="L977" s="3"/>
      <c r="M977" s="3"/>
      <c r="N977" s="3"/>
      <c r="O977" s="3"/>
      <c r="P977" s="3"/>
      <c r="Q977" s="3"/>
      <c r="R977" s="3"/>
      <c r="S977" s="3"/>
      <c r="T977" s="3"/>
      <c r="U977" s="4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4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4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4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  <c r="DP977" s="3"/>
      <c r="DQ977" s="3"/>
      <c r="DR977" s="3"/>
      <c r="DS977" s="3"/>
      <c r="DT977" s="3"/>
      <c r="DU977" s="3"/>
      <c r="DV977" s="3"/>
      <c r="DW977" s="3"/>
      <c r="DX977" s="3"/>
      <c r="DY977" s="3"/>
      <c r="DZ977" s="3"/>
      <c r="EA977" s="3"/>
      <c r="EB977" s="3"/>
      <c r="EC977" s="3"/>
      <c r="ED977" s="3"/>
      <c r="EE977" s="3"/>
      <c r="EF977" s="3"/>
      <c r="EG977" s="3"/>
      <c r="EH977" s="3"/>
      <c r="EI977" s="3"/>
      <c r="EJ977" s="3"/>
      <c r="EK977" s="3"/>
      <c r="EL977" s="3"/>
      <c r="EM977" s="3"/>
      <c r="EN977" s="3"/>
      <c r="EO977" s="3"/>
      <c r="EP977" s="3"/>
      <c r="EQ977" s="3"/>
      <c r="ER977" s="3"/>
      <c r="ES977" s="3"/>
      <c r="ET977" s="3"/>
      <c r="EU977" s="3"/>
      <c r="EV977" s="3"/>
      <c r="EW977" s="3"/>
      <c r="EX977" s="3"/>
      <c r="EY977" s="3"/>
      <c r="EZ977" s="3"/>
      <c r="FA977" s="3"/>
      <c r="FB977" s="3"/>
      <c r="FC977" s="3"/>
      <c r="FD977" s="3"/>
      <c r="FE977" s="3"/>
      <c r="FF977" s="3"/>
      <c r="FG977" s="3"/>
      <c r="FH977" s="3"/>
      <c r="FI977" s="3"/>
      <c r="FJ977" s="3"/>
      <c r="FK977" s="3"/>
      <c r="FL977" s="3"/>
      <c r="FM977" s="3"/>
      <c r="FN977" s="3"/>
      <c r="FO977" s="3"/>
      <c r="FP977" s="3"/>
      <c r="FQ977" s="3"/>
      <c r="FR977" s="3"/>
      <c r="FS977" s="3"/>
      <c r="FT977" s="3"/>
      <c r="FU977" s="3"/>
      <c r="FV977" s="3"/>
      <c r="FW977" s="3"/>
      <c r="FX977" s="3"/>
      <c r="FY977" s="3"/>
    </row>
    <row r="978" spans="7:181" ht="15" x14ac:dyDescent="0.25">
      <c r="G978" s="2"/>
      <c r="H978" s="2"/>
      <c r="I978" s="2"/>
      <c r="J978" s="2"/>
      <c r="K978" s="2"/>
      <c r="L978" s="3"/>
      <c r="M978" s="3"/>
      <c r="N978" s="3"/>
      <c r="O978" s="3"/>
      <c r="P978" s="3"/>
      <c r="Q978" s="3"/>
      <c r="R978" s="3"/>
      <c r="S978" s="3"/>
      <c r="T978" s="3"/>
      <c r="U978" s="4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4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4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4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  <c r="DI978" s="3"/>
      <c r="DJ978" s="3"/>
      <c r="DK978" s="3"/>
      <c r="DL978" s="3"/>
      <c r="DM978" s="3"/>
      <c r="DN978" s="3"/>
      <c r="DO978" s="3"/>
      <c r="DP978" s="3"/>
      <c r="DQ978" s="3"/>
      <c r="DR978" s="3"/>
      <c r="DS978" s="3"/>
      <c r="DT978" s="3"/>
      <c r="DU978" s="3"/>
      <c r="DV978" s="3"/>
      <c r="DW978" s="3"/>
      <c r="DX978" s="3"/>
      <c r="DY978" s="3"/>
      <c r="DZ978" s="3"/>
      <c r="EA978" s="3"/>
      <c r="EB978" s="3"/>
      <c r="EC978" s="3"/>
      <c r="ED978" s="3"/>
      <c r="EE978" s="3"/>
      <c r="EF978" s="3"/>
      <c r="EG978" s="3"/>
      <c r="EH978" s="3"/>
      <c r="EI978" s="3"/>
      <c r="EJ978" s="3"/>
      <c r="EK978" s="3"/>
      <c r="EL978" s="3"/>
      <c r="EM978" s="3"/>
      <c r="EN978" s="3"/>
      <c r="EO978" s="3"/>
      <c r="EP978" s="3"/>
      <c r="EQ978" s="3"/>
      <c r="ER978" s="3"/>
      <c r="ES978" s="3"/>
      <c r="ET978" s="3"/>
      <c r="EU978" s="3"/>
      <c r="EV978" s="3"/>
      <c r="EW978" s="3"/>
      <c r="EX978" s="3"/>
      <c r="EY978" s="3"/>
      <c r="EZ978" s="3"/>
      <c r="FA978" s="3"/>
      <c r="FB978" s="3"/>
      <c r="FC978" s="3"/>
      <c r="FD978" s="3"/>
      <c r="FE978" s="3"/>
      <c r="FF978" s="3"/>
      <c r="FG978" s="3"/>
      <c r="FH978" s="3"/>
      <c r="FI978" s="3"/>
      <c r="FJ978" s="3"/>
      <c r="FK978" s="3"/>
      <c r="FL978" s="3"/>
      <c r="FM978" s="3"/>
      <c r="FN978" s="3"/>
      <c r="FO978" s="3"/>
      <c r="FP978" s="3"/>
      <c r="FQ978" s="3"/>
      <c r="FR978" s="3"/>
      <c r="FS978" s="3"/>
      <c r="FT978" s="3"/>
      <c r="FU978" s="3"/>
      <c r="FV978" s="3"/>
      <c r="FW978" s="3"/>
      <c r="FX978" s="3"/>
      <c r="FY978" s="3"/>
    </row>
    <row r="979" spans="7:181" ht="15" x14ac:dyDescent="0.25">
      <c r="G979" s="2"/>
      <c r="H979" s="2"/>
      <c r="I979" s="2"/>
      <c r="J979" s="2"/>
      <c r="K979" s="2"/>
      <c r="L979" s="3"/>
      <c r="M979" s="3"/>
      <c r="N979" s="3"/>
      <c r="O979" s="3"/>
      <c r="P979" s="3"/>
      <c r="Q979" s="3"/>
      <c r="R979" s="3"/>
      <c r="S979" s="3"/>
      <c r="T979" s="3"/>
      <c r="U979" s="4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4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4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4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  <c r="DI979" s="3"/>
      <c r="DJ979" s="3"/>
      <c r="DK979" s="3"/>
      <c r="DL979" s="3"/>
      <c r="DM979" s="3"/>
      <c r="DN979" s="3"/>
      <c r="DO979" s="3"/>
      <c r="DP979" s="3"/>
      <c r="DQ979" s="3"/>
      <c r="DR979" s="3"/>
      <c r="DS979" s="3"/>
      <c r="DT979" s="3"/>
      <c r="DU979" s="3"/>
      <c r="DV979" s="3"/>
      <c r="DW979" s="3"/>
      <c r="DX979" s="3"/>
      <c r="DY979" s="3"/>
      <c r="DZ979" s="3"/>
      <c r="EA979" s="3"/>
      <c r="EB979" s="3"/>
      <c r="EC979" s="3"/>
      <c r="ED979" s="3"/>
      <c r="EE979" s="3"/>
      <c r="EF979" s="3"/>
      <c r="EG979" s="3"/>
      <c r="EH979" s="3"/>
      <c r="EI979" s="3"/>
      <c r="EJ979" s="3"/>
      <c r="EK979" s="3"/>
      <c r="EL979" s="3"/>
      <c r="EM979" s="3"/>
      <c r="EN979" s="3"/>
      <c r="EO979" s="3"/>
      <c r="EP979" s="3"/>
      <c r="EQ979" s="3"/>
      <c r="ER979" s="3"/>
      <c r="ES979" s="3"/>
      <c r="ET979" s="3"/>
      <c r="EU979" s="3"/>
      <c r="EV979" s="3"/>
      <c r="EW979" s="3"/>
      <c r="EX979" s="3"/>
      <c r="EY979" s="3"/>
      <c r="EZ979" s="3"/>
      <c r="FA979" s="3"/>
      <c r="FB979" s="3"/>
      <c r="FC979" s="3"/>
      <c r="FD979" s="3"/>
      <c r="FE979" s="3"/>
      <c r="FF979" s="3"/>
      <c r="FG979" s="3"/>
      <c r="FH979" s="3"/>
      <c r="FI979" s="3"/>
      <c r="FJ979" s="3"/>
      <c r="FK979" s="3"/>
      <c r="FL979" s="3"/>
      <c r="FM979" s="3"/>
      <c r="FN979" s="3"/>
      <c r="FO979" s="3"/>
      <c r="FP979" s="3"/>
      <c r="FQ979" s="3"/>
      <c r="FR979" s="3"/>
      <c r="FS979" s="3"/>
      <c r="FT979" s="3"/>
      <c r="FU979" s="3"/>
      <c r="FV979" s="3"/>
      <c r="FW979" s="3"/>
      <c r="FX979" s="3"/>
      <c r="FY979" s="3"/>
    </row>
    <row r="980" spans="7:181" ht="15" x14ac:dyDescent="0.25">
      <c r="G980" s="2"/>
      <c r="H980" s="2"/>
      <c r="I980" s="2"/>
      <c r="J980" s="2"/>
      <c r="K980" s="2"/>
      <c r="L980" s="3"/>
      <c r="M980" s="3"/>
      <c r="N980" s="3"/>
      <c r="O980" s="3"/>
      <c r="P980" s="3"/>
      <c r="Q980" s="3"/>
      <c r="R980" s="3"/>
      <c r="S980" s="3"/>
      <c r="T980" s="3"/>
      <c r="U980" s="4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4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4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4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  <c r="BZ980" s="3"/>
      <c r="CA980" s="3"/>
      <c r="CB980" s="3"/>
      <c r="CC980" s="3"/>
      <c r="CD980" s="3"/>
      <c r="CE980" s="3"/>
      <c r="CF980" s="3"/>
      <c r="CG980" s="3"/>
      <c r="CH980" s="3"/>
      <c r="CI980" s="3"/>
      <c r="CJ980" s="3"/>
      <c r="CK980" s="3"/>
      <c r="CL980" s="3"/>
      <c r="CM980" s="3"/>
      <c r="CN980" s="3"/>
      <c r="CO980" s="3"/>
      <c r="CP980" s="3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  <c r="DI980" s="3"/>
      <c r="DJ980" s="3"/>
      <c r="DK980" s="3"/>
      <c r="DL980" s="3"/>
      <c r="DM980" s="3"/>
      <c r="DN980" s="3"/>
      <c r="DO980" s="3"/>
      <c r="DP980" s="3"/>
      <c r="DQ980" s="3"/>
      <c r="DR980" s="3"/>
      <c r="DS980" s="3"/>
      <c r="DT980" s="3"/>
      <c r="DU980" s="3"/>
      <c r="DV980" s="3"/>
      <c r="DW980" s="3"/>
      <c r="DX980" s="3"/>
      <c r="DY980" s="3"/>
      <c r="DZ980" s="3"/>
      <c r="EA980" s="3"/>
      <c r="EB980" s="3"/>
      <c r="EC980" s="3"/>
      <c r="ED980" s="3"/>
      <c r="EE980" s="3"/>
      <c r="EF980" s="3"/>
      <c r="EG980" s="3"/>
      <c r="EH980" s="3"/>
      <c r="EI980" s="3"/>
      <c r="EJ980" s="3"/>
      <c r="EK980" s="3"/>
      <c r="EL980" s="3"/>
      <c r="EM980" s="3"/>
      <c r="EN980" s="3"/>
      <c r="EO980" s="3"/>
      <c r="EP980" s="3"/>
      <c r="EQ980" s="3"/>
      <c r="ER980" s="3"/>
      <c r="ES980" s="3"/>
      <c r="ET980" s="3"/>
      <c r="EU980" s="3"/>
      <c r="EV980" s="3"/>
      <c r="EW980" s="3"/>
      <c r="EX980" s="3"/>
      <c r="EY980" s="3"/>
      <c r="EZ980" s="3"/>
      <c r="FA980" s="3"/>
      <c r="FB980" s="3"/>
      <c r="FC980" s="3"/>
      <c r="FD980" s="3"/>
      <c r="FE980" s="3"/>
      <c r="FF980" s="3"/>
      <c r="FG980" s="3"/>
      <c r="FH980" s="3"/>
      <c r="FI980" s="3"/>
      <c r="FJ980" s="3"/>
      <c r="FK980" s="3"/>
      <c r="FL980" s="3"/>
      <c r="FM980" s="3"/>
      <c r="FN980" s="3"/>
      <c r="FO980" s="3"/>
      <c r="FP980" s="3"/>
      <c r="FQ980" s="3"/>
      <c r="FR980" s="3"/>
      <c r="FS980" s="3"/>
      <c r="FT980" s="3"/>
      <c r="FU980" s="3"/>
      <c r="FV980" s="3"/>
      <c r="FW980" s="3"/>
      <c r="FX980" s="3"/>
      <c r="FY980" s="3"/>
    </row>
    <row r="981" spans="7:181" ht="15" x14ac:dyDescent="0.25">
      <c r="G981" s="2"/>
      <c r="H981" s="2"/>
      <c r="I981" s="2"/>
      <c r="J981" s="2"/>
      <c r="K981" s="2"/>
      <c r="L981" s="3"/>
      <c r="M981" s="3"/>
      <c r="N981" s="3"/>
      <c r="O981" s="3"/>
      <c r="P981" s="3"/>
      <c r="Q981" s="3"/>
      <c r="R981" s="3"/>
      <c r="S981" s="3"/>
      <c r="T981" s="3"/>
      <c r="U981" s="4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4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4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4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  <c r="DI981" s="3"/>
      <c r="DJ981" s="3"/>
      <c r="DK981" s="3"/>
      <c r="DL981" s="3"/>
      <c r="DM981" s="3"/>
      <c r="DN981" s="3"/>
      <c r="DO981" s="3"/>
      <c r="DP981" s="3"/>
      <c r="DQ981" s="3"/>
      <c r="DR981" s="3"/>
      <c r="DS981" s="3"/>
      <c r="DT981" s="3"/>
      <c r="DU981" s="3"/>
      <c r="DV981" s="3"/>
      <c r="DW981" s="3"/>
      <c r="DX981" s="3"/>
      <c r="DY981" s="3"/>
      <c r="DZ981" s="3"/>
      <c r="EA981" s="3"/>
      <c r="EB981" s="3"/>
      <c r="EC981" s="3"/>
      <c r="ED981" s="3"/>
      <c r="EE981" s="3"/>
      <c r="EF981" s="3"/>
      <c r="EG981" s="3"/>
      <c r="EH981" s="3"/>
      <c r="EI981" s="3"/>
      <c r="EJ981" s="3"/>
      <c r="EK981" s="3"/>
      <c r="EL981" s="3"/>
      <c r="EM981" s="3"/>
      <c r="EN981" s="3"/>
      <c r="EO981" s="3"/>
      <c r="EP981" s="3"/>
      <c r="EQ981" s="3"/>
      <c r="ER981" s="3"/>
      <c r="ES981" s="3"/>
      <c r="ET981" s="3"/>
      <c r="EU981" s="3"/>
      <c r="EV981" s="3"/>
      <c r="EW981" s="3"/>
      <c r="EX981" s="3"/>
      <c r="EY981" s="3"/>
      <c r="EZ981" s="3"/>
      <c r="FA981" s="3"/>
      <c r="FB981" s="3"/>
      <c r="FC981" s="3"/>
      <c r="FD981" s="3"/>
      <c r="FE981" s="3"/>
      <c r="FF981" s="3"/>
      <c r="FG981" s="3"/>
      <c r="FH981" s="3"/>
      <c r="FI981" s="3"/>
      <c r="FJ981" s="3"/>
      <c r="FK981" s="3"/>
      <c r="FL981" s="3"/>
      <c r="FM981" s="3"/>
      <c r="FN981" s="3"/>
      <c r="FO981" s="3"/>
      <c r="FP981" s="3"/>
      <c r="FQ981" s="3"/>
      <c r="FR981" s="3"/>
      <c r="FS981" s="3"/>
      <c r="FT981" s="3"/>
      <c r="FU981" s="3"/>
      <c r="FV981" s="3"/>
      <c r="FW981" s="3"/>
      <c r="FX981" s="3"/>
      <c r="FY981" s="3"/>
    </row>
    <row r="982" spans="7:181" ht="15" x14ac:dyDescent="0.25">
      <c r="G982" s="2"/>
      <c r="H982" s="2"/>
      <c r="I982" s="2"/>
      <c r="J982" s="2"/>
      <c r="K982" s="2"/>
      <c r="L982" s="3"/>
      <c r="M982" s="3"/>
      <c r="N982" s="3"/>
      <c r="O982" s="3"/>
      <c r="P982" s="3"/>
      <c r="Q982" s="3"/>
      <c r="R982" s="3"/>
      <c r="S982" s="3"/>
      <c r="T982" s="3"/>
      <c r="U982" s="4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4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4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4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  <c r="DI982" s="3"/>
      <c r="DJ982" s="3"/>
      <c r="DK982" s="3"/>
      <c r="DL982" s="3"/>
      <c r="DM982" s="3"/>
      <c r="DN982" s="3"/>
      <c r="DO982" s="3"/>
      <c r="DP982" s="3"/>
      <c r="DQ982" s="3"/>
      <c r="DR982" s="3"/>
      <c r="DS982" s="3"/>
      <c r="DT982" s="3"/>
      <c r="DU982" s="3"/>
      <c r="DV982" s="3"/>
      <c r="DW982" s="3"/>
      <c r="DX982" s="3"/>
      <c r="DY982" s="3"/>
      <c r="DZ982" s="3"/>
      <c r="EA982" s="3"/>
      <c r="EB982" s="3"/>
      <c r="EC982" s="3"/>
      <c r="ED982" s="3"/>
      <c r="EE982" s="3"/>
      <c r="EF982" s="3"/>
      <c r="EG982" s="3"/>
      <c r="EH982" s="3"/>
      <c r="EI982" s="3"/>
      <c r="EJ982" s="3"/>
      <c r="EK982" s="3"/>
      <c r="EL982" s="3"/>
      <c r="EM982" s="3"/>
      <c r="EN982" s="3"/>
      <c r="EO982" s="3"/>
      <c r="EP982" s="3"/>
      <c r="EQ982" s="3"/>
      <c r="ER982" s="3"/>
      <c r="ES982" s="3"/>
      <c r="ET982" s="3"/>
      <c r="EU982" s="3"/>
      <c r="EV982" s="3"/>
      <c r="EW982" s="3"/>
      <c r="EX982" s="3"/>
      <c r="EY982" s="3"/>
      <c r="EZ982" s="3"/>
      <c r="FA982" s="3"/>
      <c r="FB982" s="3"/>
      <c r="FC982" s="3"/>
      <c r="FD982" s="3"/>
      <c r="FE982" s="3"/>
      <c r="FF982" s="3"/>
      <c r="FG982" s="3"/>
      <c r="FH982" s="3"/>
      <c r="FI982" s="3"/>
      <c r="FJ982" s="3"/>
      <c r="FK982" s="3"/>
      <c r="FL982" s="3"/>
      <c r="FM982" s="3"/>
      <c r="FN982" s="3"/>
      <c r="FO982" s="3"/>
      <c r="FP982" s="3"/>
      <c r="FQ982" s="3"/>
      <c r="FR982" s="3"/>
      <c r="FS982" s="3"/>
      <c r="FT982" s="3"/>
      <c r="FU982" s="3"/>
      <c r="FV982" s="3"/>
      <c r="FW982" s="3"/>
      <c r="FX982" s="3"/>
      <c r="FY982" s="3"/>
    </row>
    <row r="983" spans="7:181" ht="15" x14ac:dyDescent="0.25">
      <c r="G983" s="2"/>
      <c r="H983" s="2"/>
      <c r="I983" s="2"/>
      <c r="J983" s="2"/>
      <c r="K983" s="2"/>
      <c r="L983" s="3"/>
      <c r="M983" s="3"/>
      <c r="N983" s="3"/>
      <c r="O983" s="3"/>
      <c r="P983" s="3"/>
      <c r="Q983" s="3"/>
      <c r="R983" s="3"/>
      <c r="S983" s="3"/>
      <c r="T983" s="3"/>
      <c r="U983" s="4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4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4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4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  <c r="DI983" s="3"/>
      <c r="DJ983" s="3"/>
      <c r="DK983" s="3"/>
      <c r="DL983" s="3"/>
      <c r="DM983" s="3"/>
      <c r="DN983" s="3"/>
      <c r="DO983" s="3"/>
      <c r="DP983" s="3"/>
      <c r="DQ983" s="3"/>
      <c r="DR983" s="3"/>
      <c r="DS983" s="3"/>
      <c r="DT983" s="3"/>
      <c r="DU983" s="3"/>
      <c r="DV983" s="3"/>
      <c r="DW983" s="3"/>
      <c r="DX983" s="3"/>
      <c r="DY983" s="3"/>
      <c r="DZ983" s="3"/>
      <c r="EA983" s="3"/>
      <c r="EB983" s="3"/>
      <c r="EC983" s="3"/>
      <c r="ED983" s="3"/>
      <c r="EE983" s="3"/>
      <c r="EF983" s="3"/>
      <c r="EG983" s="3"/>
      <c r="EH983" s="3"/>
      <c r="EI983" s="3"/>
      <c r="EJ983" s="3"/>
      <c r="EK983" s="3"/>
      <c r="EL983" s="3"/>
      <c r="EM983" s="3"/>
      <c r="EN983" s="3"/>
      <c r="EO983" s="3"/>
      <c r="EP983" s="3"/>
      <c r="EQ983" s="3"/>
      <c r="ER983" s="3"/>
      <c r="ES983" s="3"/>
      <c r="ET983" s="3"/>
      <c r="EU983" s="3"/>
      <c r="EV983" s="3"/>
      <c r="EW983" s="3"/>
      <c r="EX983" s="3"/>
      <c r="EY983" s="3"/>
      <c r="EZ983" s="3"/>
      <c r="FA983" s="3"/>
      <c r="FB983" s="3"/>
      <c r="FC983" s="3"/>
      <c r="FD983" s="3"/>
      <c r="FE983" s="3"/>
      <c r="FF983" s="3"/>
      <c r="FG983" s="3"/>
      <c r="FH983" s="3"/>
      <c r="FI983" s="3"/>
      <c r="FJ983" s="3"/>
      <c r="FK983" s="3"/>
      <c r="FL983" s="3"/>
      <c r="FM983" s="3"/>
      <c r="FN983" s="3"/>
      <c r="FO983" s="3"/>
      <c r="FP983" s="3"/>
      <c r="FQ983" s="3"/>
      <c r="FR983" s="3"/>
      <c r="FS983" s="3"/>
      <c r="FT983" s="3"/>
      <c r="FU983" s="3"/>
      <c r="FV983" s="3"/>
      <c r="FW983" s="3"/>
      <c r="FX983" s="3"/>
      <c r="FY983" s="3"/>
    </row>
    <row r="984" spans="7:181" ht="15" x14ac:dyDescent="0.25">
      <c r="G984" s="2"/>
      <c r="H984" s="2"/>
      <c r="I984" s="2"/>
      <c r="J984" s="2"/>
      <c r="K984" s="2"/>
      <c r="L984" s="3"/>
      <c r="M984" s="3"/>
      <c r="N984" s="3"/>
      <c r="O984" s="3"/>
      <c r="P984" s="3"/>
      <c r="Q984" s="3"/>
      <c r="R984" s="3"/>
      <c r="S984" s="3"/>
      <c r="T984" s="3"/>
      <c r="U984" s="4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4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4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4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  <c r="DI984" s="3"/>
      <c r="DJ984" s="3"/>
      <c r="DK984" s="3"/>
      <c r="DL984" s="3"/>
      <c r="DM984" s="3"/>
      <c r="DN984" s="3"/>
      <c r="DO984" s="3"/>
      <c r="DP984" s="3"/>
      <c r="DQ984" s="3"/>
      <c r="DR984" s="3"/>
      <c r="DS984" s="3"/>
      <c r="DT984" s="3"/>
      <c r="DU984" s="3"/>
      <c r="DV984" s="3"/>
      <c r="DW984" s="3"/>
      <c r="DX984" s="3"/>
      <c r="DY984" s="3"/>
      <c r="DZ984" s="3"/>
      <c r="EA984" s="3"/>
      <c r="EB984" s="3"/>
      <c r="EC984" s="3"/>
      <c r="ED984" s="3"/>
      <c r="EE984" s="3"/>
      <c r="EF984" s="3"/>
      <c r="EG984" s="3"/>
      <c r="EH984" s="3"/>
      <c r="EI984" s="3"/>
      <c r="EJ984" s="3"/>
      <c r="EK984" s="3"/>
      <c r="EL984" s="3"/>
      <c r="EM984" s="3"/>
      <c r="EN984" s="3"/>
      <c r="EO984" s="3"/>
      <c r="EP984" s="3"/>
      <c r="EQ984" s="3"/>
      <c r="ER984" s="3"/>
      <c r="ES984" s="3"/>
      <c r="ET984" s="3"/>
      <c r="EU984" s="3"/>
      <c r="EV984" s="3"/>
      <c r="EW984" s="3"/>
      <c r="EX984" s="3"/>
      <c r="EY984" s="3"/>
      <c r="EZ984" s="3"/>
      <c r="FA984" s="3"/>
      <c r="FB984" s="3"/>
      <c r="FC984" s="3"/>
      <c r="FD984" s="3"/>
      <c r="FE984" s="3"/>
      <c r="FF984" s="3"/>
      <c r="FG984" s="3"/>
      <c r="FH984" s="3"/>
      <c r="FI984" s="3"/>
      <c r="FJ984" s="3"/>
      <c r="FK984" s="3"/>
      <c r="FL984" s="3"/>
      <c r="FM984" s="3"/>
      <c r="FN984" s="3"/>
      <c r="FO984" s="3"/>
      <c r="FP984" s="3"/>
      <c r="FQ984" s="3"/>
      <c r="FR984" s="3"/>
      <c r="FS984" s="3"/>
      <c r="FT984" s="3"/>
      <c r="FU984" s="3"/>
      <c r="FV984" s="3"/>
      <c r="FW984" s="3"/>
      <c r="FX984" s="3"/>
      <c r="FY984" s="3"/>
    </row>
    <row r="985" spans="7:181" ht="15" x14ac:dyDescent="0.25">
      <c r="G985" s="2"/>
      <c r="H985" s="2"/>
      <c r="I985" s="2"/>
      <c r="J985" s="2"/>
      <c r="K985" s="2"/>
      <c r="L985" s="3"/>
      <c r="M985" s="3"/>
      <c r="N985" s="3"/>
      <c r="O985" s="3"/>
      <c r="P985" s="3"/>
      <c r="Q985" s="3"/>
      <c r="R985" s="3"/>
      <c r="S985" s="3"/>
      <c r="T985" s="3"/>
      <c r="U985" s="4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4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4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4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  <c r="DI985" s="3"/>
      <c r="DJ985" s="3"/>
      <c r="DK985" s="3"/>
      <c r="DL985" s="3"/>
      <c r="DM985" s="3"/>
      <c r="DN985" s="3"/>
      <c r="DO985" s="3"/>
      <c r="DP985" s="3"/>
      <c r="DQ985" s="3"/>
      <c r="DR985" s="3"/>
      <c r="DS985" s="3"/>
      <c r="DT985" s="3"/>
      <c r="DU985" s="3"/>
      <c r="DV985" s="3"/>
      <c r="DW985" s="3"/>
      <c r="DX985" s="3"/>
      <c r="DY985" s="3"/>
      <c r="DZ985" s="3"/>
      <c r="EA985" s="3"/>
      <c r="EB985" s="3"/>
      <c r="EC985" s="3"/>
      <c r="ED985" s="3"/>
      <c r="EE985" s="3"/>
      <c r="EF985" s="3"/>
      <c r="EG985" s="3"/>
      <c r="EH985" s="3"/>
      <c r="EI985" s="3"/>
      <c r="EJ985" s="3"/>
      <c r="EK985" s="3"/>
      <c r="EL985" s="3"/>
      <c r="EM985" s="3"/>
      <c r="EN985" s="3"/>
      <c r="EO985" s="3"/>
      <c r="EP985" s="3"/>
      <c r="EQ985" s="3"/>
      <c r="ER985" s="3"/>
      <c r="ES985" s="3"/>
      <c r="ET985" s="3"/>
      <c r="EU985" s="3"/>
      <c r="EV985" s="3"/>
      <c r="EW985" s="3"/>
      <c r="EX985" s="3"/>
      <c r="EY985" s="3"/>
      <c r="EZ985" s="3"/>
      <c r="FA985" s="3"/>
      <c r="FB985" s="3"/>
      <c r="FC985" s="3"/>
      <c r="FD985" s="3"/>
      <c r="FE985" s="3"/>
      <c r="FF985" s="3"/>
      <c r="FG985" s="3"/>
      <c r="FH985" s="3"/>
      <c r="FI985" s="3"/>
      <c r="FJ985" s="3"/>
      <c r="FK985" s="3"/>
      <c r="FL985" s="3"/>
      <c r="FM985" s="3"/>
      <c r="FN985" s="3"/>
      <c r="FO985" s="3"/>
      <c r="FP985" s="3"/>
      <c r="FQ985" s="3"/>
      <c r="FR985" s="3"/>
      <c r="FS985" s="3"/>
      <c r="FT985" s="3"/>
      <c r="FU985" s="3"/>
      <c r="FV985" s="3"/>
      <c r="FW985" s="3"/>
      <c r="FX985" s="3"/>
      <c r="FY985" s="3"/>
    </row>
    <row r="986" spans="7:181" ht="15" x14ac:dyDescent="0.25">
      <c r="G986" s="2"/>
      <c r="H986" s="2"/>
      <c r="I986" s="2"/>
      <c r="J986" s="2"/>
      <c r="K986" s="2"/>
      <c r="L986" s="3"/>
      <c r="M986" s="3"/>
      <c r="N986" s="3"/>
      <c r="O986" s="3"/>
      <c r="P986" s="3"/>
      <c r="Q986" s="3"/>
      <c r="R986" s="3"/>
      <c r="S986" s="3"/>
      <c r="T986" s="3"/>
      <c r="U986" s="4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4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4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4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  <c r="DI986" s="3"/>
      <c r="DJ986" s="3"/>
      <c r="DK986" s="3"/>
      <c r="DL986" s="3"/>
      <c r="DM986" s="3"/>
      <c r="DN986" s="3"/>
      <c r="DO986" s="3"/>
      <c r="DP986" s="3"/>
      <c r="DQ986" s="3"/>
      <c r="DR986" s="3"/>
      <c r="DS986" s="3"/>
      <c r="DT986" s="3"/>
      <c r="DU986" s="3"/>
      <c r="DV986" s="3"/>
      <c r="DW986" s="3"/>
      <c r="DX986" s="3"/>
      <c r="DY986" s="3"/>
      <c r="DZ986" s="3"/>
      <c r="EA986" s="3"/>
      <c r="EB986" s="3"/>
      <c r="EC986" s="3"/>
      <c r="ED986" s="3"/>
      <c r="EE986" s="3"/>
      <c r="EF986" s="3"/>
      <c r="EG986" s="3"/>
      <c r="EH986" s="3"/>
      <c r="EI986" s="3"/>
      <c r="EJ986" s="3"/>
      <c r="EK986" s="3"/>
      <c r="EL986" s="3"/>
      <c r="EM986" s="3"/>
      <c r="EN986" s="3"/>
      <c r="EO986" s="3"/>
      <c r="EP986" s="3"/>
      <c r="EQ986" s="3"/>
      <c r="ER986" s="3"/>
      <c r="ES986" s="3"/>
      <c r="ET986" s="3"/>
      <c r="EU986" s="3"/>
      <c r="EV986" s="3"/>
      <c r="EW986" s="3"/>
      <c r="EX986" s="3"/>
      <c r="EY986" s="3"/>
      <c r="EZ986" s="3"/>
      <c r="FA986" s="3"/>
      <c r="FB986" s="3"/>
      <c r="FC986" s="3"/>
      <c r="FD986" s="3"/>
      <c r="FE986" s="3"/>
      <c r="FF986" s="3"/>
      <c r="FG986" s="3"/>
      <c r="FH986" s="3"/>
      <c r="FI986" s="3"/>
      <c r="FJ986" s="3"/>
      <c r="FK986" s="3"/>
      <c r="FL986" s="3"/>
      <c r="FM986" s="3"/>
      <c r="FN986" s="3"/>
      <c r="FO986" s="3"/>
      <c r="FP986" s="3"/>
      <c r="FQ986" s="3"/>
      <c r="FR986" s="3"/>
      <c r="FS986" s="3"/>
      <c r="FT986" s="3"/>
      <c r="FU986" s="3"/>
      <c r="FV986" s="3"/>
      <c r="FW986" s="3"/>
      <c r="FX986" s="3"/>
      <c r="FY986" s="3"/>
    </row>
    <row r="987" spans="7:181" ht="15" x14ac:dyDescent="0.25">
      <c r="G987" s="2"/>
      <c r="H987" s="2"/>
      <c r="I987" s="2"/>
      <c r="J987" s="2"/>
      <c r="K987" s="2"/>
      <c r="L987" s="3"/>
      <c r="M987" s="3"/>
      <c r="N987" s="3"/>
      <c r="O987" s="3"/>
      <c r="P987" s="3"/>
      <c r="Q987" s="3"/>
      <c r="R987" s="3"/>
      <c r="S987" s="3"/>
      <c r="T987" s="3"/>
      <c r="U987" s="4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4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4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4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3"/>
      <c r="DJ987" s="3"/>
      <c r="DK987" s="3"/>
      <c r="DL987" s="3"/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/>
      <c r="DY987" s="3"/>
      <c r="DZ987" s="3"/>
      <c r="EA987" s="3"/>
      <c r="EB987" s="3"/>
      <c r="EC987" s="3"/>
      <c r="ED987" s="3"/>
      <c r="EE987" s="3"/>
      <c r="EF987" s="3"/>
      <c r="EG987" s="3"/>
      <c r="EH987" s="3"/>
      <c r="EI987" s="3"/>
      <c r="EJ987" s="3"/>
      <c r="EK987" s="3"/>
      <c r="EL987" s="3"/>
      <c r="EM987" s="3"/>
      <c r="EN987" s="3"/>
      <c r="EO987" s="3"/>
      <c r="EP987" s="3"/>
      <c r="EQ987" s="3"/>
      <c r="ER987" s="3"/>
      <c r="ES987" s="3"/>
      <c r="ET987" s="3"/>
      <c r="EU987" s="3"/>
      <c r="EV987" s="3"/>
      <c r="EW987" s="3"/>
      <c r="EX987" s="3"/>
      <c r="EY987" s="3"/>
      <c r="EZ987" s="3"/>
      <c r="FA987" s="3"/>
      <c r="FB987" s="3"/>
      <c r="FC987" s="3"/>
      <c r="FD987" s="3"/>
      <c r="FE987" s="3"/>
      <c r="FF987" s="3"/>
      <c r="FG987" s="3"/>
      <c r="FH987" s="3"/>
      <c r="FI987" s="3"/>
      <c r="FJ987" s="3"/>
      <c r="FK987" s="3"/>
      <c r="FL987" s="3"/>
      <c r="FM987" s="3"/>
      <c r="FN987" s="3"/>
      <c r="FO987" s="3"/>
      <c r="FP987" s="3"/>
      <c r="FQ987" s="3"/>
      <c r="FR987" s="3"/>
      <c r="FS987" s="3"/>
      <c r="FT987" s="3"/>
      <c r="FU987" s="3"/>
      <c r="FV987" s="3"/>
      <c r="FW987" s="3"/>
      <c r="FX987" s="3"/>
      <c r="FY987" s="3"/>
    </row>
    <row r="988" spans="7:181" ht="15" x14ac:dyDescent="0.25">
      <c r="G988" s="2"/>
      <c r="H988" s="2"/>
      <c r="I988" s="2"/>
      <c r="J988" s="2"/>
      <c r="K988" s="2"/>
      <c r="L988" s="3"/>
      <c r="M988" s="3"/>
      <c r="N988" s="3"/>
      <c r="O988" s="3"/>
      <c r="P988" s="3"/>
      <c r="Q988" s="3"/>
      <c r="R988" s="3"/>
      <c r="S988" s="3"/>
      <c r="T988" s="3"/>
      <c r="U988" s="4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4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4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4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  <c r="DI988" s="3"/>
      <c r="DJ988" s="3"/>
      <c r="DK988" s="3"/>
      <c r="DL988" s="3"/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/>
      <c r="DY988" s="3"/>
      <c r="DZ988" s="3"/>
      <c r="EA988" s="3"/>
      <c r="EB988" s="3"/>
      <c r="EC988" s="3"/>
      <c r="ED988" s="3"/>
      <c r="EE988" s="3"/>
      <c r="EF988" s="3"/>
      <c r="EG988" s="3"/>
      <c r="EH988" s="3"/>
      <c r="EI988" s="3"/>
      <c r="EJ988" s="3"/>
      <c r="EK988" s="3"/>
      <c r="EL988" s="3"/>
      <c r="EM988" s="3"/>
      <c r="EN988" s="3"/>
      <c r="EO988" s="3"/>
      <c r="EP988" s="3"/>
      <c r="EQ988" s="3"/>
      <c r="ER988" s="3"/>
      <c r="ES988" s="3"/>
      <c r="ET988" s="3"/>
      <c r="EU988" s="3"/>
      <c r="EV988" s="3"/>
      <c r="EW988" s="3"/>
      <c r="EX988" s="3"/>
      <c r="EY988" s="3"/>
      <c r="EZ988" s="3"/>
      <c r="FA988" s="3"/>
      <c r="FB988" s="3"/>
      <c r="FC988" s="3"/>
      <c r="FD988" s="3"/>
      <c r="FE988" s="3"/>
      <c r="FF988" s="3"/>
      <c r="FG988" s="3"/>
      <c r="FH988" s="3"/>
      <c r="FI988" s="3"/>
      <c r="FJ988" s="3"/>
      <c r="FK988" s="3"/>
      <c r="FL988" s="3"/>
      <c r="FM988" s="3"/>
      <c r="FN988" s="3"/>
      <c r="FO988" s="3"/>
      <c r="FP988" s="3"/>
      <c r="FQ988" s="3"/>
      <c r="FR988" s="3"/>
      <c r="FS988" s="3"/>
      <c r="FT988" s="3"/>
      <c r="FU988" s="3"/>
      <c r="FV988" s="3"/>
      <c r="FW988" s="3"/>
      <c r="FX988" s="3"/>
      <c r="FY988" s="3"/>
    </row>
    <row r="989" spans="7:181" ht="15" x14ac:dyDescent="0.25">
      <c r="G989" s="2"/>
      <c r="H989" s="2"/>
      <c r="I989" s="2"/>
      <c r="J989" s="2"/>
      <c r="K989" s="2"/>
      <c r="L989" s="3"/>
      <c r="M989" s="3"/>
      <c r="N989" s="3"/>
      <c r="O989" s="3"/>
      <c r="P989" s="3"/>
      <c r="Q989" s="3"/>
      <c r="R989" s="3"/>
      <c r="S989" s="3"/>
      <c r="T989" s="3"/>
      <c r="U989" s="4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4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4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4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  <c r="DJ989" s="3"/>
      <c r="DK989" s="3"/>
      <c r="DL989" s="3"/>
      <c r="DM989" s="3"/>
      <c r="DN989" s="3"/>
      <c r="DO989" s="3"/>
      <c r="DP989" s="3"/>
      <c r="DQ989" s="3"/>
      <c r="DR989" s="3"/>
      <c r="DS989" s="3"/>
      <c r="DT989" s="3"/>
      <c r="DU989" s="3"/>
      <c r="DV989" s="3"/>
      <c r="DW989" s="3"/>
      <c r="DX989" s="3"/>
      <c r="DY989" s="3"/>
      <c r="DZ989" s="3"/>
      <c r="EA989" s="3"/>
      <c r="EB989" s="3"/>
      <c r="EC989" s="3"/>
      <c r="ED989" s="3"/>
      <c r="EE989" s="3"/>
      <c r="EF989" s="3"/>
      <c r="EG989" s="3"/>
      <c r="EH989" s="3"/>
      <c r="EI989" s="3"/>
      <c r="EJ989" s="3"/>
      <c r="EK989" s="3"/>
      <c r="EL989" s="3"/>
      <c r="EM989" s="3"/>
      <c r="EN989" s="3"/>
      <c r="EO989" s="3"/>
      <c r="EP989" s="3"/>
      <c r="EQ989" s="3"/>
      <c r="ER989" s="3"/>
      <c r="ES989" s="3"/>
      <c r="ET989" s="3"/>
      <c r="EU989" s="3"/>
      <c r="EV989" s="3"/>
      <c r="EW989" s="3"/>
      <c r="EX989" s="3"/>
      <c r="EY989" s="3"/>
      <c r="EZ989" s="3"/>
      <c r="FA989" s="3"/>
      <c r="FB989" s="3"/>
      <c r="FC989" s="3"/>
      <c r="FD989" s="3"/>
      <c r="FE989" s="3"/>
      <c r="FF989" s="3"/>
      <c r="FG989" s="3"/>
      <c r="FH989" s="3"/>
      <c r="FI989" s="3"/>
      <c r="FJ989" s="3"/>
      <c r="FK989" s="3"/>
      <c r="FL989" s="3"/>
      <c r="FM989" s="3"/>
      <c r="FN989" s="3"/>
      <c r="FO989" s="3"/>
      <c r="FP989" s="3"/>
      <c r="FQ989" s="3"/>
      <c r="FR989" s="3"/>
      <c r="FS989" s="3"/>
      <c r="FT989" s="3"/>
      <c r="FU989" s="3"/>
      <c r="FV989" s="3"/>
      <c r="FW989" s="3"/>
      <c r="FX989" s="3"/>
      <c r="FY989" s="3"/>
    </row>
    <row r="990" spans="7:181" ht="15" x14ac:dyDescent="0.25"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4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4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4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4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  <c r="DI990" s="3"/>
      <c r="DJ990" s="3"/>
      <c r="DK990" s="3"/>
      <c r="DL990" s="3"/>
      <c r="DM990" s="3"/>
      <c r="DN990" s="3"/>
      <c r="DO990" s="3"/>
      <c r="DP990" s="3"/>
      <c r="DQ990" s="3"/>
      <c r="DR990" s="3"/>
      <c r="DS990" s="3"/>
      <c r="DT990" s="3"/>
      <c r="DU990" s="3"/>
      <c r="DV990" s="3"/>
      <c r="DW990" s="3"/>
      <c r="DX990" s="3"/>
      <c r="DY990" s="3"/>
      <c r="DZ990" s="3"/>
      <c r="EA990" s="3"/>
      <c r="EB990" s="3"/>
      <c r="EC990" s="3"/>
      <c r="ED990" s="3"/>
      <c r="EE990" s="3"/>
      <c r="EF990" s="3"/>
      <c r="EG990" s="3"/>
      <c r="EH990" s="3"/>
      <c r="EI990" s="3"/>
      <c r="EJ990" s="3"/>
      <c r="EK990" s="3"/>
      <c r="EL990" s="3"/>
      <c r="EM990" s="3"/>
      <c r="EN990" s="3"/>
      <c r="EO990" s="3"/>
      <c r="EP990" s="3"/>
      <c r="EQ990" s="3"/>
      <c r="ER990" s="3"/>
      <c r="ES990" s="3"/>
      <c r="ET990" s="3"/>
      <c r="EU990" s="3"/>
      <c r="EV990" s="3"/>
      <c r="EW990" s="3"/>
      <c r="EX990" s="3"/>
      <c r="EY990" s="3"/>
      <c r="EZ990" s="3"/>
      <c r="FA990" s="3"/>
      <c r="FB990" s="3"/>
      <c r="FC990" s="3"/>
      <c r="FD990" s="3"/>
      <c r="FE990" s="3"/>
      <c r="FF990" s="3"/>
      <c r="FG990" s="3"/>
      <c r="FH990" s="3"/>
      <c r="FI990" s="3"/>
      <c r="FJ990" s="3"/>
      <c r="FK990" s="3"/>
      <c r="FL990" s="3"/>
      <c r="FM990" s="3"/>
      <c r="FN990" s="3"/>
      <c r="FO990" s="3"/>
      <c r="FP990" s="3"/>
      <c r="FQ990" s="3"/>
      <c r="FR990" s="3"/>
      <c r="FS990" s="3"/>
      <c r="FT990" s="3"/>
      <c r="FU990" s="3"/>
      <c r="FV990" s="3"/>
      <c r="FW990" s="3"/>
      <c r="FX990" s="3"/>
      <c r="FY990" s="3"/>
    </row>
    <row r="991" spans="7:181" ht="15" x14ac:dyDescent="0.25">
      <c r="G991" s="2"/>
      <c r="H991" s="2"/>
      <c r="I991" s="2"/>
      <c r="J991" s="2"/>
      <c r="K991" s="2"/>
      <c r="L991" s="3"/>
      <c r="M991" s="3"/>
      <c r="N991" s="3"/>
      <c r="O991" s="3"/>
      <c r="P991" s="3"/>
      <c r="Q991" s="3"/>
      <c r="R991" s="3"/>
      <c r="S991" s="3"/>
      <c r="T991" s="3"/>
      <c r="U991" s="4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4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4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4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  <c r="DI991" s="3"/>
      <c r="DJ991" s="3"/>
      <c r="DK991" s="3"/>
      <c r="DL991" s="3"/>
      <c r="DM991" s="3"/>
      <c r="DN991" s="3"/>
      <c r="DO991" s="3"/>
      <c r="DP991" s="3"/>
      <c r="DQ991" s="3"/>
      <c r="DR991" s="3"/>
      <c r="DS991" s="3"/>
      <c r="DT991" s="3"/>
      <c r="DU991" s="3"/>
      <c r="DV991" s="3"/>
      <c r="DW991" s="3"/>
      <c r="DX991" s="3"/>
      <c r="DY991" s="3"/>
      <c r="DZ991" s="3"/>
      <c r="EA991" s="3"/>
      <c r="EB991" s="3"/>
      <c r="EC991" s="3"/>
      <c r="ED991" s="3"/>
      <c r="EE991" s="3"/>
      <c r="EF991" s="3"/>
      <c r="EG991" s="3"/>
      <c r="EH991" s="3"/>
      <c r="EI991" s="3"/>
      <c r="EJ991" s="3"/>
      <c r="EK991" s="3"/>
      <c r="EL991" s="3"/>
      <c r="EM991" s="3"/>
      <c r="EN991" s="3"/>
      <c r="EO991" s="3"/>
      <c r="EP991" s="3"/>
      <c r="EQ991" s="3"/>
      <c r="ER991" s="3"/>
      <c r="ES991" s="3"/>
      <c r="ET991" s="3"/>
      <c r="EU991" s="3"/>
      <c r="EV991" s="3"/>
      <c r="EW991" s="3"/>
      <c r="EX991" s="3"/>
      <c r="EY991" s="3"/>
      <c r="EZ991" s="3"/>
      <c r="FA991" s="3"/>
      <c r="FB991" s="3"/>
      <c r="FC991" s="3"/>
      <c r="FD991" s="3"/>
      <c r="FE991" s="3"/>
      <c r="FF991" s="3"/>
      <c r="FG991" s="3"/>
      <c r="FH991" s="3"/>
      <c r="FI991" s="3"/>
      <c r="FJ991" s="3"/>
      <c r="FK991" s="3"/>
      <c r="FL991" s="3"/>
      <c r="FM991" s="3"/>
      <c r="FN991" s="3"/>
      <c r="FO991" s="3"/>
      <c r="FP991" s="3"/>
      <c r="FQ991" s="3"/>
      <c r="FR991" s="3"/>
      <c r="FS991" s="3"/>
      <c r="FT991" s="3"/>
      <c r="FU991" s="3"/>
      <c r="FV991" s="3"/>
      <c r="FW991" s="3"/>
      <c r="FX991" s="3"/>
      <c r="FY991" s="3"/>
    </row>
    <row r="992" spans="7:181" ht="15" x14ac:dyDescent="0.25">
      <c r="G992" s="2"/>
      <c r="H992" s="2"/>
      <c r="I992" s="2"/>
      <c r="J992" s="2"/>
      <c r="K992" s="2"/>
      <c r="L992" s="3"/>
      <c r="M992" s="3"/>
      <c r="N992" s="3"/>
      <c r="O992" s="3"/>
      <c r="P992" s="3"/>
      <c r="Q992" s="3"/>
      <c r="R992" s="3"/>
      <c r="S992" s="3"/>
      <c r="T992" s="3"/>
      <c r="U992" s="4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4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4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4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  <c r="DI992" s="3"/>
      <c r="DJ992" s="3"/>
      <c r="DK992" s="3"/>
      <c r="DL992" s="3"/>
      <c r="DM992" s="3"/>
      <c r="DN992" s="3"/>
      <c r="DO992" s="3"/>
      <c r="DP992" s="3"/>
      <c r="DQ992" s="3"/>
      <c r="DR992" s="3"/>
      <c r="DS992" s="3"/>
      <c r="DT992" s="3"/>
      <c r="DU992" s="3"/>
      <c r="DV992" s="3"/>
      <c r="DW992" s="3"/>
      <c r="DX992" s="3"/>
      <c r="DY992" s="3"/>
      <c r="DZ992" s="3"/>
      <c r="EA992" s="3"/>
      <c r="EB992" s="3"/>
      <c r="EC992" s="3"/>
      <c r="ED992" s="3"/>
      <c r="EE992" s="3"/>
      <c r="EF992" s="3"/>
      <c r="EG992" s="3"/>
      <c r="EH992" s="3"/>
      <c r="EI992" s="3"/>
      <c r="EJ992" s="3"/>
      <c r="EK992" s="3"/>
      <c r="EL992" s="3"/>
      <c r="EM992" s="3"/>
      <c r="EN992" s="3"/>
      <c r="EO992" s="3"/>
      <c r="EP992" s="3"/>
      <c r="EQ992" s="3"/>
      <c r="ER992" s="3"/>
      <c r="ES992" s="3"/>
      <c r="ET992" s="3"/>
      <c r="EU992" s="3"/>
      <c r="EV992" s="3"/>
      <c r="EW992" s="3"/>
      <c r="EX992" s="3"/>
      <c r="EY992" s="3"/>
      <c r="EZ992" s="3"/>
      <c r="FA992" s="3"/>
      <c r="FB992" s="3"/>
      <c r="FC992" s="3"/>
      <c r="FD992" s="3"/>
      <c r="FE992" s="3"/>
      <c r="FF992" s="3"/>
      <c r="FG992" s="3"/>
      <c r="FH992" s="3"/>
      <c r="FI992" s="3"/>
      <c r="FJ992" s="3"/>
      <c r="FK992" s="3"/>
      <c r="FL992" s="3"/>
      <c r="FM992" s="3"/>
      <c r="FN992" s="3"/>
      <c r="FO992" s="3"/>
      <c r="FP992" s="3"/>
      <c r="FQ992" s="3"/>
      <c r="FR992" s="3"/>
      <c r="FS992" s="3"/>
      <c r="FT992" s="3"/>
      <c r="FU992" s="3"/>
      <c r="FV992" s="3"/>
      <c r="FW992" s="3"/>
      <c r="FX992" s="3"/>
      <c r="FY992" s="3"/>
    </row>
    <row r="993" spans="7:181" ht="15" x14ac:dyDescent="0.25">
      <c r="G993" s="2"/>
      <c r="H993" s="2"/>
      <c r="I993" s="2"/>
      <c r="J993" s="2"/>
      <c r="K993" s="2"/>
      <c r="L993" s="3"/>
      <c r="M993" s="3"/>
      <c r="N993" s="3"/>
      <c r="O993" s="3"/>
      <c r="P993" s="3"/>
      <c r="Q993" s="3"/>
      <c r="R993" s="3"/>
      <c r="S993" s="3"/>
      <c r="T993" s="3"/>
      <c r="U993" s="4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4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4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4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  <c r="DI993" s="3"/>
      <c r="DJ993" s="3"/>
      <c r="DK993" s="3"/>
      <c r="DL993" s="3"/>
      <c r="DM993" s="3"/>
      <c r="DN993" s="3"/>
      <c r="DO993" s="3"/>
      <c r="DP993" s="3"/>
      <c r="DQ993" s="3"/>
      <c r="DR993" s="3"/>
      <c r="DS993" s="3"/>
      <c r="DT993" s="3"/>
      <c r="DU993" s="3"/>
      <c r="DV993" s="3"/>
      <c r="DW993" s="3"/>
      <c r="DX993" s="3"/>
      <c r="DY993" s="3"/>
      <c r="DZ993" s="3"/>
      <c r="EA993" s="3"/>
      <c r="EB993" s="3"/>
      <c r="EC993" s="3"/>
      <c r="ED993" s="3"/>
      <c r="EE993" s="3"/>
      <c r="EF993" s="3"/>
      <c r="EG993" s="3"/>
      <c r="EH993" s="3"/>
      <c r="EI993" s="3"/>
      <c r="EJ993" s="3"/>
      <c r="EK993" s="3"/>
      <c r="EL993" s="3"/>
      <c r="EM993" s="3"/>
      <c r="EN993" s="3"/>
      <c r="EO993" s="3"/>
      <c r="EP993" s="3"/>
      <c r="EQ993" s="3"/>
      <c r="ER993" s="3"/>
      <c r="ES993" s="3"/>
      <c r="ET993" s="3"/>
      <c r="EU993" s="3"/>
      <c r="EV993" s="3"/>
      <c r="EW993" s="3"/>
      <c r="EX993" s="3"/>
      <c r="EY993" s="3"/>
      <c r="EZ993" s="3"/>
      <c r="FA993" s="3"/>
      <c r="FB993" s="3"/>
      <c r="FC993" s="3"/>
      <c r="FD993" s="3"/>
      <c r="FE993" s="3"/>
      <c r="FF993" s="3"/>
      <c r="FG993" s="3"/>
      <c r="FH993" s="3"/>
      <c r="FI993" s="3"/>
      <c r="FJ993" s="3"/>
      <c r="FK993" s="3"/>
      <c r="FL993" s="3"/>
      <c r="FM993" s="3"/>
      <c r="FN993" s="3"/>
      <c r="FO993" s="3"/>
      <c r="FP993" s="3"/>
      <c r="FQ993" s="3"/>
      <c r="FR993" s="3"/>
      <c r="FS993" s="3"/>
      <c r="FT993" s="3"/>
      <c r="FU993" s="3"/>
      <c r="FV993" s="3"/>
      <c r="FW993" s="3"/>
      <c r="FX993" s="3"/>
      <c r="FY993" s="3"/>
    </row>
    <row r="994" spans="7:181" ht="15" x14ac:dyDescent="0.25">
      <c r="G994" s="2"/>
      <c r="H994" s="2"/>
      <c r="I994" s="2"/>
      <c r="J994" s="2"/>
      <c r="K994" s="2"/>
      <c r="L994" s="3"/>
      <c r="M994" s="3"/>
      <c r="N994" s="3"/>
      <c r="O994" s="3"/>
      <c r="P994" s="3"/>
      <c r="Q994" s="3"/>
      <c r="R994" s="3"/>
      <c r="S994" s="3"/>
      <c r="T994" s="3"/>
      <c r="U994" s="4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4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4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4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  <c r="DI994" s="3"/>
      <c r="DJ994" s="3"/>
      <c r="DK994" s="3"/>
      <c r="DL994" s="3"/>
      <c r="DM994" s="3"/>
      <c r="DN994" s="3"/>
      <c r="DO994" s="3"/>
      <c r="DP994" s="3"/>
      <c r="DQ994" s="3"/>
      <c r="DR994" s="3"/>
      <c r="DS994" s="3"/>
      <c r="DT994" s="3"/>
      <c r="DU994" s="3"/>
      <c r="DV994" s="3"/>
      <c r="DW994" s="3"/>
      <c r="DX994" s="3"/>
      <c r="DY994" s="3"/>
      <c r="DZ994" s="3"/>
      <c r="EA994" s="3"/>
      <c r="EB994" s="3"/>
      <c r="EC994" s="3"/>
      <c r="ED994" s="3"/>
      <c r="EE994" s="3"/>
      <c r="EF994" s="3"/>
      <c r="EG994" s="3"/>
      <c r="EH994" s="3"/>
      <c r="EI994" s="3"/>
      <c r="EJ994" s="3"/>
      <c r="EK994" s="3"/>
      <c r="EL994" s="3"/>
      <c r="EM994" s="3"/>
      <c r="EN994" s="3"/>
      <c r="EO994" s="3"/>
      <c r="EP994" s="3"/>
      <c r="EQ994" s="3"/>
      <c r="ER994" s="3"/>
      <c r="ES994" s="3"/>
      <c r="ET994" s="3"/>
      <c r="EU994" s="3"/>
      <c r="EV994" s="3"/>
      <c r="EW994" s="3"/>
      <c r="EX994" s="3"/>
      <c r="EY994" s="3"/>
      <c r="EZ994" s="3"/>
      <c r="FA994" s="3"/>
      <c r="FB994" s="3"/>
      <c r="FC994" s="3"/>
      <c r="FD994" s="3"/>
      <c r="FE994" s="3"/>
      <c r="FF994" s="3"/>
      <c r="FG994" s="3"/>
      <c r="FH994" s="3"/>
      <c r="FI994" s="3"/>
      <c r="FJ994" s="3"/>
      <c r="FK994" s="3"/>
      <c r="FL994" s="3"/>
      <c r="FM994" s="3"/>
      <c r="FN994" s="3"/>
      <c r="FO994" s="3"/>
      <c r="FP994" s="3"/>
      <c r="FQ994" s="3"/>
      <c r="FR994" s="3"/>
      <c r="FS994" s="3"/>
      <c r="FT994" s="3"/>
      <c r="FU994" s="3"/>
      <c r="FV994" s="3"/>
      <c r="FW994" s="3"/>
      <c r="FX994" s="3"/>
      <c r="FY994" s="3"/>
    </row>
    <row r="995" spans="7:181" ht="15" x14ac:dyDescent="0.25">
      <c r="G995" s="2"/>
      <c r="H995" s="2"/>
      <c r="I995" s="2"/>
      <c r="J995" s="2"/>
      <c r="K995" s="2"/>
      <c r="L995" s="3"/>
      <c r="M995" s="3"/>
      <c r="N995" s="3"/>
      <c r="O995" s="3"/>
      <c r="P995" s="3"/>
      <c r="Q995" s="3"/>
      <c r="R995" s="3"/>
      <c r="S995" s="3"/>
      <c r="T995" s="3"/>
      <c r="U995" s="4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4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4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4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  <c r="DI995" s="3"/>
      <c r="DJ995" s="3"/>
      <c r="DK995" s="3"/>
      <c r="DL995" s="3"/>
      <c r="DM995" s="3"/>
      <c r="DN995" s="3"/>
      <c r="DO995" s="3"/>
      <c r="DP995" s="3"/>
      <c r="DQ995" s="3"/>
      <c r="DR995" s="3"/>
      <c r="DS995" s="3"/>
      <c r="DT995" s="3"/>
      <c r="DU995" s="3"/>
      <c r="DV995" s="3"/>
      <c r="DW995" s="3"/>
      <c r="DX995" s="3"/>
      <c r="DY995" s="3"/>
      <c r="DZ995" s="3"/>
      <c r="EA995" s="3"/>
      <c r="EB995" s="3"/>
      <c r="EC995" s="3"/>
      <c r="ED995" s="3"/>
      <c r="EE995" s="3"/>
      <c r="EF995" s="3"/>
      <c r="EG995" s="3"/>
      <c r="EH995" s="3"/>
      <c r="EI995" s="3"/>
      <c r="EJ995" s="3"/>
      <c r="EK995" s="3"/>
      <c r="EL995" s="3"/>
      <c r="EM995" s="3"/>
      <c r="EN995" s="3"/>
      <c r="EO995" s="3"/>
      <c r="EP995" s="3"/>
      <c r="EQ995" s="3"/>
      <c r="ER995" s="3"/>
      <c r="ES995" s="3"/>
      <c r="ET995" s="3"/>
      <c r="EU995" s="3"/>
      <c r="EV995" s="3"/>
      <c r="EW995" s="3"/>
      <c r="EX995" s="3"/>
      <c r="EY995" s="3"/>
      <c r="EZ995" s="3"/>
      <c r="FA995" s="3"/>
      <c r="FB995" s="3"/>
      <c r="FC995" s="3"/>
      <c r="FD995" s="3"/>
      <c r="FE995" s="3"/>
      <c r="FF995" s="3"/>
      <c r="FG995" s="3"/>
      <c r="FH995" s="3"/>
      <c r="FI995" s="3"/>
      <c r="FJ995" s="3"/>
      <c r="FK995" s="3"/>
      <c r="FL995" s="3"/>
      <c r="FM995" s="3"/>
      <c r="FN995" s="3"/>
      <c r="FO995" s="3"/>
      <c r="FP995" s="3"/>
      <c r="FQ995" s="3"/>
      <c r="FR995" s="3"/>
      <c r="FS995" s="3"/>
      <c r="FT995" s="3"/>
      <c r="FU995" s="3"/>
      <c r="FV995" s="3"/>
      <c r="FW995" s="3"/>
      <c r="FX995" s="3"/>
      <c r="FY995" s="3"/>
    </row>
    <row r="996" spans="7:181" ht="15" x14ac:dyDescent="0.25">
      <c r="G996" s="2"/>
      <c r="H996" s="2"/>
      <c r="I996" s="2"/>
      <c r="J996" s="2"/>
      <c r="K996" s="2"/>
      <c r="L996" s="3"/>
      <c r="M996" s="3"/>
      <c r="N996" s="3"/>
      <c r="O996" s="3"/>
      <c r="P996" s="3"/>
      <c r="Q996" s="3"/>
      <c r="R996" s="3"/>
      <c r="S996" s="3"/>
      <c r="T996" s="3"/>
      <c r="U996" s="4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4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4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4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  <c r="DI996" s="3"/>
      <c r="DJ996" s="3"/>
      <c r="DK996" s="3"/>
      <c r="DL996" s="3"/>
      <c r="DM996" s="3"/>
      <c r="DN996" s="3"/>
      <c r="DO996" s="3"/>
      <c r="DP996" s="3"/>
      <c r="DQ996" s="3"/>
      <c r="DR996" s="3"/>
      <c r="DS996" s="3"/>
      <c r="DT996" s="3"/>
      <c r="DU996" s="3"/>
      <c r="DV996" s="3"/>
      <c r="DW996" s="3"/>
      <c r="DX996" s="3"/>
      <c r="DY996" s="3"/>
      <c r="DZ996" s="3"/>
      <c r="EA996" s="3"/>
      <c r="EB996" s="3"/>
      <c r="EC996" s="3"/>
      <c r="ED996" s="3"/>
      <c r="EE996" s="3"/>
      <c r="EF996" s="3"/>
      <c r="EG996" s="3"/>
      <c r="EH996" s="3"/>
      <c r="EI996" s="3"/>
      <c r="EJ996" s="3"/>
      <c r="EK996" s="3"/>
      <c r="EL996" s="3"/>
      <c r="EM996" s="3"/>
      <c r="EN996" s="3"/>
      <c r="EO996" s="3"/>
      <c r="EP996" s="3"/>
      <c r="EQ996" s="3"/>
      <c r="ER996" s="3"/>
      <c r="ES996" s="3"/>
      <c r="ET996" s="3"/>
      <c r="EU996" s="3"/>
      <c r="EV996" s="3"/>
      <c r="EW996" s="3"/>
      <c r="EX996" s="3"/>
      <c r="EY996" s="3"/>
      <c r="EZ996" s="3"/>
      <c r="FA996" s="3"/>
      <c r="FB996" s="3"/>
      <c r="FC996" s="3"/>
      <c r="FD996" s="3"/>
      <c r="FE996" s="3"/>
      <c r="FF996" s="3"/>
      <c r="FG996" s="3"/>
      <c r="FH996" s="3"/>
      <c r="FI996" s="3"/>
      <c r="FJ996" s="3"/>
      <c r="FK996" s="3"/>
      <c r="FL996" s="3"/>
      <c r="FM996" s="3"/>
      <c r="FN996" s="3"/>
      <c r="FO996" s="3"/>
      <c r="FP996" s="3"/>
      <c r="FQ996" s="3"/>
      <c r="FR996" s="3"/>
      <c r="FS996" s="3"/>
      <c r="FT996" s="3"/>
      <c r="FU996" s="3"/>
      <c r="FV996" s="3"/>
      <c r="FW996" s="3"/>
      <c r="FX996" s="3"/>
      <c r="FY996" s="3"/>
    </row>
    <row r="997" spans="7:181" ht="15" x14ac:dyDescent="0.25">
      <c r="G997" s="2"/>
      <c r="H997" s="2"/>
      <c r="I997" s="2"/>
      <c r="J997" s="2"/>
      <c r="K997" s="2"/>
      <c r="L997" s="3"/>
      <c r="M997" s="3"/>
      <c r="N997" s="3"/>
      <c r="O997" s="3"/>
      <c r="P997" s="3"/>
      <c r="Q997" s="3"/>
      <c r="R997" s="3"/>
      <c r="S997" s="3"/>
      <c r="T997" s="3"/>
      <c r="U997" s="4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4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4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4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  <c r="DI997" s="3"/>
      <c r="DJ997" s="3"/>
      <c r="DK997" s="3"/>
      <c r="DL997" s="3"/>
      <c r="DM997" s="3"/>
      <c r="DN997" s="3"/>
      <c r="DO997" s="3"/>
      <c r="DP997" s="3"/>
      <c r="DQ997" s="3"/>
      <c r="DR997" s="3"/>
      <c r="DS997" s="3"/>
      <c r="DT997" s="3"/>
      <c r="DU997" s="3"/>
      <c r="DV997" s="3"/>
      <c r="DW997" s="3"/>
      <c r="DX997" s="3"/>
      <c r="DY997" s="3"/>
      <c r="DZ997" s="3"/>
      <c r="EA997" s="3"/>
      <c r="EB997" s="3"/>
      <c r="EC997" s="3"/>
      <c r="ED997" s="3"/>
      <c r="EE997" s="3"/>
      <c r="EF997" s="3"/>
      <c r="EG997" s="3"/>
      <c r="EH997" s="3"/>
      <c r="EI997" s="3"/>
      <c r="EJ997" s="3"/>
      <c r="EK997" s="3"/>
      <c r="EL997" s="3"/>
      <c r="EM997" s="3"/>
      <c r="EN997" s="3"/>
      <c r="EO997" s="3"/>
      <c r="EP997" s="3"/>
      <c r="EQ997" s="3"/>
      <c r="ER997" s="3"/>
      <c r="ES997" s="3"/>
      <c r="ET997" s="3"/>
      <c r="EU997" s="3"/>
      <c r="EV997" s="3"/>
      <c r="EW997" s="3"/>
      <c r="EX997" s="3"/>
      <c r="EY997" s="3"/>
      <c r="EZ997" s="3"/>
      <c r="FA997" s="3"/>
      <c r="FB997" s="3"/>
      <c r="FC997" s="3"/>
      <c r="FD997" s="3"/>
      <c r="FE997" s="3"/>
      <c r="FF997" s="3"/>
      <c r="FG997" s="3"/>
      <c r="FH997" s="3"/>
      <c r="FI997" s="3"/>
      <c r="FJ997" s="3"/>
      <c r="FK997" s="3"/>
      <c r="FL997" s="3"/>
      <c r="FM997" s="3"/>
      <c r="FN997" s="3"/>
      <c r="FO997" s="3"/>
      <c r="FP997" s="3"/>
      <c r="FQ997" s="3"/>
      <c r="FR997" s="3"/>
      <c r="FS997" s="3"/>
      <c r="FT997" s="3"/>
      <c r="FU997" s="3"/>
      <c r="FV997" s="3"/>
      <c r="FW997" s="3"/>
      <c r="FX997" s="3"/>
      <c r="FY997" s="3"/>
    </row>
    <row r="998" spans="7:181" ht="15" x14ac:dyDescent="0.25">
      <c r="G998" s="2"/>
      <c r="H998" s="2"/>
      <c r="I998" s="2"/>
      <c r="J998" s="2"/>
      <c r="K998" s="2"/>
      <c r="L998" s="3"/>
      <c r="M998" s="3"/>
      <c r="N998" s="3"/>
      <c r="O998" s="3"/>
      <c r="P998" s="3"/>
      <c r="Q998" s="3"/>
      <c r="R998" s="3"/>
      <c r="S998" s="3"/>
      <c r="T998" s="3"/>
      <c r="U998" s="4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4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4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4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  <c r="DP998" s="3"/>
      <c r="DQ998" s="3"/>
      <c r="DR998" s="3"/>
      <c r="DS998" s="3"/>
      <c r="DT998" s="3"/>
      <c r="DU998" s="3"/>
      <c r="DV998" s="3"/>
      <c r="DW998" s="3"/>
      <c r="DX998" s="3"/>
      <c r="DY998" s="3"/>
      <c r="DZ998" s="3"/>
      <c r="EA998" s="3"/>
      <c r="EB998" s="3"/>
      <c r="EC998" s="3"/>
      <c r="ED998" s="3"/>
      <c r="EE998" s="3"/>
      <c r="EF998" s="3"/>
      <c r="EG998" s="3"/>
      <c r="EH998" s="3"/>
      <c r="EI998" s="3"/>
      <c r="EJ998" s="3"/>
      <c r="EK998" s="3"/>
      <c r="EL998" s="3"/>
      <c r="EM998" s="3"/>
      <c r="EN998" s="3"/>
      <c r="EO998" s="3"/>
      <c r="EP998" s="3"/>
      <c r="EQ998" s="3"/>
      <c r="ER998" s="3"/>
      <c r="ES998" s="3"/>
      <c r="ET998" s="3"/>
      <c r="EU998" s="3"/>
      <c r="EV998" s="3"/>
      <c r="EW998" s="3"/>
      <c r="EX998" s="3"/>
      <c r="EY998" s="3"/>
      <c r="EZ998" s="3"/>
      <c r="FA998" s="3"/>
      <c r="FB998" s="3"/>
      <c r="FC998" s="3"/>
      <c r="FD998" s="3"/>
      <c r="FE998" s="3"/>
      <c r="FF998" s="3"/>
      <c r="FG998" s="3"/>
      <c r="FH998" s="3"/>
      <c r="FI998" s="3"/>
      <c r="FJ998" s="3"/>
      <c r="FK998" s="3"/>
      <c r="FL998" s="3"/>
      <c r="FM998" s="3"/>
      <c r="FN998" s="3"/>
      <c r="FO998" s="3"/>
      <c r="FP998" s="3"/>
      <c r="FQ998" s="3"/>
      <c r="FR998" s="3"/>
      <c r="FS998" s="3"/>
      <c r="FT998" s="3"/>
      <c r="FU998" s="3"/>
      <c r="FV998" s="3"/>
      <c r="FW998" s="3"/>
      <c r="FX998" s="3"/>
      <c r="FY998" s="3"/>
    </row>
    <row r="999" spans="7:181" ht="15" x14ac:dyDescent="0.25">
      <c r="G999" s="2"/>
      <c r="H999" s="2"/>
      <c r="I999" s="2"/>
      <c r="J999" s="2"/>
      <c r="K999" s="2"/>
      <c r="L999" s="3"/>
      <c r="M999" s="3"/>
      <c r="N999" s="3"/>
      <c r="O999" s="3"/>
      <c r="P999" s="3"/>
      <c r="Q999" s="3"/>
      <c r="R999" s="3"/>
      <c r="S999" s="3"/>
      <c r="T999" s="3"/>
      <c r="U999" s="4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4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4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4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  <c r="DP999" s="3"/>
      <c r="DQ999" s="3"/>
      <c r="DR999" s="3"/>
      <c r="DS999" s="3"/>
      <c r="DT999" s="3"/>
      <c r="DU999" s="3"/>
      <c r="DV999" s="3"/>
      <c r="DW999" s="3"/>
      <c r="DX999" s="3"/>
      <c r="DY999" s="3"/>
      <c r="DZ999" s="3"/>
      <c r="EA999" s="3"/>
      <c r="EB999" s="3"/>
      <c r="EC999" s="3"/>
      <c r="ED999" s="3"/>
      <c r="EE999" s="3"/>
      <c r="EF999" s="3"/>
      <c r="EG999" s="3"/>
      <c r="EH999" s="3"/>
      <c r="EI999" s="3"/>
      <c r="EJ999" s="3"/>
      <c r="EK999" s="3"/>
      <c r="EL999" s="3"/>
      <c r="EM999" s="3"/>
      <c r="EN999" s="3"/>
      <c r="EO999" s="3"/>
      <c r="EP999" s="3"/>
      <c r="EQ999" s="3"/>
      <c r="ER999" s="3"/>
      <c r="ES999" s="3"/>
      <c r="ET999" s="3"/>
      <c r="EU999" s="3"/>
      <c r="EV999" s="3"/>
      <c r="EW999" s="3"/>
      <c r="EX999" s="3"/>
      <c r="EY999" s="3"/>
      <c r="EZ999" s="3"/>
      <c r="FA999" s="3"/>
      <c r="FB999" s="3"/>
      <c r="FC999" s="3"/>
      <c r="FD999" s="3"/>
      <c r="FE999" s="3"/>
      <c r="FF999" s="3"/>
      <c r="FG999" s="3"/>
      <c r="FH999" s="3"/>
      <c r="FI999" s="3"/>
      <c r="FJ999" s="3"/>
      <c r="FK999" s="3"/>
      <c r="FL999" s="3"/>
      <c r="FM999" s="3"/>
      <c r="FN999" s="3"/>
      <c r="FO999" s="3"/>
      <c r="FP999" s="3"/>
      <c r="FQ999" s="3"/>
      <c r="FR999" s="3"/>
      <c r="FS999" s="3"/>
      <c r="FT999" s="3"/>
      <c r="FU999" s="3"/>
      <c r="FV999" s="3"/>
      <c r="FW999" s="3"/>
      <c r="FX999" s="3"/>
      <c r="FY999" s="3"/>
    </row>
    <row r="1000" spans="7:181" ht="15" x14ac:dyDescent="0.25">
      <c r="G1000" s="2"/>
      <c r="H1000" s="2"/>
      <c r="I1000" s="2"/>
      <c r="J1000" s="2"/>
      <c r="K1000" s="2"/>
      <c r="L1000" s="3"/>
      <c r="M1000" s="3"/>
      <c r="N1000" s="3"/>
      <c r="O1000" s="3"/>
      <c r="P1000" s="3"/>
      <c r="Q1000" s="3"/>
      <c r="R1000" s="3"/>
      <c r="S1000" s="3"/>
      <c r="T1000" s="3"/>
      <c r="U1000" s="4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4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4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4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  <c r="DP1000" s="3"/>
      <c r="DQ1000" s="3"/>
      <c r="DR1000" s="3"/>
      <c r="DS1000" s="3"/>
      <c r="DT1000" s="3"/>
      <c r="DU1000" s="3"/>
      <c r="DV1000" s="3"/>
      <c r="DW1000" s="3"/>
      <c r="DX1000" s="3"/>
      <c r="DY1000" s="3"/>
      <c r="DZ1000" s="3"/>
      <c r="EA1000" s="3"/>
      <c r="EB1000" s="3"/>
      <c r="EC1000" s="3"/>
      <c r="ED1000" s="3"/>
      <c r="EE1000" s="3"/>
      <c r="EF1000" s="3"/>
      <c r="EG1000" s="3"/>
      <c r="EH1000" s="3"/>
      <c r="EI1000" s="3"/>
      <c r="EJ1000" s="3"/>
      <c r="EK1000" s="3"/>
      <c r="EL1000" s="3"/>
      <c r="EM1000" s="3"/>
      <c r="EN1000" s="3"/>
      <c r="EO1000" s="3"/>
      <c r="EP1000" s="3"/>
      <c r="EQ1000" s="3"/>
      <c r="ER1000" s="3"/>
      <c r="ES1000" s="3"/>
      <c r="ET1000" s="3"/>
      <c r="EU1000" s="3"/>
      <c r="EV1000" s="3"/>
      <c r="EW1000" s="3"/>
      <c r="EX1000" s="3"/>
      <c r="EY1000" s="3"/>
      <c r="EZ1000" s="3"/>
      <c r="FA1000" s="3"/>
      <c r="FB1000" s="3"/>
      <c r="FC1000" s="3"/>
      <c r="FD1000" s="3"/>
      <c r="FE1000" s="3"/>
      <c r="FF1000" s="3"/>
      <c r="FG1000" s="3"/>
      <c r="FH1000" s="3"/>
      <c r="FI1000" s="3"/>
      <c r="FJ1000" s="3"/>
      <c r="FK1000" s="3"/>
      <c r="FL1000" s="3"/>
      <c r="FM1000" s="3"/>
      <c r="FN1000" s="3"/>
      <c r="FO1000" s="3"/>
      <c r="FP1000" s="3"/>
      <c r="FQ1000" s="3"/>
      <c r="FR1000" s="3"/>
      <c r="FS1000" s="3"/>
      <c r="FT1000" s="3"/>
      <c r="FU1000" s="3"/>
      <c r="FV1000" s="3"/>
      <c r="FW1000" s="3"/>
      <c r="FX1000" s="3"/>
      <c r="FY1000" s="3"/>
    </row>
    <row r="1001" spans="7:181" ht="15" x14ac:dyDescent="0.25">
      <c r="G1001" s="2"/>
      <c r="H1001" s="2"/>
      <c r="I1001" s="2"/>
      <c r="J1001" s="2"/>
      <c r="K1001" s="2"/>
      <c r="L1001" s="3"/>
      <c r="M1001" s="3"/>
      <c r="N1001" s="3"/>
      <c r="O1001" s="3"/>
      <c r="P1001" s="3"/>
      <c r="Q1001" s="3"/>
      <c r="R1001" s="3"/>
      <c r="S1001" s="3"/>
      <c r="T1001" s="3"/>
      <c r="U1001" s="4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4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4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4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/>
      <c r="DS1001" s="3"/>
      <c r="DT1001" s="3"/>
      <c r="DU1001" s="3"/>
      <c r="DV1001" s="3"/>
      <c r="DW1001" s="3"/>
      <c r="DX1001" s="3"/>
      <c r="DY1001" s="3"/>
      <c r="DZ1001" s="3"/>
      <c r="EA1001" s="3"/>
      <c r="EB1001" s="3"/>
      <c r="EC1001" s="3"/>
      <c r="ED1001" s="3"/>
      <c r="EE1001" s="3"/>
      <c r="EF1001" s="3"/>
      <c r="EG1001" s="3"/>
      <c r="EH1001" s="3"/>
      <c r="EI1001" s="3"/>
      <c r="EJ1001" s="3"/>
      <c r="EK1001" s="3"/>
      <c r="EL1001" s="3"/>
      <c r="EM1001" s="3"/>
      <c r="EN1001" s="3"/>
      <c r="EO1001" s="3"/>
      <c r="EP1001" s="3"/>
      <c r="EQ1001" s="3"/>
      <c r="ER1001" s="3"/>
      <c r="ES1001" s="3"/>
      <c r="ET1001" s="3"/>
      <c r="EU1001" s="3"/>
      <c r="EV1001" s="3"/>
      <c r="EW1001" s="3"/>
      <c r="EX1001" s="3"/>
      <c r="EY1001" s="3"/>
      <c r="EZ1001" s="3"/>
      <c r="FA1001" s="3"/>
      <c r="FB1001" s="3"/>
      <c r="FC1001" s="3"/>
      <c r="FD1001" s="3"/>
      <c r="FE1001" s="3"/>
      <c r="FF1001" s="3"/>
      <c r="FG1001" s="3"/>
      <c r="FH1001" s="3"/>
      <c r="FI1001" s="3"/>
      <c r="FJ1001" s="3"/>
      <c r="FK1001" s="3"/>
      <c r="FL1001" s="3"/>
      <c r="FM1001" s="3"/>
      <c r="FN1001" s="3"/>
      <c r="FO1001" s="3"/>
      <c r="FP1001" s="3"/>
      <c r="FQ1001" s="3"/>
      <c r="FR1001" s="3"/>
      <c r="FS1001" s="3"/>
      <c r="FT1001" s="3"/>
      <c r="FU1001" s="3"/>
      <c r="FV1001" s="3"/>
      <c r="FW1001" s="3"/>
      <c r="FX1001" s="3"/>
      <c r="FY1001" s="3"/>
    </row>
    <row r="1002" spans="7:181" ht="15" x14ac:dyDescent="0.25">
      <c r="G1002" s="2"/>
      <c r="H1002" s="2"/>
      <c r="I1002" s="2"/>
      <c r="J1002" s="2"/>
      <c r="K1002" s="2"/>
      <c r="L1002" s="3"/>
      <c r="M1002" s="3"/>
      <c r="N1002" s="3"/>
      <c r="O1002" s="3"/>
      <c r="P1002" s="3"/>
      <c r="Q1002" s="3"/>
      <c r="R1002" s="3"/>
      <c r="S1002" s="3"/>
      <c r="T1002" s="3"/>
      <c r="U1002" s="4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4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4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4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/>
      <c r="DS1002" s="3"/>
      <c r="DT1002" s="3"/>
      <c r="DU1002" s="3"/>
      <c r="DV1002" s="3"/>
      <c r="DW1002" s="3"/>
      <c r="DX1002" s="3"/>
      <c r="DY1002" s="3"/>
      <c r="DZ1002" s="3"/>
      <c r="EA1002" s="3"/>
      <c r="EB1002" s="3"/>
      <c r="EC1002" s="3"/>
      <c r="ED1002" s="3"/>
      <c r="EE1002" s="3"/>
      <c r="EF1002" s="3"/>
      <c r="EG1002" s="3"/>
      <c r="EH1002" s="3"/>
      <c r="EI1002" s="3"/>
      <c r="EJ1002" s="3"/>
      <c r="EK1002" s="3"/>
      <c r="EL1002" s="3"/>
      <c r="EM1002" s="3"/>
      <c r="EN1002" s="3"/>
      <c r="EO1002" s="3"/>
      <c r="EP1002" s="3"/>
      <c r="EQ1002" s="3"/>
      <c r="ER1002" s="3"/>
      <c r="ES1002" s="3"/>
      <c r="ET1002" s="3"/>
      <c r="EU1002" s="3"/>
      <c r="EV1002" s="3"/>
      <c r="EW1002" s="3"/>
      <c r="EX1002" s="3"/>
      <c r="EY1002" s="3"/>
      <c r="EZ1002" s="3"/>
      <c r="FA1002" s="3"/>
      <c r="FB1002" s="3"/>
      <c r="FC1002" s="3"/>
      <c r="FD1002" s="3"/>
      <c r="FE1002" s="3"/>
      <c r="FF1002" s="3"/>
      <c r="FG1002" s="3"/>
      <c r="FH1002" s="3"/>
      <c r="FI1002" s="3"/>
      <c r="FJ1002" s="3"/>
      <c r="FK1002" s="3"/>
      <c r="FL1002" s="3"/>
      <c r="FM1002" s="3"/>
      <c r="FN1002" s="3"/>
      <c r="FO1002" s="3"/>
      <c r="FP1002" s="3"/>
      <c r="FQ1002" s="3"/>
      <c r="FR1002" s="3"/>
      <c r="FS1002" s="3"/>
      <c r="FT1002" s="3"/>
      <c r="FU1002" s="3"/>
      <c r="FV1002" s="3"/>
      <c r="FW1002" s="3"/>
      <c r="FX1002" s="3"/>
      <c r="FY1002" s="3"/>
    </row>
    <row r="1003" spans="7:181" ht="15" x14ac:dyDescent="0.25">
      <c r="G1003" s="2"/>
      <c r="H1003" s="2"/>
      <c r="I1003" s="2"/>
      <c r="J1003" s="2"/>
      <c r="K1003" s="2"/>
      <c r="L1003" s="3"/>
      <c r="M1003" s="3"/>
      <c r="N1003" s="3"/>
      <c r="O1003" s="3"/>
      <c r="P1003" s="3"/>
      <c r="Q1003" s="3"/>
      <c r="R1003" s="3"/>
      <c r="S1003" s="3"/>
      <c r="T1003" s="3"/>
      <c r="U1003" s="4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4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4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4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  <c r="DI1003" s="3"/>
      <c r="DJ1003" s="3"/>
      <c r="DK1003" s="3"/>
      <c r="DL1003" s="3"/>
      <c r="DM1003" s="3"/>
      <c r="DN1003" s="3"/>
      <c r="DO1003" s="3"/>
      <c r="DP1003" s="3"/>
      <c r="DQ1003" s="3"/>
      <c r="DR1003" s="3"/>
      <c r="DS1003" s="3"/>
      <c r="DT1003" s="3"/>
      <c r="DU1003" s="3"/>
      <c r="DV1003" s="3"/>
      <c r="DW1003" s="3"/>
      <c r="DX1003" s="3"/>
      <c r="DY1003" s="3"/>
      <c r="DZ1003" s="3"/>
      <c r="EA1003" s="3"/>
      <c r="EB1003" s="3"/>
      <c r="EC1003" s="3"/>
      <c r="ED1003" s="3"/>
      <c r="EE1003" s="3"/>
      <c r="EF1003" s="3"/>
      <c r="EG1003" s="3"/>
      <c r="EH1003" s="3"/>
      <c r="EI1003" s="3"/>
      <c r="EJ1003" s="3"/>
      <c r="EK1003" s="3"/>
      <c r="EL1003" s="3"/>
      <c r="EM1003" s="3"/>
      <c r="EN1003" s="3"/>
      <c r="EO1003" s="3"/>
      <c r="EP1003" s="3"/>
      <c r="EQ1003" s="3"/>
      <c r="ER1003" s="3"/>
      <c r="ES1003" s="3"/>
      <c r="ET1003" s="3"/>
      <c r="EU1003" s="3"/>
      <c r="EV1003" s="3"/>
      <c r="EW1003" s="3"/>
      <c r="EX1003" s="3"/>
      <c r="EY1003" s="3"/>
      <c r="EZ1003" s="3"/>
      <c r="FA1003" s="3"/>
      <c r="FB1003" s="3"/>
      <c r="FC1003" s="3"/>
      <c r="FD1003" s="3"/>
      <c r="FE1003" s="3"/>
      <c r="FF1003" s="3"/>
      <c r="FG1003" s="3"/>
      <c r="FH1003" s="3"/>
      <c r="FI1003" s="3"/>
      <c r="FJ1003" s="3"/>
      <c r="FK1003" s="3"/>
      <c r="FL1003" s="3"/>
      <c r="FM1003" s="3"/>
      <c r="FN1003" s="3"/>
      <c r="FO1003" s="3"/>
      <c r="FP1003" s="3"/>
      <c r="FQ1003" s="3"/>
      <c r="FR1003" s="3"/>
      <c r="FS1003" s="3"/>
      <c r="FT1003" s="3"/>
      <c r="FU1003" s="3"/>
      <c r="FV1003" s="3"/>
      <c r="FW1003" s="3"/>
      <c r="FX1003" s="3"/>
      <c r="FY1003" s="3"/>
    </row>
    <row r="1004" spans="7:181" ht="15" x14ac:dyDescent="0.25">
      <c r="G1004" s="2"/>
      <c r="H1004" s="2"/>
      <c r="I1004" s="2"/>
      <c r="J1004" s="2"/>
      <c r="K1004" s="2"/>
      <c r="L1004" s="3"/>
      <c r="M1004" s="3"/>
      <c r="N1004" s="3"/>
      <c r="O1004" s="3"/>
      <c r="P1004" s="3"/>
      <c r="Q1004" s="3"/>
      <c r="R1004" s="3"/>
      <c r="S1004" s="3"/>
      <c r="T1004" s="3"/>
      <c r="U1004" s="4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4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4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4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  <c r="DI1004" s="3"/>
      <c r="DJ1004" s="3"/>
      <c r="DK1004" s="3"/>
      <c r="DL1004" s="3"/>
      <c r="DM1004" s="3"/>
      <c r="DN1004" s="3"/>
      <c r="DO1004" s="3"/>
      <c r="DP1004" s="3"/>
      <c r="DQ1004" s="3"/>
      <c r="DR1004" s="3"/>
      <c r="DS1004" s="3"/>
      <c r="DT1004" s="3"/>
      <c r="DU1004" s="3"/>
      <c r="DV1004" s="3"/>
      <c r="DW1004" s="3"/>
      <c r="DX1004" s="3"/>
      <c r="DY1004" s="3"/>
      <c r="DZ1004" s="3"/>
      <c r="EA1004" s="3"/>
      <c r="EB1004" s="3"/>
      <c r="EC1004" s="3"/>
      <c r="ED1004" s="3"/>
      <c r="EE1004" s="3"/>
      <c r="EF1004" s="3"/>
      <c r="EG1004" s="3"/>
      <c r="EH1004" s="3"/>
      <c r="EI1004" s="3"/>
      <c r="EJ1004" s="3"/>
      <c r="EK1004" s="3"/>
      <c r="EL1004" s="3"/>
      <c r="EM1004" s="3"/>
      <c r="EN1004" s="3"/>
      <c r="EO1004" s="3"/>
      <c r="EP1004" s="3"/>
      <c r="EQ1004" s="3"/>
      <c r="ER1004" s="3"/>
      <c r="ES1004" s="3"/>
      <c r="ET1004" s="3"/>
      <c r="EU1004" s="3"/>
      <c r="EV1004" s="3"/>
      <c r="EW1004" s="3"/>
      <c r="EX1004" s="3"/>
      <c r="EY1004" s="3"/>
      <c r="EZ1004" s="3"/>
      <c r="FA1004" s="3"/>
      <c r="FB1004" s="3"/>
      <c r="FC1004" s="3"/>
      <c r="FD1004" s="3"/>
      <c r="FE1004" s="3"/>
      <c r="FF1004" s="3"/>
      <c r="FG1004" s="3"/>
      <c r="FH1004" s="3"/>
      <c r="FI1004" s="3"/>
      <c r="FJ1004" s="3"/>
      <c r="FK1004" s="3"/>
      <c r="FL1004" s="3"/>
      <c r="FM1004" s="3"/>
      <c r="FN1004" s="3"/>
      <c r="FO1004" s="3"/>
      <c r="FP1004" s="3"/>
      <c r="FQ1004" s="3"/>
      <c r="FR1004" s="3"/>
      <c r="FS1004" s="3"/>
      <c r="FT1004" s="3"/>
      <c r="FU1004" s="3"/>
      <c r="FV1004" s="3"/>
      <c r="FW1004" s="3"/>
      <c r="FX1004" s="3"/>
      <c r="FY1004" s="3"/>
    </row>
    <row r="1005" spans="7:181" ht="15" x14ac:dyDescent="0.25">
      <c r="G1005" s="2"/>
      <c r="H1005" s="2"/>
      <c r="I1005" s="2"/>
      <c r="J1005" s="2"/>
      <c r="K1005" s="2"/>
      <c r="L1005" s="3"/>
      <c r="M1005" s="3"/>
      <c r="N1005" s="3"/>
      <c r="O1005" s="3"/>
      <c r="P1005" s="3"/>
      <c r="Q1005" s="3"/>
      <c r="R1005" s="3"/>
      <c r="S1005" s="3"/>
      <c r="T1005" s="3"/>
      <c r="U1005" s="4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4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4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4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  <c r="DI1005" s="3"/>
      <c r="DJ1005" s="3"/>
      <c r="DK1005" s="3"/>
      <c r="DL1005" s="3"/>
      <c r="DM1005" s="3"/>
      <c r="DN1005" s="3"/>
      <c r="DO1005" s="3"/>
      <c r="DP1005" s="3"/>
      <c r="DQ1005" s="3"/>
      <c r="DR1005" s="3"/>
      <c r="DS1005" s="3"/>
      <c r="DT1005" s="3"/>
      <c r="DU1005" s="3"/>
      <c r="DV1005" s="3"/>
      <c r="DW1005" s="3"/>
      <c r="DX1005" s="3"/>
      <c r="DY1005" s="3"/>
      <c r="DZ1005" s="3"/>
      <c r="EA1005" s="3"/>
      <c r="EB1005" s="3"/>
      <c r="EC1005" s="3"/>
      <c r="ED1005" s="3"/>
      <c r="EE1005" s="3"/>
      <c r="EF1005" s="3"/>
      <c r="EG1005" s="3"/>
      <c r="EH1005" s="3"/>
      <c r="EI1005" s="3"/>
      <c r="EJ1005" s="3"/>
      <c r="EK1005" s="3"/>
      <c r="EL1005" s="3"/>
      <c r="EM1005" s="3"/>
      <c r="EN1005" s="3"/>
      <c r="EO1005" s="3"/>
      <c r="EP1005" s="3"/>
      <c r="EQ1005" s="3"/>
      <c r="ER1005" s="3"/>
      <c r="ES1005" s="3"/>
      <c r="ET1005" s="3"/>
      <c r="EU1005" s="3"/>
      <c r="EV1005" s="3"/>
      <c r="EW1005" s="3"/>
      <c r="EX1005" s="3"/>
      <c r="EY1005" s="3"/>
      <c r="EZ1005" s="3"/>
      <c r="FA1005" s="3"/>
      <c r="FB1005" s="3"/>
      <c r="FC1005" s="3"/>
      <c r="FD1005" s="3"/>
      <c r="FE1005" s="3"/>
      <c r="FF1005" s="3"/>
      <c r="FG1005" s="3"/>
      <c r="FH1005" s="3"/>
      <c r="FI1005" s="3"/>
      <c r="FJ1005" s="3"/>
      <c r="FK1005" s="3"/>
      <c r="FL1005" s="3"/>
      <c r="FM1005" s="3"/>
      <c r="FN1005" s="3"/>
      <c r="FO1005" s="3"/>
      <c r="FP1005" s="3"/>
      <c r="FQ1005" s="3"/>
      <c r="FR1005" s="3"/>
      <c r="FS1005" s="3"/>
      <c r="FT1005" s="3"/>
      <c r="FU1005" s="3"/>
      <c r="FV1005" s="3"/>
      <c r="FW1005" s="3"/>
      <c r="FX1005" s="3"/>
      <c r="FY1005" s="3"/>
    </row>
    <row r="1006" spans="7:181" ht="15" x14ac:dyDescent="0.25">
      <c r="G1006" s="2"/>
      <c r="H1006" s="2"/>
      <c r="I1006" s="2"/>
      <c r="J1006" s="2"/>
      <c r="K1006" s="2"/>
      <c r="L1006" s="3"/>
      <c r="M1006" s="3"/>
      <c r="N1006" s="3"/>
      <c r="O1006" s="3"/>
      <c r="P1006" s="3"/>
      <c r="Q1006" s="3"/>
      <c r="R1006" s="3"/>
      <c r="S1006" s="3"/>
      <c r="T1006" s="3"/>
      <c r="U1006" s="4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4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4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4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  <c r="DI1006" s="3"/>
      <c r="DJ1006" s="3"/>
      <c r="DK1006" s="3"/>
      <c r="DL1006" s="3"/>
      <c r="DM1006" s="3"/>
      <c r="DN1006" s="3"/>
      <c r="DO1006" s="3"/>
      <c r="DP1006" s="3"/>
      <c r="DQ1006" s="3"/>
      <c r="DR1006" s="3"/>
      <c r="DS1006" s="3"/>
      <c r="DT1006" s="3"/>
      <c r="DU1006" s="3"/>
      <c r="DV1006" s="3"/>
      <c r="DW1006" s="3"/>
      <c r="DX1006" s="3"/>
      <c r="DY1006" s="3"/>
      <c r="DZ1006" s="3"/>
      <c r="EA1006" s="3"/>
      <c r="EB1006" s="3"/>
      <c r="EC1006" s="3"/>
      <c r="ED1006" s="3"/>
      <c r="EE1006" s="3"/>
      <c r="EF1006" s="3"/>
      <c r="EG1006" s="3"/>
      <c r="EH1006" s="3"/>
      <c r="EI1006" s="3"/>
      <c r="EJ1006" s="3"/>
      <c r="EK1006" s="3"/>
      <c r="EL1006" s="3"/>
      <c r="EM1006" s="3"/>
      <c r="EN1006" s="3"/>
      <c r="EO1006" s="3"/>
      <c r="EP1006" s="3"/>
      <c r="EQ1006" s="3"/>
      <c r="ER1006" s="3"/>
      <c r="ES1006" s="3"/>
      <c r="ET1006" s="3"/>
      <c r="EU1006" s="3"/>
      <c r="EV1006" s="3"/>
      <c r="EW1006" s="3"/>
      <c r="EX1006" s="3"/>
      <c r="EY1006" s="3"/>
      <c r="EZ1006" s="3"/>
      <c r="FA1006" s="3"/>
      <c r="FB1006" s="3"/>
      <c r="FC1006" s="3"/>
      <c r="FD1006" s="3"/>
      <c r="FE1006" s="3"/>
      <c r="FF1006" s="3"/>
      <c r="FG1006" s="3"/>
      <c r="FH1006" s="3"/>
      <c r="FI1006" s="3"/>
      <c r="FJ1006" s="3"/>
      <c r="FK1006" s="3"/>
      <c r="FL1006" s="3"/>
      <c r="FM1006" s="3"/>
      <c r="FN1006" s="3"/>
      <c r="FO1006" s="3"/>
      <c r="FP1006" s="3"/>
      <c r="FQ1006" s="3"/>
      <c r="FR1006" s="3"/>
      <c r="FS1006" s="3"/>
      <c r="FT1006" s="3"/>
      <c r="FU1006" s="3"/>
      <c r="FV1006" s="3"/>
      <c r="FW1006" s="3"/>
      <c r="FX1006" s="3"/>
      <c r="FY1006" s="3"/>
    </row>
    <row r="1007" spans="7:181" ht="15" x14ac:dyDescent="0.25">
      <c r="G1007" s="2"/>
      <c r="H1007" s="2"/>
      <c r="I1007" s="2"/>
      <c r="J1007" s="2"/>
      <c r="K1007" s="2"/>
      <c r="L1007" s="3"/>
      <c r="M1007" s="3"/>
      <c r="N1007" s="3"/>
      <c r="O1007" s="3"/>
      <c r="P1007" s="3"/>
      <c r="Q1007" s="3"/>
      <c r="R1007" s="3"/>
      <c r="S1007" s="3"/>
      <c r="T1007" s="3"/>
      <c r="U1007" s="4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4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4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4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  <c r="DI1007" s="3"/>
      <c r="DJ1007" s="3"/>
      <c r="DK1007" s="3"/>
      <c r="DL1007" s="3"/>
      <c r="DM1007" s="3"/>
      <c r="DN1007" s="3"/>
      <c r="DO1007" s="3"/>
      <c r="DP1007" s="3"/>
      <c r="DQ1007" s="3"/>
      <c r="DR1007" s="3"/>
      <c r="DS1007" s="3"/>
      <c r="DT1007" s="3"/>
      <c r="DU1007" s="3"/>
      <c r="DV1007" s="3"/>
      <c r="DW1007" s="3"/>
      <c r="DX1007" s="3"/>
      <c r="DY1007" s="3"/>
      <c r="DZ1007" s="3"/>
      <c r="EA1007" s="3"/>
      <c r="EB1007" s="3"/>
      <c r="EC1007" s="3"/>
      <c r="ED1007" s="3"/>
      <c r="EE1007" s="3"/>
      <c r="EF1007" s="3"/>
      <c r="EG1007" s="3"/>
      <c r="EH1007" s="3"/>
      <c r="EI1007" s="3"/>
      <c r="EJ1007" s="3"/>
      <c r="EK1007" s="3"/>
      <c r="EL1007" s="3"/>
      <c r="EM1007" s="3"/>
      <c r="EN1007" s="3"/>
      <c r="EO1007" s="3"/>
      <c r="EP1007" s="3"/>
      <c r="EQ1007" s="3"/>
      <c r="ER1007" s="3"/>
      <c r="ES1007" s="3"/>
      <c r="ET1007" s="3"/>
      <c r="EU1007" s="3"/>
      <c r="EV1007" s="3"/>
      <c r="EW1007" s="3"/>
      <c r="EX1007" s="3"/>
      <c r="EY1007" s="3"/>
      <c r="EZ1007" s="3"/>
      <c r="FA1007" s="3"/>
      <c r="FB1007" s="3"/>
      <c r="FC1007" s="3"/>
      <c r="FD1007" s="3"/>
      <c r="FE1007" s="3"/>
      <c r="FF1007" s="3"/>
      <c r="FG1007" s="3"/>
      <c r="FH1007" s="3"/>
      <c r="FI1007" s="3"/>
      <c r="FJ1007" s="3"/>
      <c r="FK1007" s="3"/>
      <c r="FL1007" s="3"/>
      <c r="FM1007" s="3"/>
      <c r="FN1007" s="3"/>
      <c r="FO1007" s="3"/>
      <c r="FP1007" s="3"/>
      <c r="FQ1007" s="3"/>
      <c r="FR1007" s="3"/>
      <c r="FS1007" s="3"/>
      <c r="FT1007" s="3"/>
      <c r="FU1007" s="3"/>
      <c r="FV1007" s="3"/>
      <c r="FW1007" s="3"/>
      <c r="FX1007" s="3"/>
      <c r="FY1007" s="3"/>
    </row>
    <row r="1008" spans="7:181" ht="15" x14ac:dyDescent="0.25">
      <c r="G1008" s="2"/>
      <c r="H1008" s="2"/>
      <c r="I1008" s="2"/>
      <c r="J1008" s="2"/>
      <c r="K1008" s="2"/>
      <c r="L1008" s="3"/>
      <c r="M1008" s="3"/>
      <c r="N1008" s="3"/>
      <c r="O1008" s="3"/>
      <c r="P1008" s="3"/>
      <c r="Q1008" s="3"/>
      <c r="R1008" s="3"/>
      <c r="S1008" s="3"/>
      <c r="T1008" s="3"/>
      <c r="U1008" s="4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4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4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4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  <c r="DI1008" s="3"/>
      <c r="DJ1008" s="3"/>
      <c r="DK1008" s="3"/>
      <c r="DL1008" s="3"/>
      <c r="DM1008" s="3"/>
      <c r="DN1008" s="3"/>
      <c r="DO1008" s="3"/>
      <c r="DP1008" s="3"/>
      <c r="DQ1008" s="3"/>
      <c r="DR1008" s="3"/>
      <c r="DS1008" s="3"/>
      <c r="DT1008" s="3"/>
      <c r="DU1008" s="3"/>
      <c r="DV1008" s="3"/>
      <c r="DW1008" s="3"/>
      <c r="DX1008" s="3"/>
      <c r="DY1008" s="3"/>
      <c r="DZ1008" s="3"/>
      <c r="EA1008" s="3"/>
      <c r="EB1008" s="3"/>
      <c r="EC1008" s="3"/>
      <c r="ED1008" s="3"/>
      <c r="EE1008" s="3"/>
      <c r="EF1008" s="3"/>
      <c r="EG1008" s="3"/>
      <c r="EH1008" s="3"/>
      <c r="EI1008" s="3"/>
      <c r="EJ1008" s="3"/>
      <c r="EK1008" s="3"/>
      <c r="EL1008" s="3"/>
      <c r="EM1008" s="3"/>
      <c r="EN1008" s="3"/>
      <c r="EO1008" s="3"/>
      <c r="EP1008" s="3"/>
      <c r="EQ1008" s="3"/>
      <c r="ER1008" s="3"/>
      <c r="ES1008" s="3"/>
      <c r="ET1008" s="3"/>
      <c r="EU1008" s="3"/>
      <c r="EV1008" s="3"/>
      <c r="EW1008" s="3"/>
      <c r="EX1008" s="3"/>
      <c r="EY1008" s="3"/>
      <c r="EZ1008" s="3"/>
      <c r="FA1008" s="3"/>
      <c r="FB1008" s="3"/>
      <c r="FC1008" s="3"/>
      <c r="FD1008" s="3"/>
      <c r="FE1008" s="3"/>
      <c r="FF1008" s="3"/>
      <c r="FG1008" s="3"/>
      <c r="FH1008" s="3"/>
      <c r="FI1008" s="3"/>
      <c r="FJ1008" s="3"/>
      <c r="FK1008" s="3"/>
      <c r="FL1008" s="3"/>
      <c r="FM1008" s="3"/>
      <c r="FN1008" s="3"/>
      <c r="FO1008" s="3"/>
      <c r="FP1008" s="3"/>
      <c r="FQ1008" s="3"/>
      <c r="FR1008" s="3"/>
      <c r="FS1008" s="3"/>
      <c r="FT1008" s="3"/>
      <c r="FU1008" s="3"/>
      <c r="FV1008" s="3"/>
      <c r="FW1008" s="3"/>
      <c r="FX1008" s="3"/>
      <c r="FY1008" s="3"/>
    </row>
    <row r="1009" spans="7:181" ht="15" x14ac:dyDescent="0.25">
      <c r="G1009" s="2"/>
      <c r="H1009" s="2"/>
      <c r="I1009" s="2"/>
      <c r="J1009" s="2"/>
      <c r="K1009" s="2"/>
      <c r="L1009" s="3"/>
      <c r="M1009" s="3"/>
      <c r="N1009" s="3"/>
      <c r="O1009" s="3"/>
      <c r="P1009" s="3"/>
      <c r="Q1009" s="3"/>
      <c r="R1009" s="3"/>
      <c r="S1009" s="3"/>
      <c r="T1009" s="3"/>
      <c r="U1009" s="4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4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4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4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3"/>
      <c r="DJ1009" s="3"/>
      <c r="DK1009" s="3"/>
      <c r="DL1009" s="3"/>
      <c r="DM1009" s="3"/>
      <c r="DN1009" s="3"/>
      <c r="DO1009" s="3"/>
      <c r="DP1009" s="3"/>
      <c r="DQ1009" s="3"/>
      <c r="DR1009" s="3"/>
      <c r="DS1009" s="3"/>
      <c r="DT1009" s="3"/>
      <c r="DU1009" s="3"/>
      <c r="DV1009" s="3"/>
      <c r="DW1009" s="3"/>
      <c r="DX1009" s="3"/>
      <c r="DY1009" s="3"/>
      <c r="DZ1009" s="3"/>
      <c r="EA1009" s="3"/>
      <c r="EB1009" s="3"/>
      <c r="EC1009" s="3"/>
      <c r="ED1009" s="3"/>
      <c r="EE1009" s="3"/>
      <c r="EF1009" s="3"/>
      <c r="EG1009" s="3"/>
      <c r="EH1009" s="3"/>
      <c r="EI1009" s="3"/>
      <c r="EJ1009" s="3"/>
      <c r="EK1009" s="3"/>
      <c r="EL1009" s="3"/>
      <c r="EM1009" s="3"/>
      <c r="EN1009" s="3"/>
      <c r="EO1009" s="3"/>
      <c r="EP1009" s="3"/>
      <c r="EQ1009" s="3"/>
      <c r="ER1009" s="3"/>
      <c r="ES1009" s="3"/>
      <c r="ET1009" s="3"/>
      <c r="EU1009" s="3"/>
      <c r="EV1009" s="3"/>
      <c r="EW1009" s="3"/>
      <c r="EX1009" s="3"/>
      <c r="EY1009" s="3"/>
      <c r="EZ1009" s="3"/>
      <c r="FA1009" s="3"/>
      <c r="FB1009" s="3"/>
      <c r="FC1009" s="3"/>
      <c r="FD1009" s="3"/>
      <c r="FE1009" s="3"/>
      <c r="FF1009" s="3"/>
      <c r="FG1009" s="3"/>
      <c r="FH1009" s="3"/>
      <c r="FI1009" s="3"/>
      <c r="FJ1009" s="3"/>
      <c r="FK1009" s="3"/>
      <c r="FL1009" s="3"/>
      <c r="FM1009" s="3"/>
      <c r="FN1009" s="3"/>
      <c r="FO1009" s="3"/>
      <c r="FP1009" s="3"/>
      <c r="FQ1009" s="3"/>
      <c r="FR1009" s="3"/>
      <c r="FS1009" s="3"/>
      <c r="FT1009" s="3"/>
      <c r="FU1009" s="3"/>
      <c r="FV1009" s="3"/>
      <c r="FW1009" s="3"/>
      <c r="FX1009" s="3"/>
      <c r="FY1009" s="3"/>
    </row>
    <row r="1010" spans="7:181" ht="15" x14ac:dyDescent="0.25">
      <c r="G1010" s="2"/>
      <c r="H1010" s="2"/>
      <c r="I1010" s="2"/>
      <c r="J1010" s="2"/>
      <c r="K1010" s="2"/>
      <c r="L1010" s="3"/>
      <c r="M1010" s="3"/>
      <c r="N1010" s="3"/>
      <c r="O1010" s="3"/>
      <c r="P1010" s="3"/>
      <c r="Q1010" s="3"/>
      <c r="R1010" s="3"/>
      <c r="S1010" s="3"/>
      <c r="T1010" s="3"/>
      <c r="U1010" s="4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4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4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4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  <c r="DI1010" s="3"/>
      <c r="DJ1010" s="3"/>
      <c r="DK1010" s="3"/>
      <c r="DL1010" s="3"/>
      <c r="DM1010" s="3"/>
      <c r="DN1010" s="3"/>
      <c r="DO1010" s="3"/>
      <c r="DP1010" s="3"/>
      <c r="DQ1010" s="3"/>
      <c r="DR1010" s="3"/>
      <c r="DS1010" s="3"/>
      <c r="DT1010" s="3"/>
      <c r="DU1010" s="3"/>
      <c r="DV1010" s="3"/>
      <c r="DW1010" s="3"/>
      <c r="DX1010" s="3"/>
      <c r="DY1010" s="3"/>
      <c r="DZ1010" s="3"/>
      <c r="EA1010" s="3"/>
      <c r="EB1010" s="3"/>
      <c r="EC1010" s="3"/>
      <c r="ED1010" s="3"/>
      <c r="EE1010" s="3"/>
      <c r="EF1010" s="3"/>
      <c r="EG1010" s="3"/>
      <c r="EH1010" s="3"/>
      <c r="EI1010" s="3"/>
      <c r="EJ1010" s="3"/>
      <c r="EK1010" s="3"/>
      <c r="EL1010" s="3"/>
      <c r="EM1010" s="3"/>
      <c r="EN1010" s="3"/>
      <c r="EO1010" s="3"/>
      <c r="EP1010" s="3"/>
      <c r="EQ1010" s="3"/>
      <c r="ER1010" s="3"/>
      <c r="ES1010" s="3"/>
      <c r="ET1010" s="3"/>
      <c r="EU1010" s="3"/>
      <c r="EV1010" s="3"/>
      <c r="EW1010" s="3"/>
      <c r="EX1010" s="3"/>
      <c r="EY1010" s="3"/>
      <c r="EZ1010" s="3"/>
      <c r="FA1010" s="3"/>
      <c r="FB1010" s="3"/>
      <c r="FC1010" s="3"/>
      <c r="FD1010" s="3"/>
      <c r="FE1010" s="3"/>
      <c r="FF1010" s="3"/>
      <c r="FG1010" s="3"/>
      <c r="FH1010" s="3"/>
      <c r="FI1010" s="3"/>
      <c r="FJ1010" s="3"/>
      <c r="FK1010" s="3"/>
      <c r="FL1010" s="3"/>
      <c r="FM1010" s="3"/>
      <c r="FN1010" s="3"/>
      <c r="FO1010" s="3"/>
      <c r="FP1010" s="3"/>
      <c r="FQ1010" s="3"/>
      <c r="FR1010" s="3"/>
      <c r="FS1010" s="3"/>
      <c r="FT1010" s="3"/>
      <c r="FU1010" s="3"/>
      <c r="FV1010" s="3"/>
      <c r="FW1010" s="3"/>
      <c r="FX1010" s="3"/>
      <c r="FY1010" s="3"/>
    </row>
    <row r="1011" spans="7:181" ht="15" x14ac:dyDescent="0.25">
      <c r="G1011" s="2"/>
      <c r="H1011" s="2"/>
      <c r="I1011" s="2"/>
      <c r="J1011" s="2"/>
      <c r="K1011" s="2"/>
      <c r="L1011" s="3"/>
      <c r="M1011" s="3"/>
      <c r="N1011" s="3"/>
      <c r="O1011" s="3"/>
      <c r="P1011" s="3"/>
      <c r="Q1011" s="3"/>
      <c r="R1011" s="3"/>
      <c r="S1011" s="3"/>
      <c r="T1011" s="3"/>
      <c r="U1011" s="4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4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4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4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  <c r="DI1011" s="3"/>
      <c r="DJ1011" s="3"/>
      <c r="DK1011" s="3"/>
      <c r="DL1011" s="3"/>
      <c r="DM1011" s="3"/>
      <c r="DN1011" s="3"/>
      <c r="DO1011" s="3"/>
      <c r="DP1011" s="3"/>
      <c r="DQ1011" s="3"/>
      <c r="DR1011" s="3"/>
      <c r="DS1011" s="3"/>
      <c r="DT1011" s="3"/>
      <c r="DU1011" s="3"/>
      <c r="DV1011" s="3"/>
      <c r="DW1011" s="3"/>
      <c r="DX1011" s="3"/>
      <c r="DY1011" s="3"/>
      <c r="DZ1011" s="3"/>
      <c r="EA1011" s="3"/>
      <c r="EB1011" s="3"/>
      <c r="EC1011" s="3"/>
      <c r="ED1011" s="3"/>
      <c r="EE1011" s="3"/>
      <c r="EF1011" s="3"/>
      <c r="EG1011" s="3"/>
      <c r="EH1011" s="3"/>
      <c r="EI1011" s="3"/>
      <c r="EJ1011" s="3"/>
      <c r="EK1011" s="3"/>
      <c r="EL1011" s="3"/>
      <c r="EM1011" s="3"/>
      <c r="EN1011" s="3"/>
      <c r="EO1011" s="3"/>
      <c r="EP1011" s="3"/>
      <c r="EQ1011" s="3"/>
      <c r="ER1011" s="3"/>
      <c r="ES1011" s="3"/>
      <c r="ET1011" s="3"/>
      <c r="EU1011" s="3"/>
      <c r="EV1011" s="3"/>
      <c r="EW1011" s="3"/>
      <c r="EX1011" s="3"/>
      <c r="EY1011" s="3"/>
      <c r="EZ1011" s="3"/>
      <c r="FA1011" s="3"/>
      <c r="FB1011" s="3"/>
      <c r="FC1011" s="3"/>
      <c r="FD1011" s="3"/>
      <c r="FE1011" s="3"/>
      <c r="FF1011" s="3"/>
      <c r="FG1011" s="3"/>
      <c r="FH1011" s="3"/>
      <c r="FI1011" s="3"/>
      <c r="FJ1011" s="3"/>
      <c r="FK1011" s="3"/>
      <c r="FL1011" s="3"/>
      <c r="FM1011" s="3"/>
      <c r="FN1011" s="3"/>
      <c r="FO1011" s="3"/>
      <c r="FP1011" s="3"/>
      <c r="FQ1011" s="3"/>
      <c r="FR1011" s="3"/>
      <c r="FS1011" s="3"/>
      <c r="FT1011" s="3"/>
      <c r="FU1011" s="3"/>
      <c r="FV1011" s="3"/>
      <c r="FW1011" s="3"/>
      <c r="FX1011" s="3"/>
      <c r="FY1011" s="3"/>
    </row>
    <row r="1012" spans="7:181" ht="15" x14ac:dyDescent="0.25">
      <c r="G1012" s="2"/>
      <c r="H1012" s="2"/>
      <c r="I1012" s="2"/>
      <c r="J1012" s="2"/>
      <c r="K1012" s="2"/>
      <c r="L1012" s="3"/>
      <c r="M1012" s="3"/>
      <c r="N1012" s="3"/>
      <c r="O1012" s="3"/>
      <c r="P1012" s="3"/>
      <c r="Q1012" s="3"/>
      <c r="R1012" s="3"/>
      <c r="S1012" s="3"/>
      <c r="T1012" s="3"/>
      <c r="U1012" s="4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4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4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4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  <c r="DI1012" s="3"/>
      <c r="DJ1012" s="3"/>
      <c r="DK1012" s="3"/>
      <c r="DL1012" s="3"/>
      <c r="DM1012" s="3"/>
      <c r="DN1012" s="3"/>
      <c r="DO1012" s="3"/>
      <c r="DP1012" s="3"/>
      <c r="DQ1012" s="3"/>
      <c r="DR1012" s="3"/>
      <c r="DS1012" s="3"/>
      <c r="DT1012" s="3"/>
      <c r="DU1012" s="3"/>
      <c r="DV1012" s="3"/>
      <c r="DW1012" s="3"/>
      <c r="DX1012" s="3"/>
      <c r="DY1012" s="3"/>
      <c r="DZ1012" s="3"/>
      <c r="EA1012" s="3"/>
      <c r="EB1012" s="3"/>
      <c r="EC1012" s="3"/>
      <c r="ED1012" s="3"/>
      <c r="EE1012" s="3"/>
      <c r="EF1012" s="3"/>
      <c r="EG1012" s="3"/>
      <c r="EH1012" s="3"/>
      <c r="EI1012" s="3"/>
      <c r="EJ1012" s="3"/>
      <c r="EK1012" s="3"/>
      <c r="EL1012" s="3"/>
      <c r="EM1012" s="3"/>
      <c r="EN1012" s="3"/>
      <c r="EO1012" s="3"/>
      <c r="EP1012" s="3"/>
      <c r="EQ1012" s="3"/>
      <c r="ER1012" s="3"/>
      <c r="ES1012" s="3"/>
      <c r="ET1012" s="3"/>
      <c r="EU1012" s="3"/>
      <c r="EV1012" s="3"/>
      <c r="EW1012" s="3"/>
      <c r="EX1012" s="3"/>
      <c r="EY1012" s="3"/>
      <c r="EZ1012" s="3"/>
      <c r="FA1012" s="3"/>
      <c r="FB1012" s="3"/>
      <c r="FC1012" s="3"/>
      <c r="FD1012" s="3"/>
      <c r="FE1012" s="3"/>
      <c r="FF1012" s="3"/>
      <c r="FG1012" s="3"/>
      <c r="FH1012" s="3"/>
      <c r="FI1012" s="3"/>
      <c r="FJ1012" s="3"/>
      <c r="FK1012" s="3"/>
      <c r="FL1012" s="3"/>
      <c r="FM1012" s="3"/>
      <c r="FN1012" s="3"/>
      <c r="FO1012" s="3"/>
      <c r="FP1012" s="3"/>
      <c r="FQ1012" s="3"/>
      <c r="FR1012" s="3"/>
      <c r="FS1012" s="3"/>
      <c r="FT1012" s="3"/>
      <c r="FU1012" s="3"/>
      <c r="FV1012" s="3"/>
      <c r="FW1012" s="3"/>
      <c r="FX1012" s="3"/>
      <c r="FY1012" s="3"/>
    </row>
    <row r="1013" spans="7:181" ht="15" x14ac:dyDescent="0.25">
      <c r="G1013" s="2"/>
      <c r="H1013" s="2"/>
      <c r="I1013" s="2"/>
      <c r="J1013" s="2"/>
      <c r="K1013" s="2"/>
      <c r="L1013" s="3"/>
      <c r="M1013" s="3"/>
      <c r="N1013" s="3"/>
      <c r="O1013" s="3"/>
      <c r="P1013" s="3"/>
      <c r="Q1013" s="3"/>
      <c r="R1013" s="3"/>
      <c r="S1013" s="3"/>
      <c r="T1013" s="3"/>
      <c r="U1013" s="4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4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4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4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  <c r="DI1013" s="3"/>
      <c r="DJ1013" s="3"/>
      <c r="DK1013" s="3"/>
      <c r="DL1013" s="3"/>
      <c r="DM1013" s="3"/>
      <c r="DN1013" s="3"/>
      <c r="DO1013" s="3"/>
      <c r="DP1013" s="3"/>
      <c r="DQ1013" s="3"/>
      <c r="DR1013" s="3"/>
      <c r="DS1013" s="3"/>
      <c r="DT1013" s="3"/>
      <c r="DU1013" s="3"/>
      <c r="DV1013" s="3"/>
      <c r="DW1013" s="3"/>
      <c r="DX1013" s="3"/>
      <c r="DY1013" s="3"/>
      <c r="DZ1013" s="3"/>
      <c r="EA1013" s="3"/>
      <c r="EB1013" s="3"/>
      <c r="EC1013" s="3"/>
      <c r="ED1013" s="3"/>
      <c r="EE1013" s="3"/>
      <c r="EF1013" s="3"/>
      <c r="EG1013" s="3"/>
      <c r="EH1013" s="3"/>
      <c r="EI1013" s="3"/>
      <c r="EJ1013" s="3"/>
      <c r="EK1013" s="3"/>
      <c r="EL1013" s="3"/>
      <c r="EM1013" s="3"/>
      <c r="EN1013" s="3"/>
      <c r="EO1013" s="3"/>
      <c r="EP1013" s="3"/>
      <c r="EQ1013" s="3"/>
      <c r="ER1013" s="3"/>
      <c r="ES1013" s="3"/>
      <c r="ET1013" s="3"/>
      <c r="EU1013" s="3"/>
      <c r="EV1013" s="3"/>
      <c r="EW1013" s="3"/>
      <c r="EX1013" s="3"/>
      <c r="EY1013" s="3"/>
      <c r="EZ1013" s="3"/>
      <c r="FA1013" s="3"/>
      <c r="FB1013" s="3"/>
      <c r="FC1013" s="3"/>
      <c r="FD1013" s="3"/>
      <c r="FE1013" s="3"/>
      <c r="FF1013" s="3"/>
      <c r="FG1013" s="3"/>
      <c r="FH1013" s="3"/>
      <c r="FI1013" s="3"/>
      <c r="FJ1013" s="3"/>
      <c r="FK1013" s="3"/>
      <c r="FL1013" s="3"/>
      <c r="FM1013" s="3"/>
      <c r="FN1013" s="3"/>
      <c r="FO1013" s="3"/>
      <c r="FP1013" s="3"/>
      <c r="FQ1013" s="3"/>
      <c r="FR1013" s="3"/>
      <c r="FS1013" s="3"/>
      <c r="FT1013" s="3"/>
      <c r="FU1013" s="3"/>
      <c r="FV1013" s="3"/>
      <c r="FW1013" s="3"/>
      <c r="FX1013" s="3"/>
      <c r="FY1013" s="3"/>
    </row>
    <row r="1014" spans="7:181" ht="15" x14ac:dyDescent="0.25">
      <c r="G1014" s="2"/>
      <c r="H1014" s="2"/>
      <c r="I1014" s="2"/>
      <c r="J1014" s="2"/>
      <c r="K1014" s="2"/>
      <c r="L1014" s="3"/>
      <c r="M1014" s="3"/>
      <c r="N1014" s="3"/>
      <c r="O1014" s="3"/>
      <c r="P1014" s="3"/>
      <c r="Q1014" s="3"/>
      <c r="R1014" s="3"/>
      <c r="S1014" s="3"/>
      <c r="T1014" s="3"/>
      <c r="U1014" s="4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4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4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4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  <c r="DI1014" s="3"/>
      <c r="DJ1014" s="3"/>
      <c r="DK1014" s="3"/>
      <c r="DL1014" s="3"/>
      <c r="DM1014" s="3"/>
      <c r="DN1014" s="3"/>
      <c r="DO1014" s="3"/>
      <c r="DP1014" s="3"/>
      <c r="DQ1014" s="3"/>
      <c r="DR1014" s="3"/>
      <c r="DS1014" s="3"/>
      <c r="DT1014" s="3"/>
      <c r="DU1014" s="3"/>
      <c r="DV1014" s="3"/>
      <c r="DW1014" s="3"/>
      <c r="DX1014" s="3"/>
      <c r="DY1014" s="3"/>
      <c r="DZ1014" s="3"/>
      <c r="EA1014" s="3"/>
      <c r="EB1014" s="3"/>
      <c r="EC1014" s="3"/>
      <c r="ED1014" s="3"/>
      <c r="EE1014" s="3"/>
      <c r="EF1014" s="3"/>
      <c r="EG1014" s="3"/>
      <c r="EH1014" s="3"/>
      <c r="EI1014" s="3"/>
      <c r="EJ1014" s="3"/>
      <c r="EK1014" s="3"/>
      <c r="EL1014" s="3"/>
      <c r="EM1014" s="3"/>
      <c r="EN1014" s="3"/>
      <c r="EO1014" s="3"/>
      <c r="EP1014" s="3"/>
      <c r="EQ1014" s="3"/>
      <c r="ER1014" s="3"/>
      <c r="ES1014" s="3"/>
      <c r="ET1014" s="3"/>
      <c r="EU1014" s="3"/>
      <c r="EV1014" s="3"/>
      <c r="EW1014" s="3"/>
      <c r="EX1014" s="3"/>
      <c r="EY1014" s="3"/>
      <c r="EZ1014" s="3"/>
      <c r="FA1014" s="3"/>
      <c r="FB1014" s="3"/>
      <c r="FC1014" s="3"/>
      <c r="FD1014" s="3"/>
      <c r="FE1014" s="3"/>
      <c r="FF1014" s="3"/>
      <c r="FG1014" s="3"/>
      <c r="FH1014" s="3"/>
      <c r="FI1014" s="3"/>
      <c r="FJ1014" s="3"/>
      <c r="FK1014" s="3"/>
      <c r="FL1014" s="3"/>
      <c r="FM1014" s="3"/>
      <c r="FN1014" s="3"/>
      <c r="FO1014" s="3"/>
      <c r="FP1014" s="3"/>
      <c r="FQ1014" s="3"/>
      <c r="FR1014" s="3"/>
      <c r="FS1014" s="3"/>
      <c r="FT1014" s="3"/>
      <c r="FU1014" s="3"/>
      <c r="FV1014" s="3"/>
      <c r="FW1014" s="3"/>
      <c r="FX1014" s="3"/>
      <c r="FY1014" s="3"/>
    </row>
    <row r="1015" spans="7:181" ht="15" x14ac:dyDescent="0.25">
      <c r="G1015" s="2"/>
      <c r="H1015" s="2"/>
      <c r="I1015" s="2"/>
      <c r="J1015" s="2"/>
      <c r="K1015" s="2"/>
      <c r="L1015" s="3"/>
      <c r="M1015" s="3"/>
      <c r="N1015" s="3"/>
      <c r="O1015" s="3"/>
      <c r="P1015" s="3"/>
      <c r="Q1015" s="3"/>
      <c r="R1015" s="3"/>
      <c r="S1015" s="3"/>
      <c r="T1015" s="3"/>
      <c r="U1015" s="4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4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4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4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  <c r="DI1015" s="3"/>
      <c r="DJ1015" s="3"/>
      <c r="DK1015" s="3"/>
      <c r="DL1015" s="3"/>
      <c r="DM1015" s="3"/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/>
      <c r="DY1015" s="3"/>
      <c r="DZ1015" s="3"/>
      <c r="EA1015" s="3"/>
      <c r="EB1015" s="3"/>
      <c r="EC1015" s="3"/>
      <c r="ED1015" s="3"/>
      <c r="EE1015" s="3"/>
      <c r="EF1015" s="3"/>
      <c r="EG1015" s="3"/>
      <c r="EH1015" s="3"/>
      <c r="EI1015" s="3"/>
      <c r="EJ1015" s="3"/>
      <c r="EK1015" s="3"/>
      <c r="EL1015" s="3"/>
      <c r="EM1015" s="3"/>
      <c r="EN1015" s="3"/>
      <c r="EO1015" s="3"/>
      <c r="EP1015" s="3"/>
      <c r="EQ1015" s="3"/>
      <c r="ER1015" s="3"/>
      <c r="ES1015" s="3"/>
      <c r="ET1015" s="3"/>
      <c r="EU1015" s="3"/>
      <c r="EV1015" s="3"/>
      <c r="EW1015" s="3"/>
      <c r="EX1015" s="3"/>
      <c r="EY1015" s="3"/>
      <c r="EZ1015" s="3"/>
      <c r="FA1015" s="3"/>
      <c r="FB1015" s="3"/>
      <c r="FC1015" s="3"/>
      <c r="FD1015" s="3"/>
      <c r="FE1015" s="3"/>
      <c r="FF1015" s="3"/>
      <c r="FG1015" s="3"/>
      <c r="FH1015" s="3"/>
      <c r="FI1015" s="3"/>
      <c r="FJ1015" s="3"/>
      <c r="FK1015" s="3"/>
      <c r="FL1015" s="3"/>
      <c r="FM1015" s="3"/>
      <c r="FN1015" s="3"/>
      <c r="FO1015" s="3"/>
      <c r="FP1015" s="3"/>
      <c r="FQ1015" s="3"/>
      <c r="FR1015" s="3"/>
      <c r="FS1015" s="3"/>
      <c r="FT1015" s="3"/>
      <c r="FU1015" s="3"/>
      <c r="FV1015" s="3"/>
      <c r="FW1015" s="3"/>
      <c r="FX1015" s="3"/>
      <c r="FY1015" s="3"/>
    </row>
    <row r="1016" spans="7:181" ht="15" x14ac:dyDescent="0.25">
      <c r="G1016" s="2"/>
      <c r="H1016" s="2"/>
      <c r="I1016" s="2"/>
      <c r="J1016" s="2"/>
      <c r="K1016" s="2"/>
      <c r="L1016" s="3"/>
      <c r="M1016" s="3"/>
      <c r="N1016" s="3"/>
      <c r="O1016" s="3"/>
      <c r="P1016" s="3"/>
      <c r="Q1016" s="3"/>
      <c r="R1016" s="3"/>
      <c r="S1016" s="3"/>
      <c r="T1016" s="3"/>
      <c r="U1016" s="4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4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4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4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  <c r="DJ1016" s="3"/>
      <c r="DK1016" s="3"/>
      <c r="DL1016" s="3"/>
      <c r="DM1016" s="3"/>
      <c r="DN1016" s="3"/>
      <c r="DO1016" s="3"/>
      <c r="DP1016" s="3"/>
      <c r="DQ1016" s="3"/>
      <c r="DR1016" s="3"/>
      <c r="DS1016" s="3"/>
      <c r="DT1016" s="3"/>
      <c r="DU1016" s="3"/>
      <c r="DV1016" s="3"/>
      <c r="DW1016" s="3"/>
      <c r="DX1016" s="3"/>
      <c r="DY1016" s="3"/>
      <c r="DZ1016" s="3"/>
      <c r="EA1016" s="3"/>
      <c r="EB1016" s="3"/>
      <c r="EC1016" s="3"/>
      <c r="ED1016" s="3"/>
      <c r="EE1016" s="3"/>
      <c r="EF1016" s="3"/>
      <c r="EG1016" s="3"/>
      <c r="EH1016" s="3"/>
      <c r="EI1016" s="3"/>
      <c r="EJ1016" s="3"/>
      <c r="EK1016" s="3"/>
      <c r="EL1016" s="3"/>
      <c r="EM1016" s="3"/>
      <c r="EN1016" s="3"/>
      <c r="EO1016" s="3"/>
      <c r="EP1016" s="3"/>
      <c r="EQ1016" s="3"/>
      <c r="ER1016" s="3"/>
      <c r="ES1016" s="3"/>
      <c r="ET1016" s="3"/>
      <c r="EU1016" s="3"/>
      <c r="EV1016" s="3"/>
      <c r="EW1016" s="3"/>
      <c r="EX1016" s="3"/>
      <c r="EY1016" s="3"/>
      <c r="EZ1016" s="3"/>
      <c r="FA1016" s="3"/>
      <c r="FB1016" s="3"/>
      <c r="FC1016" s="3"/>
      <c r="FD1016" s="3"/>
      <c r="FE1016" s="3"/>
      <c r="FF1016" s="3"/>
      <c r="FG1016" s="3"/>
      <c r="FH1016" s="3"/>
      <c r="FI1016" s="3"/>
      <c r="FJ1016" s="3"/>
      <c r="FK1016" s="3"/>
      <c r="FL1016" s="3"/>
      <c r="FM1016" s="3"/>
      <c r="FN1016" s="3"/>
      <c r="FO1016" s="3"/>
      <c r="FP1016" s="3"/>
      <c r="FQ1016" s="3"/>
      <c r="FR1016" s="3"/>
      <c r="FS1016" s="3"/>
      <c r="FT1016" s="3"/>
      <c r="FU1016" s="3"/>
      <c r="FV1016" s="3"/>
      <c r="FW1016" s="3"/>
      <c r="FX1016" s="3"/>
      <c r="FY1016" s="3"/>
    </row>
    <row r="1017" spans="7:181" ht="15" x14ac:dyDescent="0.25">
      <c r="G1017" s="2"/>
      <c r="H1017" s="2"/>
      <c r="I1017" s="2"/>
      <c r="J1017" s="2"/>
      <c r="K1017" s="2"/>
      <c r="L1017" s="3"/>
      <c r="M1017" s="3"/>
      <c r="N1017" s="3"/>
      <c r="O1017" s="3"/>
      <c r="P1017" s="3"/>
      <c r="Q1017" s="3"/>
      <c r="R1017" s="3"/>
      <c r="S1017" s="3"/>
      <c r="T1017" s="3"/>
      <c r="U1017" s="4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4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4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4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3"/>
      <c r="DN1017" s="3"/>
      <c r="DO1017" s="3"/>
      <c r="DP1017" s="3"/>
      <c r="DQ1017" s="3"/>
      <c r="DR1017" s="3"/>
      <c r="DS1017" s="3"/>
      <c r="DT1017" s="3"/>
      <c r="DU1017" s="3"/>
      <c r="DV1017" s="3"/>
      <c r="DW1017" s="3"/>
      <c r="DX1017" s="3"/>
      <c r="DY1017" s="3"/>
      <c r="DZ1017" s="3"/>
      <c r="EA1017" s="3"/>
      <c r="EB1017" s="3"/>
      <c r="EC1017" s="3"/>
      <c r="ED1017" s="3"/>
      <c r="EE1017" s="3"/>
      <c r="EF1017" s="3"/>
      <c r="EG1017" s="3"/>
      <c r="EH1017" s="3"/>
      <c r="EI1017" s="3"/>
      <c r="EJ1017" s="3"/>
      <c r="EK1017" s="3"/>
      <c r="EL1017" s="3"/>
      <c r="EM1017" s="3"/>
      <c r="EN1017" s="3"/>
      <c r="EO1017" s="3"/>
      <c r="EP1017" s="3"/>
      <c r="EQ1017" s="3"/>
      <c r="ER1017" s="3"/>
      <c r="ES1017" s="3"/>
      <c r="ET1017" s="3"/>
      <c r="EU1017" s="3"/>
      <c r="EV1017" s="3"/>
      <c r="EW1017" s="3"/>
      <c r="EX1017" s="3"/>
      <c r="EY1017" s="3"/>
      <c r="EZ1017" s="3"/>
      <c r="FA1017" s="3"/>
      <c r="FB1017" s="3"/>
      <c r="FC1017" s="3"/>
      <c r="FD1017" s="3"/>
      <c r="FE1017" s="3"/>
      <c r="FF1017" s="3"/>
      <c r="FG1017" s="3"/>
      <c r="FH1017" s="3"/>
      <c r="FI1017" s="3"/>
      <c r="FJ1017" s="3"/>
      <c r="FK1017" s="3"/>
      <c r="FL1017" s="3"/>
      <c r="FM1017" s="3"/>
      <c r="FN1017" s="3"/>
      <c r="FO1017" s="3"/>
      <c r="FP1017" s="3"/>
      <c r="FQ1017" s="3"/>
      <c r="FR1017" s="3"/>
      <c r="FS1017" s="3"/>
      <c r="FT1017" s="3"/>
      <c r="FU1017" s="3"/>
      <c r="FV1017" s="3"/>
      <c r="FW1017" s="3"/>
      <c r="FX1017" s="3"/>
      <c r="FY1017" s="3"/>
    </row>
    <row r="1018" spans="7:181" ht="15" x14ac:dyDescent="0.25">
      <c r="G1018" s="2"/>
      <c r="H1018" s="2"/>
      <c r="I1018" s="2"/>
      <c r="J1018" s="2"/>
      <c r="K1018" s="2"/>
      <c r="L1018" s="3"/>
      <c r="M1018" s="3"/>
      <c r="N1018" s="3"/>
      <c r="O1018" s="3"/>
      <c r="P1018" s="3"/>
      <c r="Q1018" s="3"/>
      <c r="R1018" s="3"/>
      <c r="S1018" s="3"/>
      <c r="T1018" s="3"/>
      <c r="U1018" s="4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4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4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4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  <c r="DI1018" s="3"/>
      <c r="DJ1018" s="3"/>
      <c r="DK1018" s="3"/>
      <c r="DL1018" s="3"/>
      <c r="DM1018" s="3"/>
      <c r="DN1018" s="3"/>
      <c r="DO1018" s="3"/>
      <c r="DP1018" s="3"/>
      <c r="DQ1018" s="3"/>
      <c r="DR1018" s="3"/>
      <c r="DS1018" s="3"/>
      <c r="DT1018" s="3"/>
      <c r="DU1018" s="3"/>
      <c r="DV1018" s="3"/>
      <c r="DW1018" s="3"/>
      <c r="DX1018" s="3"/>
      <c r="DY1018" s="3"/>
      <c r="DZ1018" s="3"/>
      <c r="EA1018" s="3"/>
      <c r="EB1018" s="3"/>
      <c r="EC1018" s="3"/>
      <c r="ED1018" s="3"/>
      <c r="EE1018" s="3"/>
      <c r="EF1018" s="3"/>
      <c r="EG1018" s="3"/>
      <c r="EH1018" s="3"/>
      <c r="EI1018" s="3"/>
      <c r="EJ1018" s="3"/>
      <c r="EK1018" s="3"/>
      <c r="EL1018" s="3"/>
      <c r="EM1018" s="3"/>
      <c r="EN1018" s="3"/>
      <c r="EO1018" s="3"/>
      <c r="EP1018" s="3"/>
      <c r="EQ1018" s="3"/>
      <c r="ER1018" s="3"/>
      <c r="ES1018" s="3"/>
      <c r="ET1018" s="3"/>
      <c r="EU1018" s="3"/>
      <c r="EV1018" s="3"/>
      <c r="EW1018" s="3"/>
      <c r="EX1018" s="3"/>
      <c r="EY1018" s="3"/>
      <c r="EZ1018" s="3"/>
      <c r="FA1018" s="3"/>
      <c r="FB1018" s="3"/>
      <c r="FC1018" s="3"/>
      <c r="FD1018" s="3"/>
      <c r="FE1018" s="3"/>
      <c r="FF1018" s="3"/>
      <c r="FG1018" s="3"/>
      <c r="FH1018" s="3"/>
      <c r="FI1018" s="3"/>
      <c r="FJ1018" s="3"/>
      <c r="FK1018" s="3"/>
      <c r="FL1018" s="3"/>
      <c r="FM1018" s="3"/>
      <c r="FN1018" s="3"/>
      <c r="FO1018" s="3"/>
      <c r="FP1018" s="3"/>
      <c r="FQ1018" s="3"/>
      <c r="FR1018" s="3"/>
      <c r="FS1018" s="3"/>
      <c r="FT1018" s="3"/>
      <c r="FU1018" s="3"/>
      <c r="FV1018" s="3"/>
      <c r="FW1018" s="3"/>
      <c r="FX1018" s="3"/>
      <c r="FY1018" s="3"/>
    </row>
    <row r="1019" spans="7:181" ht="15" x14ac:dyDescent="0.25">
      <c r="G1019" s="2"/>
      <c r="H1019" s="2"/>
      <c r="I1019" s="2"/>
      <c r="J1019" s="2"/>
      <c r="K1019" s="2"/>
      <c r="L1019" s="3"/>
      <c r="M1019" s="3"/>
      <c r="N1019" s="3"/>
      <c r="O1019" s="3"/>
      <c r="P1019" s="3"/>
      <c r="Q1019" s="3"/>
      <c r="R1019" s="3"/>
      <c r="S1019" s="3"/>
      <c r="T1019" s="3"/>
      <c r="U1019" s="4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4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4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4"/>
      <c r="BI1019" s="3"/>
      <c r="BJ1019" s="3"/>
      <c r="BK1019" s="3"/>
      <c r="BL1019" s="3"/>
      <c r="BM1019" s="3"/>
      <c r="BN1019" s="3"/>
      <c r="BO1019" s="3"/>
      <c r="BP1019" s="3"/>
      <c r="BQ1019" s="3"/>
      <c r="BR1019" s="3"/>
      <c r="BS1019" s="3"/>
      <c r="BT1019" s="3"/>
      <c r="BU1019" s="3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  <c r="DI1019" s="3"/>
      <c r="DJ1019" s="3"/>
      <c r="DK1019" s="3"/>
      <c r="DL1019" s="3"/>
      <c r="DM1019" s="3"/>
      <c r="DN1019" s="3"/>
      <c r="DO1019" s="3"/>
      <c r="DP1019" s="3"/>
      <c r="DQ1019" s="3"/>
      <c r="DR1019" s="3"/>
      <c r="DS1019" s="3"/>
      <c r="DT1019" s="3"/>
      <c r="DU1019" s="3"/>
      <c r="DV1019" s="3"/>
      <c r="DW1019" s="3"/>
      <c r="DX1019" s="3"/>
      <c r="DY1019" s="3"/>
      <c r="DZ1019" s="3"/>
      <c r="EA1019" s="3"/>
      <c r="EB1019" s="3"/>
      <c r="EC1019" s="3"/>
      <c r="ED1019" s="3"/>
      <c r="EE1019" s="3"/>
      <c r="EF1019" s="3"/>
      <c r="EG1019" s="3"/>
      <c r="EH1019" s="3"/>
      <c r="EI1019" s="3"/>
      <c r="EJ1019" s="3"/>
      <c r="EK1019" s="3"/>
      <c r="EL1019" s="3"/>
      <c r="EM1019" s="3"/>
      <c r="EN1019" s="3"/>
      <c r="EO1019" s="3"/>
      <c r="EP1019" s="3"/>
      <c r="EQ1019" s="3"/>
      <c r="ER1019" s="3"/>
      <c r="ES1019" s="3"/>
      <c r="ET1019" s="3"/>
      <c r="EU1019" s="3"/>
      <c r="EV1019" s="3"/>
      <c r="EW1019" s="3"/>
      <c r="EX1019" s="3"/>
      <c r="EY1019" s="3"/>
      <c r="EZ1019" s="3"/>
      <c r="FA1019" s="3"/>
      <c r="FB1019" s="3"/>
      <c r="FC1019" s="3"/>
      <c r="FD1019" s="3"/>
      <c r="FE1019" s="3"/>
      <c r="FF1019" s="3"/>
      <c r="FG1019" s="3"/>
      <c r="FH1019" s="3"/>
      <c r="FI1019" s="3"/>
      <c r="FJ1019" s="3"/>
      <c r="FK1019" s="3"/>
      <c r="FL1019" s="3"/>
      <c r="FM1019" s="3"/>
      <c r="FN1019" s="3"/>
      <c r="FO1019" s="3"/>
      <c r="FP1019" s="3"/>
      <c r="FQ1019" s="3"/>
      <c r="FR1019" s="3"/>
      <c r="FS1019" s="3"/>
      <c r="FT1019" s="3"/>
      <c r="FU1019" s="3"/>
      <c r="FV1019" s="3"/>
      <c r="FW1019" s="3"/>
      <c r="FX1019" s="3"/>
      <c r="FY1019" s="3"/>
    </row>
    <row r="1020" spans="7:181" ht="15" x14ac:dyDescent="0.25">
      <c r="G1020" s="2"/>
      <c r="H1020" s="2"/>
      <c r="I1020" s="2"/>
      <c r="J1020" s="2"/>
      <c r="K1020" s="2"/>
      <c r="L1020" s="3"/>
      <c r="M1020" s="3"/>
      <c r="N1020" s="3"/>
      <c r="O1020" s="3"/>
      <c r="P1020" s="3"/>
      <c r="Q1020" s="3"/>
      <c r="R1020" s="3"/>
      <c r="S1020" s="3"/>
      <c r="T1020" s="3"/>
      <c r="U1020" s="4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4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4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4"/>
      <c r="BI1020" s="3"/>
      <c r="BJ1020" s="3"/>
      <c r="BK1020" s="3"/>
      <c r="BL1020" s="3"/>
      <c r="BM1020" s="3"/>
      <c r="BN1020" s="3"/>
      <c r="BO1020" s="3"/>
      <c r="BP1020" s="3"/>
      <c r="BQ1020" s="3"/>
      <c r="BR1020" s="3"/>
      <c r="BS1020" s="3"/>
      <c r="BT1020" s="3"/>
      <c r="BU1020" s="3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  <c r="DI1020" s="3"/>
      <c r="DJ1020" s="3"/>
      <c r="DK1020" s="3"/>
      <c r="DL1020" s="3"/>
      <c r="DM1020" s="3"/>
      <c r="DN1020" s="3"/>
      <c r="DO1020" s="3"/>
      <c r="DP1020" s="3"/>
      <c r="DQ1020" s="3"/>
      <c r="DR1020" s="3"/>
      <c r="DS1020" s="3"/>
      <c r="DT1020" s="3"/>
      <c r="DU1020" s="3"/>
      <c r="DV1020" s="3"/>
      <c r="DW1020" s="3"/>
      <c r="DX1020" s="3"/>
      <c r="DY1020" s="3"/>
      <c r="DZ1020" s="3"/>
      <c r="EA1020" s="3"/>
      <c r="EB1020" s="3"/>
      <c r="EC1020" s="3"/>
      <c r="ED1020" s="3"/>
      <c r="EE1020" s="3"/>
      <c r="EF1020" s="3"/>
      <c r="EG1020" s="3"/>
      <c r="EH1020" s="3"/>
      <c r="EI1020" s="3"/>
      <c r="EJ1020" s="3"/>
      <c r="EK1020" s="3"/>
      <c r="EL1020" s="3"/>
      <c r="EM1020" s="3"/>
      <c r="EN1020" s="3"/>
      <c r="EO1020" s="3"/>
      <c r="EP1020" s="3"/>
      <c r="EQ1020" s="3"/>
      <c r="ER1020" s="3"/>
      <c r="ES1020" s="3"/>
      <c r="ET1020" s="3"/>
      <c r="EU1020" s="3"/>
      <c r="EV1020" s="3"/>
      <c r="EW1020" s="3"/>
      <c r="EX1020" s="3"/>
      <c r="EY1020" s="3"/>
      <c r="EZ1020" s="3"/>
      <c r="FA1020" s="3"/>
      <c r="FB1020" s="3"/>
      <c r="FC1020" s="3"/>
      <c r="FD1020" s="3"/>
      <c r="FE1020" s="3"/>
      <c r="FF1020" s="3"/>
      <c r="FG1020" s="3"/>
      <c r="FH1020" s="3"/>
      <c r="FI1020" s="3"/>
      <c r="FJ1020" s="3"/>
      <c r="FK1020" s="3"/>
      <c r="FL1020" s="3"/>
      <c r="FM1020" s="3"/>
      <c r="FN1020" s="3"/>
      <c r="FO1020" s="3"/>
      <c r="FP1020" s="3"/>
      <c r="FQ1020" s="3"/>
      <c r="FR1020" s="3"/>
      <c r="FS1020" s="3"/>
      <c r="FT1020" s="3"/>
      <c r="FU1020" s="3"/>
      <c r="FV1020" s="3"/>
      <c r="FW1020" s="3"/>
      <c r="FX1020" s="3"/>
      <c r="FY1020" s="3"/>
    </row>
    <row r="1021" spans="7:181" ht="15" x14ac:dyDescent="0.25">
      <c r="G1021" s="2"/>
      <c r="H1021" s="2"/>
      <c r="I1021" s="2"/>
      <c r="J1021" s="2"/>
      <c r="K1021" s="2"/>
      <c r="L1021" s="3"/>
      <c r="M1021" s="3"/>
      <c r="N1021" s="3"/>
      <c r="O1021" s="3"/>
      <c r="P1021" s="3"/>
      <c r="Q1021" s="3"/>
      <c r="R1021" s="3"/>
      <c r="S1021" s="3"/>
      <c r="T1021" s="3"/>
      <c r="U1021" s="4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4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4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4"/>
      <c r="BI1021" s="3"/>
      <c r="BJ1021" s="3"/>
      <c r="BK1021" s="3"/>
      <c r="BL1021" s="3"/>
      <c r="BM1021" s="3"/>
      <c r="BN1021" s="3"/>
      <c r="BO1021" s="3"/>
      <c r="BP1021" s="3"/>
      <c r="BQ1021" s="3"/>
      <c r="BR1021" s="3"/>
      <c r="BS1021" s="3"/>
      <c r="BT1021" s="3"/>
      <c r="BU1021" s="3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  <c r="DI1021" s="3"/>
      <c r="DJ1021" s="3"/>
      <c r="DK1021" s="3"/>
      <c r="DL1021" s="3"/>
      <c r="DM1021" s="3"/>
      <c r="DN1021" s="3"/>
      <c r="DO1021" s="3"/>
      <c r="DP1021" s="3"/>
      <c r="DQ1021" s="3"/>
      <c r="DR1021" s="3"/>
      <c r="DS1021" s="3"/>
      <c r="DT1021" s="3"/>
      <c r="DU1021" s="3"/>
      <c r="DV1021" s="3"/>
      <c r="DW1021" s="3"/>
      <c r="DX1021" s="3"/>
      <c r="DY1021" s="3"/>
      <c r="DZ1021" s="3"/>
      <c r="EA1021" s="3"/>
      <c r="EB1021" s="3"/>
      <c r="EC1021" s="3"/>
      <c r="ED1021" s="3"/>
      <c r="EE1021" s="3"/>
      <c r="EF1021" s="3"/>
      <c r="EG1021" s="3"/>
      <c r="EH1021" s="3"/>
      <c r="EI1021" s="3"/>
      <c r="EJ1021" s="3"/>
      <c r="EK1021" s="3"/>
      <c r="EL1021" s="3"/>
      <c r="EM1021" s="3"/>
      <c r="EN1021" s="3"/>
      <c r="EO1021" s="3"/>
      <c r="EP1021" s="3"/>
      <c r="EQ1021" s="3"/>
      <c r="ER1021" s="3"/>
      <c r="ES1021" s="3"/>
      <c r="ET1021" s="3"/>
      <c r="EU1021" s="3"/>
      <c r="EV1021" s="3"/>
      <c r="EW1021" s="3"/>
      <c r="EX1021" s="3"/>
      <c r="EY1021" s="3"/>
      <c r="EZ1021" s="3"/>
      <c r="FA1021" s="3"/>
      <c r="FB1021" s="3"/>
      <c r="FC1021" s="3"/>
      <c r="FD1021" s="3"/>
      <c r="FE1021" s="3"/>
      <c r="FF1021" s="3"/>
      <c r="FG1021" s="3"/>
      <c r="FH1021" s="3"/>
      <c r="FI1021" s="3"/>
      <c r="FJ1021" s="3"/>
      <c r="FK1021" s="3"/>
      <c r="FL1021" s="3"/>
      <c r="FM1021" s="3"/>
      <c r="FN1021" s="3"/>
      <c r="FO1021" s="3"/>
      <c r="FP1021" s="3"/>
      <c r="FQ1021" s="3"/>
      <c r="FR1021" s="3"/>
      <c r="FS1021" s="3"/>
      <c r="FT1021" s="3"/>
      <c r="FU1021" s="3"/>
      <c r="FV1021" s="3"/>
      <c r="FW1021" s="3"/>
      <c r="FX1021" s="3"/>
      <c r="FY1021" s="3"/>
    </row>
    <row r="1022" spans="7:181" ht="15" x14ac:dyDescent="0.25">
      <c r="G1022" s="2"/>
      <c r="H1022" s="2"/>
      <c r="I1022" s="2"/>
      <c r="J1022" s="2"/>
      <c r="K1022" s="2"/>
      <c r="L1022" s="3"/>
      <c r="M1022" s="3"/>
      <c r="N1022" s="3"/>
      <c r="O1022" s="3"/>
      <c r="P1022" s="3"/>
      <c r="Q1022" s="3"/>
      <c r="R1022" s="3"/>
      <c r="S1022" s="3"/>
      <c r="T1022" s="3"/>
      <c r="U1022" s="4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4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4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4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  <c r="DP1022" s="3"/>
      <c r="DQ1022" s="3"/>
      <c r="DR1022" s="3"/>
      <c r="DS1022" s="3"/>
      <c r="DT1022" s="3"/>
      <c r="DU1022" s="3"/>
      <c r="DV1022" s="3"/>
      <c r="DW1022" s="3"/>
      <c r="DX1022" s="3"/>
      <c r="DY1022" s="3"/>
      <c r="DZ1022" s="3"/>
      <c r="EA1022" s="3"/>
      <c r="EB1022" s="3"/>
      <c r="EC1022" s="3"/>
      <c r="ED1022" s="3"/>
      <c r="EE1022" s="3"/>
      <c r="EF1022" s="3"/>
      <c r="EG1022" s="3"/>
      <c r="EH1022" s="3"/>
      <c r="EI1022" s="3"/>
      <c r="EJ1022" s="3"/>
      <c r="EK1022" s="3"/>
      <c r="EL1022" s="3"/>
      <c r="EM1022" s="3"/>
      <c r="EN1022" s="3"/>
      <c r="EO1022" s="3"/>
      <c r="EP1022" s="3"/>
      <c r="EQ1022" s="3"/>
      <c r="ER1022" s="3"/>
      <c r="ES1022" s="3"/>
      <c r="ET1022" s="3"/>
      <c r="EU1022" s="3"/>
      <c r="EV1022" s="3"/>
      <c r="EW1022" s="3"/>
      <c r="EX1022" s="3"/>
      <c r="EY1022" s="3"/>
      <c r="EZ1022" s="3"/>
      <c r="FA1022" s="3"/>
      <c r="FB1022" s="3"/>
      <c r="FC1022" s="3"/>
      <c r="FD1022" s="3"/>
      <c r="FE1022" s="3"/>
      <c r="FF1022" s="3"/>
      <c r="FG1022" s="3"/>
      <c r="FH1022" s="3"/>
      <c r="FI1022" s="3"/>
      <c r="FJ1022" s="3"/>
      <c r="FK1022" s="3"/>
      <c r="FL1022" s="3"/>
      <c r="FM1022" s="3"/>
      <c r="FN1022" s="3"/>
      <c r="FO1022" s="3"/>
      <c r="FP1022" s="3"/>
      <c r="FQ1022" s="3"/>
      <c r="FR1022" s="3"/>
      <c r="FS1022" s="3"/>
      <c r="FT1022" s="3"/>
      <c r="FU1022" s="3"/>
      <c r="FV1022" s="3"/>
      <c r="FW1022" s="3"/>
      <c r="FX1022" s="3"/>
      <c r="FY1022" s="3"/>
    </row>
    <row r="1023" spans="7:181" ht="15" x14ac:dyDescent="0.25">
      <c r="G1023" s="2"/>
      <c r="H1023" s="2"/>
      <c r="I1023" s="2"/>
      <c r="J1023" s="2"/>
      <c r="K1023" s="2"/>
      <c r="L1023" s="3"/>
      <c r="M1023" s="3"/>
      <c r="N1023" s="3"/>
      <c r="O1023" s="3"/>
      <c r="P1023" s="3"/>
      <c r="Q1023" s="3"/>
      <c r="R1023" s="3"/>
      <c r="S1023" s="3"/>
      <c r="T1023" s="3"/>
      <c r="U1023" s="4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4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4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4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  <c r="DP1023" s="3"/>
      <c r="DQ1023" s="3"/>
      <c r="DR1023" s="3"/>
      <c r="DS1023" s="3"/>
      <c r="DT1023" s="3"/>
      <c r="DU1023" s="3"/>
      <c r="DV1023" s="3"/>
      <c r="DW1023" s="3"/>
      <c r="DX1023" s="3"/>
      <c r="DY1023" s="3"/>
      <c r="DZ1023" s="3"/>
      <c r="EA1023" s="3"/>
      <c r="EB1023" s="3"/>
      <c r="EC1023" s="3"/>
      <c r="ED1023" s="3"/>
      <c r="EE1023" s="3"/>
      <c r="EF1023" s="3"/>
      <c r="EG1023" s="3"/>
      <c r="EH1023" s="3"/>
      <c r="EI1023" s="3"/>
      <c r="EJ1023" s="3"/>
      <c r="EK1023" s="3"/>
      <c r="EL1023" s="3"/>
      <c r="EM1023" s="3"/>
      <c r="EN1023" s="3"/>
      <c r="EO1023" s="3"/>
      <c r="EP1023" s="3"/>
      <c r="EQ1023" s="3"/>
      <c r="ER1023" s="3"/>
      <c r="ES1023" s="3"/>
      <c r="ET1023" s="3"/>
      <c r="EU1023" s="3"/>
      <c r="EV1023" s="3"/>
      <c r="EW1023" s="3"/>
      <c r="EX1023" s="3"/>
      <c r="EY1023" s="3"/>
      <c r="EZ1023" s="3"/>
      <c r="FA1023" s="3"/>
      <c r="FB1023" s="3"/>
      <c r="FC1023" s="3"/>
      <c r="FD1023" s="3"/>
      <c r="FE1023" s="3"/>
      <c r="FF1023" s="3"/>
      <c r="FG1023" s="3"/>
      <c r="FH1023" s="3"/>
      <c r="FI1023" s="3"/>
      <c r="FJ1023" s="3"/>
      <c r="FK1023" s="3"/>
      <c r="FL1023" s="3"/>
      <c r="FM1023" s="3"/>
      <c r="FN1023" s="3"/>
      <c r="FO1023" s="3"/>
      <c r="FP1023" s="3"/>
      <c r="FQ1023" s="3"/>
      <c r="FR1023" s="3"/>
      <c r="FS1023" s="3"/>
      <c r="FT1023" s="3"/>
      <c r="FU1023" s="3"/>
      <c r="FV1023" s="3"/>
      <c r="FW1023" s="3"/>
      <c r="FX1023" s="3"/>
      <c r="FY1023" s="3"/>
    </row>
    <row r="1024" spans="7:181" ht="15" x14ac:dyDescent="0.25">
      <c r="G1024" s="2"/>
      <c r="H1024" s="2"/>
      <c r="I1024" s="2"/>
      <c r="J1024" s="2"/>
      <c r="K1024" s="2"/>
      <c r="L1024" s="3"/>
      <c r="M1024" s="3"/>
      <c r="N1024" s="3"/>
      <c r="O1024" s="3"/>
      <c r="P1024" s="3"/>
      <c r="Q1024" s="3"/>
      <c r="R1024" s="3"/>
      <c r="S1024" s="3"/>
      <c r="T1024" s="3"/>
      <c r="U1024" s="4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4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4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4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  <c r="DP1024" s="3"/>
      <c r="DQ1024" s="3"/>
      <c r="DR1024" s="3"/>
      <c r="DS1024" s="3"/>
      <c r="DT1024" s="3"/>
      <c r="DU1024" s="3"/>
      <c r="DV1024" s="3"/>
      <c r="DW1024" s="3"/>
      <c r="DX1024" s="3"/>
      <c r="DY1024" s="3"/>
      <c r="DZ1024" s="3"/>
      <c r="EA1024" s="3"/>
      <c r="EB1024" s="3"/>
      <c r="EC1024" s="3"/>
      <c r="ED1024" s="3"/>
      <c r="EE1024" s="3"/>
      <c r="EF1024" s="3"/>
      <c r="EG1024" s="3"/>
      <c r="EH1024" s="3"/>
      <c r="EI1024" s="3"/>
      <c r="EJ1024" s="3"/>
      <c r="EK1024" s="3"/>
      <c r="EL1024" s="3"/>
      <c r="EM1024" s="3"/>
      <c r="EN1024" s="3"/>
      <c r="EO1024" s="3"/>
      <c r="EP1024" s="3"/>
      <c r="EQ1024" s="3"/>
      <c r="ER1024" s="3"/>
      <c r="ES1024" s="3"/>
      <c r="ET1024" s="3"/>
      <c r="EU1024" s="3"/>
      <c r="EV1024" s="3"/>
      <c r="EW1024" s="3"/>
      <c r="EX1024" s="3"/>
      <c r="EY1024" s="3"/>
      <c r="EZ1024" s="3"/>
      <c r="FA1024" s="3"/>
      <c r="FB1024" s="3"/>
      <c r="FC1024" s="3"/>
      <c r="FD1024" s="3"/>
      <c r="FE1024" s="3"/>
      <c r="FF1024" s="3"/>
      <c r="FG1024" s="3"/>
      <c r="FH1024" s="3"/>
      <c r="FI1024" s="3"/>
      <c r="FJ1024" s="3"/>
      <c r="FK1024" s="3"/>
      <c r="FL1024" s="3"/>
      <c r="FM1024" s="3"/>
      <c r="FN1024" s="3"/>
      <c r="FO1024" s="3"/>
      <c r="FP1024" s="3"/>
      <c r="FQ1024" s="3"/>
      <c r="FR1024" s="3"/>
      <c r="FS1024" s="3"/>
      <c r="FT1024" s="3"/>
      <c r="FU1024" s="3"/>
      <c r="FV1024" s="3"/>
      <c r="FW1024" s="3"/>
      <c r="FX1024" s="3"/>
      <c r="FY1024" s="3"/>
    </row>
    <row r="1025" spans="7:181" ht="15" x14ac:dyDescent="0.25">
      <c r="G1025" s="2"/>
      <c r="H1025" s="2"/>
      <c r="I1025" s="2"/>
      <c r="J1025" s="2"/>
      <c r="K1025" s="2"/>
      <c r="L1025" s="3"/>
      <c r="M1025" s="3"/>
      <c r="N1025" s="3"/>
      <c r="O1025" s="3"/>
      <c r="P1025" s="3"/>
      <c r="Q1025" s="3"/>
      <c r="R1025" s="3"/>
      <c r="S1025" s="3"/>
      <c r="T1025" s="3"/>
      <c r="U1025" s="4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4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4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4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  <c r="DP1025" s="3"/>
      <c r="DQ1025" s="3"/>
      <c r="DR1025" s="3"/>
      <c r="DS1025" s="3"/>
      <c r="DT1025" s="3"/>
      <c r="DU1025" s="3"/>
      <c r="DV1025" s="3"/>
      <c r="DW1025" s="3"/>
      <c r="DX1025" s="3"/>
      <c r="DY1025" s="3"/>
      <c r="DZ1025" s="3"/>
      <c r="EA1025" s="3"/>
      <c r="EB1025" s="3"/>
      <c r="EC1025" s="3"/>
      <c r="ED1025" s="3"/>
      <c r="EE1025" s="3"/>
      <c r="EF1025" s="3"/>
      <c r="EG1025" s="3"/>
      <c r="EH1025" s="3"/>
      <c r="EI1025" s="3"/>
      <c r="EJ1025" s="3"/>
      <c r="EK1025" s="3"/>
      <c r="EL1025" s="3"/>
      <c r="EM1025" s="3"/>
      <c r="EN1025" s="3"/>
      <c r="EO1025" s="3"/>
      <c r="EP1025" s="3"/>
      <c r="EQ1025" s="3"/>
      <c r="ER1025" s="3"/>
      <c r="ES1025" s="3"/>
      <c r="ET1025" s="3"/>
      <c r="EU1025" s="3"/>
      <c r="EV1025" s="3"/>
      <c r="EW1025" s="3"/>
      <c r="EX1025" s="3"/>
      <c r="EY1025" s="3"/>
      <c r="EZ1025" s="3"/>
      <c r="FA1025" s="3"/>
      <c r="FB1025" s="3"/>
      <c r="FC1025" s="3"/>
      <c r="FD1025" s="3"/>
      <c r="FE1025" s="3"/>
      <c r="FF1025" s="3"/>
      <c r="FG1025" s="3"/>
      <c r="FH1025" s="3"/>
      <c r="FI1025" s="3"/>
      <c r="FJ1025" s="3"/>
      <c r="FK1025" s="3"/>
      <c r="FL1025" s="3"/>
      <c r="FM1025" s="3"/>
      <c r="FN1025" s="3"/>
      <c r="FO1025" s="3"/>
      <c r="FP1025" s="3"/>
      <c r="FQ1025" s="3"/>
      <c r="FR1025" s="3"/>
      <c r="FS1025" s="3"/>
      <c r="FT1025" s="3"/>
      <c r="FU1025" s="3"/>
      <c r="FV1025" s="3"/>
      <c r="FW1025" s="3"/>
      <c r="FX1025" s="3"/>
      <c r="FY1025" s="3"/>
    </row>
    <row r="1026" spans="7:181" ht="15" x14ac:dyDescent="0.25">
      <c r="G1026" s="2"/>
      <c r="H1026" s="2"/>
      <c r="I1026" s="2"/>
      <c r="J1026" s="2"/>
      <c r="K1026" s="2"/>
      <c r="L1026" s="3"/>
      <c r="M1026" s="3"/>
      <c r="N1026" s="3"/>
      <c r="O1026" s="3"/>
      <c r="P1026" s="3"/>
      <c r="Q1026" s="3"/>
      <c r="R1026" s="3"/>
      <c r="S1026" s="3"/>
      <c r="T1026" s="3"/>
      <c r="U1026" s="4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4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4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4"/>
      <c r="BI1026" s="3"/>
      <c r="BJ1026" s="3"/>
      <c r="BK1026" s="3"/>
      <c r="BL1026" s="3"/>
      <c r="BM1026" s="3"/>
      <c r="BN1026" s="3"/>
      <c r="BO1026" s="3"/>
      <c r="BP1026" s="3"/>
      <c r="BQ1026" s="3"/>
      <c r="BR1026" s="3"/>
      <c r="BS1026" s="3"/>
      <c r="BT1026" s="3"/>
      <c r="BU1026" s="3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  <c r="DI1026" s="3"/>
      <c r="DJ1026" s="3"/>
      <c r="DK1026" s="3"/>
      <c r="DL1026" s="3"/>
      <c r="DM1026" s="3"/>
      <c r="DN1026" s="3"/>
      <c r="DO1026" s="3"/>
      <c r="DP1026" s="3"/>
      <c r="DQ1026" s="3"/>
      <c r="DR1026" s="3"/>
      <c r="DS1026" s="3"/>
      <c r="DT1026" s="3"/>
      <c r="DU1026" s="3"/>
      <c r="DV1026" s="3"/>
      <c r="DW1026" s="3"/>
      <c r="DX1026" s="3"/>
      <c r="DY1026" s="3"/>
      <c r="DZ1026" s="3"/>
      <c r="EA1026" s="3"/>
      <c r="EB1026" s="3"/>
      <c r="EC1026" s="3"/>
      <c r="ED1026" s="3"/>
      <c r="EE1026" s="3"/>
      <c r="EF1026" s="3"/>
      <c r="EG1026" s="3"/>
      <c r="EH1026" s="3"/>
      <c r="EI1026" s="3"/>
      <c r="EJ1026" s="3"/>
      <c r="EK1026" s="3"/>
      <c r="EL1026" s="3"/>
      <c r="EM1026" s="3"/>
      <c r="EN1026" s="3"/>
      <c r="EO1026" s="3"/>
      <c r="EP1026" s="3"/>
      <c r="EQ1026" s="3"/>
      <c r="ER1026" s="3"/>
      <c r="ES1026" s="3"/>
      <c r="ET1026" s="3"/>
      <c r="EU1026" s="3"/>
      <c r="EV1026" s="3"/>
      <c r="EW1026" s="3"/>
      <c r="EX1026" s="3"/>
      <c r="EY1026" s="3"/>
      <c r="EZ1026" s="3"/>
      <c r="FA1026" s="3"/>
      <c r="FB1026" s="3"/>
      <c r="FC1026" s="3"/>
      <c r="FD1026" s="3"/>
      <c r="FE1026" s="3"/>
      <c r="FF1026" s="3"/>
      <c r="FG1026" s="3"/>
      <c r="FH1026" s="3"/>
      <c r="FI1026" s="3"/>
      <c r="FJ1026" s="3"/>
      <c r="FK1026" s="3"/>
      <c r="FL1026" s="3"/>
      <c r="FM1026" s="3"/>
      <c r="FN1026" s="3"/>
      <c r="FO1026" s="3"/>
      <c r="FP1026" s="3"/>
      <c r="FQ1026" s="3"/>
      <c r="FR1026" s="3"/>
      <c r="FS1026" s="3"/>
      <c r="FT1026" s="3"/>
      <c r="FU1026" s="3"/>
      <c r="FV1026" s="3"/>
      <c r="FW1026" s="3"/>
      <c r="FX1026" s="3"/>
      <c r="FY1026" s="3"/>
    </row>
    <row r="1027" spans="7:181" ht="15" x14ac:dyDescent="0.25">
      <c r="G1027" s="2"/>
      <c r="H1027" s="2"/>
      <c r="I1027" s="2"/>
      <c r="J1027" s="2"/>
      <c r="K1027" s="2"/>
      <c r="L1027" s="3"/>
      <c r="M1027" s="3"/>
      <c r="N1027" s="3"/>
      <c r="O1027" s="3"/>
      <c r="P1027" s="3"/>
      <c r="Q1027" s="3"/>
      <c r="R1027" s="3"/>
      <c r="S1027" s="3"/>
      <c r="T1027" s="3"/>
      <c r="U1027" s="4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4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4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4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  <c r="DI1027" s="3"/>
      <c r="DJ1027" s="3"/>
      <c r="DK1027" s="3"/>
      <c r="DL1027" s="3"/>
      <c r="DM1027" s="3"/>
      <c r="DN1027" s="3"/>
      <c r="DO1027" s="3"/>
      <c r="DP1027" s="3"/>
      <c r="DQ1027" s="3"/>
      <c r="DR1027" s="3"/>
      <c r="DS1027" s="3"/>
      <c r="DT1027" s="3"/>
      <c r="DU1027" s="3"/>
      <c r="DV1027" s="3"/>
      <c r="DW1027" s="3"/>
      <c r="DX1027" s="3"/>
      <c r="DY1027" s="3"/>
      <c r="DZ1027" s="3"/>
      <c r="EA1027" s="3"/>
      <c r="EB1027" s="3"/>
      <c r="EC1027" s="3"/>
      <c r="ED1027" s="3"/>
      <c r="EE1027" s="3"/>
      <c r="EF1027" s="3"/>
      <c r="EG1027" s="3"/>
      <c r="EH1027" s="3"/>
      <c r="EI1027" s="3"/>
      <c r="EJ1027" s="3"/>
      <c r="EK1027" s="3"/>
      <c r="EL1027" s="3"/>
      <c r="EM1027" s="3"/>
      <c r="EN1027" s="3"/>
      <c r="EO1027" s="3"/>
      <c r="EP1027" s="3"/>
      <c r="EQ1027" s="3"/>
      <c r="ER1027" s="3"/>
      <c r="ES1027" s="3"/>
      <c r="ET1027" s="3"/>
      <c r="EU1027" s="3"/>
      <c r="EV1027" s="3"/>
      <c r="EW1027" s="3"/>
      <c r="EX1027" s="3"/>
      <c r="EY1027" s="3"/>
      <c r="EZ1027" s="3"/>
      <c r="FA1027" s="3"/>
      <c r="FB1027" s="3"/>
      <c r="FC1027" s="3"/>
      <c r="FD1027" s="3"/>
      <c r="FE1027" s="3"/>
      <c r="FF1027" s="3"/>
      <c r="FG1027" s="3"/>
      <c r="FH1027" s="3"/>
      <c r="FI1027" s="3"/>
      <c r="FJ1027" s="3"/>
      <c r="FK1027" s="3"/>
      <c r="FL1027" s="3"/>
      <c r="FM1027" s="3"/>
      <c r="FN1027" s="3"/>
      <c r="FO1027" s="3"/>
      <c r="FP1027" s="3"/>
      <c r="FQ1027" s="3"/>
      <c r="FR1027" s="3"/>
      <c r="FS1027" s="3"/>
      <c r="FT1027" s="3"/>
      <c r="FU1027" s="3"/>
      <c r="FV1027" s="3"/>
      <c r="FW1027" s="3"/>
      <c r="FX1027" s="3"/>
      <c r="FY1027" s="3"/>
    </row>
    <row r="1028" spans="7:181" ht="15" x14ac:dyDescent="0.25">
      <c r="G1028" s="2"/>
      <c r="H1028" s="2"/>
      <c r="I1028" s="2"/>
      <c r="J1028" s="2"/>
      <c r="K1028" s="2"/>
      <c r="L1028" s="3"/>
      <c r="M1028" s="3"/>
      <c r="N1028" s="3"/>
      <c r="O1028" s="3"/>
      <c r="P1028" s="3"/>
      <c r="Q1028" s="3"/>
      <c r="R1028" s="3"/>
      <c r="S1028" s="3"/>
      <c r="T1028" s="3"/>
      <c r="U1028" s="4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4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4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4"/>
      <c r="BI1028" s="3"/>
      <c r="BJ1028" s="3"/>
      <c r="BK1028" s="3"/>
      <c r="BL1028" s="3"/>
      <c r="BM1028" s="3"/>
      <c r="BN1028" s="3"/>
      <c r="BO1028" s="3"/>
      <c r="BP1028" s="3"/>
      <c r="BQ1028" s="3"/>
      <c r="BR1028" s="3"/>
      <c r="BS1028" s="3"/>
      <c r="BT1028" s="3"/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  <c r="DI1028" s="3"/>
      <c r="DJ1028" s="3"/>
      <c r="DK1028" s="3"/>
      <c r="DL1028" s="3"/>
      <c r="DM1028" s="3"/>
      <c r="DN1028" s="3"/>
      <c r="DO1028" s="3"/>
      <c r="DP1028" s="3"/>
      <c r="DQ1028" s="3"/>
      <c r="DR1028" s="3"/>
      <c r="DS1028" s="3"/>
      <c r="DT1028" s="3"/>
      <c r="DU1028" s="3"/>
      <c r="DV1028" s="3"/>
      <c r="DW1028" s="3"/>
      <c r="DX1028" s="3"/>
      <c r="DY1028" s="3"/>
      <c r="DZ1028" s="3"/>
      <c r="EA1028" s="3"/>
      <c r="EB1028" s="3"/>
      <c r="EC1028" s="3"/>
      <c r="ED1028" s="3"/>
      <c r="EE1028" s="3"/>
      <c r="EF1028" s="3"/>
      <c r="EG1028" s="3"/>
      <c r="EH1028" s="3"/>
      <c r="EI1028" s="3"/>
      <c r="EJ1028" s="3"/>
      <c r="EK1028" s="3"/>
      <c r="EL1028" s="3"/>
      <c r="EM1028" s="3"/>
      <c r="EN1028" s="3"/>
      <c r="EO1028" s="3"/>
      <c r="EP1028" s="3"/>
      <c r="EQ1028" s="3"/>
      <c r="ER1028" s="3"/>
      <c r="ES1028" s="3"/>
      <c r="ET1028" s="3"/>
      <c r="EU1028" s="3"/>
      <c r="EV1028" s="3"/>
      <c r="EW1028" s="3"/>
      <c r="EX1028" s="3"/>
      <c r="EY1028" s="3"/>
      <c r="EZ1028" s="3"/>
      <c r="FA1028" s="3"/>
      <c r="FB1028" s="3"/>
      <c r="FC1028" s="3"/>
      <c r="FD1028" s="3"/>
      <c r="FE1028" s="3"/>
      <c r="FF1028" s="3"/>
      <c r="FG1028" s="3"/>
      <c r="FH1028" s="3"/>
      <c r="FI1028" s="3"/>
      <c r="FJ1028" s="3"/>
      <c r="FK1028" s="3"/>
      <c r="FL1028" s="3"/>
      <c r="FM1028" s="3"/>
      <c r="FN1028" s="3"/>
      <c r="FO1028" s="3"/>
      <c r="FP1028" s="3"/>
      <c r="FQ1028" s="3"/>
      <c r="FR1028" s="3"/>
      <c r="FS1028" s="3"/>
      <c r="FT1028" s="3"/>
      <c r="FU1028" s="3"/>
      <c r="FV1028" s="3"/>
      <c r="FW1028" s="3"/>
      <c r="FX1028" s="3"/>
      <c r="FY1028" s="3"/>
    </row>
    <row r="1029" spans="7:181" ht="15" x14ac:dyDescent="0.25">
      <c r="G1029" s="2"/>
      <c r="H1029" s="2"/>
      <c r="I1029" s="2"/>
      <c r="J1029" s="2"/>
      <c r="K1029" s="2"/>
      <c r="L1029" s="3"/>
      <c r="M1029" s="3"/>
      <c r="N1029" s="3"/>
      <c r="O1029" s="3"/>
      <c r="P1029" s="3"/>
      <c r="Q1029" s="3"/>
      <c r="R1029" s="3"/>
      <c r="S1029" s="3"/>
      <c r="T1029" s="3"/>
      <c r="U1029" s="4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4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4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4"/>
      <c r="BI1029" s="3"/>
      <c r="BJ1029" s="3"/>
      <c r="BK1029" s="3"/>
      <c r="BL1029" s="3"/>
      <c r="BM1029" s="3"/>
      <c r="BN1029" s="3"/>
      <c r="BO1029" s="3"/>
      <c r="BP1029" s="3"/>
      <c r="BQ1029" s="3"/>
      <c r="BR1029" s="3"/>
      <c r="BS1029" s="3"/>
      <c r="BT1029" s="3"/>
      <c r="BU1029" s="3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  <c r="DI1029" s="3"/>
      <c r="DJ1029" s="3"/>
      <c r="DK1029" s="3"/>
      <c r="DL1029" s="3"/>
      <c r="DM1029" s="3"/>
      <c r="DN1029" s="3"/>
      <c r="DO1029" s="3"/>
      <c r="DP1029" s="3"/>
      <c r="DQ1029" s="3"/>
      <c r="DR1029" s="3"/>
      <c r="DS1029" s="3"/>
      <c r="DT1029" s="3"/>
      <c r="DU1029" s="3"/>
      <c r="DV1029" s="3"/>
      <c r="DW1029" s="3"/>
      <c r="DX1029" s="3"/>
      <c r="DY1029" s="3"/>
      <c r="DZ1029" s="3"/>
      <c r="EA1029" s="3"/>
      <c r="EB1029" s="3"/>
      <c r="EC1029" s="3"/>
      <c r="ED1029" s="3"/>
      <c r="EE1029" s="3"/>
      <c r="EF1029" s="3"/>
      <c r="EG1029" s="3"/>
      <c r="EH1029" s="3"/>
      <c r="EI1029" s="3"/>
      <c r="EJ1029" s="3"/>
      <c r="EK1029" s="3"/>
      <c r="EL1029" s="3"/>
      <c r="EM1029" s="3"/>
      <c r="EN1029" s="3"/>
      <c r="EO1029" s="3"/>
      <c r="EP1029" s="3"/>
      <c r="EQ1029" s="3"/>
      <c r="ER1029" s="3"/>
      <c r="ES1029" s="3"/>
      <c r="ET1029" s="3"/>
      <c r="EU1029" s="3"/>
      <c r="EV1029" s="3"/>
      <c r="EW1029" s="3"/>
      <c r="EX1029" s="3"/>
      <c r="EY1029" s="3"/>
      <c r="EZ1029" s="3"/>
      <c r="FA1029" s="3"/>
      <c r="FB1029" s="3"/>
      <c r="FC1029" s="3"/>
      <c r="FD1029" s="3"/>
      <c r="FE1029" s="3"/>
      <c r="FF1029" s="3"/>
      <c r="FG1029" s="3"/>
      <c r="FH1029" s="3"/>
      <c r="FI1029" s="3"/>
      <c r="FJ1029" s="3"/>
      <c r="FK1029" s="3"/>
      <c r="FL1029" s="3"/>
      <c r="FM1029" s="3"/>
      <c r="FN1029" s="3"/>
      <c r="FO1029" s="3"/>
      <c r="FP1029" s="3"/>
      <c r="FQ1029" s="3"/>
      <c r="FR1029" s="3"/>
      <c r="FS1029" s="3"/>
      <c r="FT1029" s="3"/>
      <c r="FU1029" s="3"/>
      <c r="FV1029" s="3"/>
      <c r="FW1029" s="3"/>
      <c r="FX1029" s="3"/>
      <c r="FY1029" s="3"/>
    </row>
    <row r="1030" spans="7:181" ht="15" x14ac:dyDescent="0.25">
      <c r="G1030" s="2"/>
      <c r="H1030" s="2"/>
      <c r="I1030" s="2"/>
      <c r="J1030" s="2"/>
      <c r="K1030" s="2"/>
      <c r="L1030" s="3"/>
      <c r="M1030" s="3"/>
      <c r="N1030" s="3"/>
      <c r="O1030" s="3"/>
      <c r="P1030" s="3"/>
      <c r="Q1030" s="3"/>
      <c r="R1030" s="3"/>
      <c r="S1030" s="3"/>
      <c r="T1030" s="3"/>
      <c r="U1030" s="4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4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4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4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  <c r="DI1030" s="3"/>
      <c r="DJ1030" s="3"/>
      <c r="DK1030" s="3"/>
      <c r="DL1030" s="3"/>
      <c r="DM1030" s="3"/>
      <c r="DN1030" s="3"/>
      <c r="DO1030" s="3"/>
      <c r="DP1030" s="3"/>
      <c r="DQ1030" s="3"/>
      <c r="DR1030" s="3"/>
      <c r="DS1030" s="3"/>
      <c r="DT1030" s="3"/>
      <c r="DU1030" s="3"/>
      <c r="DV1030" s="3"/>
      <c r="DW1030" s="3"/>
      <c r="DX1030" s="3"/>
      <c r="DY1030" s="3"/>
      <c r="DZ1030" s="3"/>
      <c r="EA1030" s="3"/>
      <c r="EB1030" s="3"/>
      <c r="EC1030" s="3"/>
      <c r="ED1030" s="3"/>
      <c r="EE1030" s="3"/>
      <c r="EF1030" s="3"/>
      <c r="EG1030" s="3"/>
      <c r="EH1030" s="3"/>
      <c r="EI1030" s="3"/>
      <c r="EJ1030" s="3"/>
      <c r="EK1030" s="3"/>
      <c r="EL1030" s="3"/>
      <c r="EM1030" s="3"/>
      <c r="EN1030" s="3"/>
      <c r="EO1030" s="3"/>
      <c r="EP1030" s="3"/>
      <c r="EQ1030" s="3"/>
      <c r="ER1030" s="3"/>
      <c r="ES1030" s="3"/>
      <c r="ET1030" s="3"/>
      <c r="EU1030" s="3"/>
      <c r="EV1030" s="3"/>
      <c r="EW1030" s="3"/>
      <c r="EX1030" s="3"/>
      <c r="EY1030" s="3"/>
      <c r="EZ1030" s="3"/>
      <c r="FA1030" s="3"/>
      <c r="FB1030" s="3"/>
      <c r="FC1030" s="3"/>
      <c r="FD1030" s="3"/>
      <c r="FE1030" s="3"/>
      <c r="FF1030" s="3"/>
      <c r="FG1030" s="3"/>
      <c r="FH1030" s="3"/>
      <c r="FI1030" s="3"/>
      <c r="FJ1030" s="3"/>
      <c r="FK1030" s="3"/>
      <c r="FL1030" s="3"/>
      <c r="FM1030" s="3"/>
      <c r="FN1030" s="3"/>
      <c r="FO1030" s="3"/>
      <c r="FP1030" s="3"/>
      <c r="FQ1030" s="3"/>
      <c r="FR1030" s="3"/>
      <c r="FS1030" s="3"/>
      <c r="FT1030" s="3"/>
      <c r="FU1030" s="3"/>
      <c r="FV1030" s="3"/>
      <c r="FW1030" s="3"/>
      <c r="FX1030" s="3"/>
      <c r="FY1030" s="3"/>
    </row>
    <row r="1031" spans="7:181" ht="15" x14ac:dyDescent="0.25">
      <c r="G1031" s="2"/>
      <c r="H1031" s="2"/>
      <c r="I1031" s="2"/>
      <c r="J1031" s="2"/>
      <c r="K1031" s="2"/>
      <c r="L1031" s="3"/>
      <c r="M1031" s="3"/>
      <c r="N1031" s="3"/>
      <c r="O1031" s="3"/>
      <c r="P1031" s="3"/>
      <c r="Q1031" s="3"/>
      <c r="R1031" s="3"/>
      <c r="S1031" s="3"/>
      <c r="T1031" s="3"/>
      <c r="U1031" s="4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4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4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4"/>
      <c r="BI1031" s="3"/>
      <c r="BJ1031" s="3"/>
      <c r="BK1031" s="3"/>
      <c r="BL1031" s="3"/>
      <c r="BM1031" s="3"/>
      <c r="BN1031" s="3"/>
      <c r="BO1031" s="3"/>
      <c r="BP1031" s="3"/>
      <c r="BQ1031" s="3"/>
      <c r="BR1031" s="3"/>
      <c r="BS1031" s="3"/>
      <c r="BT1031" s="3"/>
      <c r="BU1031" s="3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  <c r="DI1031" s="3"/>
      <c r="DJ1031" s="3"/>
      <c r="DK1031" s="3"/>
      <c r="DL1031" s="3"/>
      <c r="DM1031" s="3"/>
      <c r="DN1031" s="3"/>
      <c r="DO1031" s="3"/>
      <c r="DP1031" s="3"/>
      <c r="DQ1031" s="3"/>
      <c r="DR1031" s="3"/>
      <c r="DS1031" s="3"/>
      <c r="DT1031" s="3"/>
      <c r="DU1031" s="3"/>
      <c r="DV1031" s="3"/>
      <c r="DW1031" s="3"/>
      <c r="DX1031" s="3"/>
      <c r="DY1031" s="3"/>
      <c r="DZ1031" s="3"/>
      <c r="EA1031" s="3"/>
      <c r="EB1031" s="3"/>
      <c r="EC1031" s="3"/>
      <c r="ED1031" s="3"/>
      <c r="EE1031" s="3"/>
      <c r="EF1031" s="3"/>
      <c r="EG1031" s="3"/>
      <c r="EH1031" s="3"/>
      <c r="EI1031" s="3"/>
      <c r="EJ1031" s="3"/>
      <c r="EK1031" s="3"/>
      <c r="EL1031" s="3"/>
      <c r="EM1031" s="3"/>
      <c r="EN1031" s="3"/>
      <c r="EO1031" s="3"/>
      <c r="EP1031" s="3"/>
      <c r="EQ1031" s="3"/>
      <c r="ER1031" s="3"/>
      <c r="ES1031" s="3"/>
      <c r="ET1031" s="3"/>
      <c r="EU1031" s="3"/>
      <c r="EV1031" s="3"/>
      <c r="EW1031" s="3"/>
      <c r="EX1031" s="3"/>
      <c r="EY1031" s="3"/>
      <c r="EZ1031" s="3"/>
      <c r="FA1031" s="3"/>
      <c r="FB1031" s="3"/>
      <c r="FC1031" s="3"/>
      <c r="FD1031" s="3"/>
      <c r="FE1031" s="3"/>
      <c r="FF1031" s="3"/>
      <c r="FG1031" s="3"/>
      <c r="FH1031" s="3"/>
      <c r="FI1031" s="3"/>
      <c r="FJ1031" s="3"/>
      <c r="FK1031" s="3"/>
      <c r="FL1031" s="3"/>
      <c r="FM1031" s="3"/>
      <c r="FN1031" s="3"/>
      <c r="FO1031" s="3"/>
      <c r="FP1031" s="3"/>
      <c r="FQ1031" s="3"/>
      <c r="FR1031" s="3"/>
      <c r="FS1031" s="3"/>
      <c r="FT1031" s="3"/>
      <c r="FU1031" s="3"/>
      <c r="FV1031" s="3"/>
      <c r="FW1031" s="3"/>
      <c r="FX1031" s="3"/>
      <c r="FY1031" s="3"/>
    </row>
    <row r="1032" spans="7:181" ht="15" x14ac:dyDescent="0.25">
      <c r="G1032" s="2"/>
      <c r="H1032" s="2"/>
      <c r="I1032" s="2"/>
      <c r="J1032" s="2"/>
      <c r="K1032" s="2"/>
      <c r="L1032" s="3"/>
      <c r="M1032" s="3"/>
      <c r="N1032" s="3"/>
      <c r="O1032" s="3"/>
      <c r="P1032" s="3"/>
      <c r="Q1032" s="3"/>
      <c r="R1032" s="3"/>
      <c r="S1032" s="3"/>
      <c r="T1032" s="3"/>
      <c r="U1032" s="4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4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4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4"/>
      <c r="BI1032" s="3"/>
      <c r="BJ1032" s="3"/>
      <c r="BK1032" s="3"/>
      <c r="BL1032" s="3"/>
      <c r="BM1032" s="3"/>
      <c r="BN1032" s="3"/>
      <c r="BO1032" s="3"/>
      <c r="BP1032" s="3"/>
      <c r="BQ1032" s="3"/>
      <c r="BR1032" s="3"/>
      <c r="BS1032" s="3"/>
      <c r="BT1032" s="3"/>
      <c r="BU1032" s="3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  <c r="DI1032" s="3"/>
      <c r="DJ1032" s="3"/>
      <c r="DK1032" s="3"/>
      <c r="DL1032" s="3"/>
      <c r="DM1032" s="3"/>
      <c r="DN1032" s="3"/>
      <c r="DO1032" s="3"/>
      <c r="DP1032" s="3"/>
      <c r="DQ1032" s="3"/>
      <c r="DR1032" s="3"/>
      <c r="DS1032" s="3"/>
      <c r="DT1032" s="3"/>
      <c r="DU1032" s="3"/>
      <c r="DV1032" s="3"/>
      <c r="DW1032" s="3"/>
      <c r="DX1032" s="3"/>
      <c r="DY1032" s="3"/>
      <c r="DZ1032" s="3"/>
      <c r="EA1032" s="3"/>
      <c r="EB1032" s="3"/>
      <c r="EC1032" s="3"/>
      <c r="ED1032" s="3"/>
      <c r="EE1032" s="3"/>
      <c r="EF1032" s="3"/>
      <c r="EG1032" s="3"/>
      <c r="EH1032" s="3"/>
      <c r="EI1032" s="3"/>
      <c r="EJ1032" s="3"/>
      <c r="EK1032" s="3"/>
      <c r="EL1032" s="3"/>
      <c r="EM1032" s="3"/>
      <c r="EN1032" s="3"/>
      <c r="EO1032" s="3"/>
      <c r="EP1032" s="3"/>
      <c r="EQ1032" s="3"/>
      <c r="ER1032" s="3"/>
      <c r="ES1032" s="3"/>
      <c r="ET1032" s="3"/>
      <c r="EU1032" s="3"/>
      <c r="EV1032" s="3"/>
      <c r="EW1032" s="3"/>
      <c r="EX1032" s="3"/>
      <c r="EY1032" s="3"/>
      <c r="EZ1032" s="3"/>
      <c r="FA1032" s="3"/>
      <c r="FB1032" s="3"/>
      <c r="FC1032" s="3"/>
      <c r="FD1032" s="3"/>
      <c r="FE1032" s="3"/>
      <c r="FF1032" s="3"/>
      <c r="FG1032" s="3"/>
      <c r="FH1032" s="3"/>
      <c r="FI1032" s="3"/>
      <c r="FJ1032" s="3"/>
      <c r="FK1032" s="3"/>
      <c r="FL1032" s="3"/>
      <c r="FM1032" s="3"/>
      <c r="FN1032" s="3"/>
      <c r="FO1032" s="3"/>
      <c r="FP1032" s="3"/>
      <c r="FQ1032" s="3"/>
      <c r="FR1032" s="3"/>
      <c r="FS1032" s="3"/>
      <c r="FT1032" s="3"/>
      <c r="FU1032" s="3"/>
      <c r="FV1032" s="3"/>
      <c r="FW1032" s="3"/>
      <c r="FX1032" s="3"/>
      <c r="FY1032" s="3"/>
    </row>
    <row r="1033" spans="7:181" ht="15" x14ac:dyDescent="0.25">
      <c r="G1033" s="2"/>
      <c r="H1033" s="2"/>
      <c r="I1033" s="2"/>
      <c r="J1033" s="2"/>
      <c r="K1033" s="2"/>
      <c r="L1033" s="3"/>
      <c r="M1033" s="3"/>
      <c r="N1033" s="3"/>
      <c r="O1033" s="3"/>
      <c r="P1033" s="3"/>
      <c r="Q1033" s="3"/>
      <c r="R1033" s="3"/>
      <c r="S1033" s="3"/>
      <c r="T1033" s="3"/>
      <c r="U1033" s="4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4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4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4"/>
      <c r="BI1033" s="3"/>
      <c r="BJ1033" s="3"/>
      <c r="BK1033" s="3"/>
      <c r="BL1033" s="3"/>
      <c r="BM1033" s="3"/>
      <c r="BN1033" s="3"/>
      <c r="BO1033" s="3"/>
      <c r="BP1033" s="3"/>
      <c r="BQ1033" s="3"/>
      <c r="BR1033" s="3"/>
      <c r="BS1033" s="3"/>
      <c r="BT1033" s="3"/>
      <c r="BU1033" s="3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  <c r="DI1033" s="3"/>
      <c r="DJ1033" s="3"/>
      <c r="DK1033" s="3"/>
      <c r="DL1033" s="3"/>
      <c r="DM1033" s="3"/>
      <c r="DN1033" s="3"/>
      <c r="DO1033" s="3"/>
      <c r="DP1033" s="3"/>
      <c r="DQ1033" s="3"/>
      <c r="DR1033" s="3"/>
      <c r="DS1033" s="3"/>
      <c r="DT1033" s="3"/>
      <c r="DU1033" s="3"/>
      <c r="DV1033" s="3"/>
      <c r="DW1033" s="3"/>
      <c r="DX1033" s="3"/>
      <c r="DY1033" s="3"/>
      <c r="DZ1033" s="3"/>
      <c r="EA1033" s="3"/>
      <c r="EB1033" s="3"/>
      <c r="EC1033" s="3"/>
      <c r="ED1033" s="3"/>
      <c r="EE1033" s="3"/>
      <c r="EF1033" s="3"/>
      <c r="EG1033" s="3"/>
      <c r="EH1033" s="3"/>
      <c r="EI1033" s="3"/>
      <c r="EJ1033" s="3"/>
      <c r="EK1033" s="3"/>
      <c r="EL1033" s="3"/>
      <c r="EM1033" s="3"/>
      <c r="EN1033" s="3"/>
      <c r="EO1033" s="3"/>
      <c r="EP1033" s="3"/>
      <c r="EQ1033" s="3"/>
      <c r="ER1033" s="3"/>
      <c r="ES1033" s="3"/>
      <c r="ET1033" s="3"/>
      <c r="EU1033" s="3"/>
      <c r="EV1033" s="3"/>
      <c r="EW1033" s="3"/>
      <c r="EX1033" s="3"/>
      <c r="EY1033" s="3"/>
      <c r="EZ1033" s="3"/>
      <c r="FA1033" s="3"/>
      <c r="FB1033" s="3"/>
      <c r="FC1033" s="3"/>
      <c r="FD1033" s="3"/>
      <c r="FE1033" s="3"/>
      <c r="FF1033" s="3"/>
      <c r="FG1033" s="3"/>
      <c r="FH1033" s="3"/>
      <c r="FI1033" s="3"/>
      <c r="FJ1033" s="3"/>
      <c r="FK1033" s="3"/>
      <c r="FL1033" s="3"/>
      <c r="FM1033" s="3"/>
      <c r="FN1033" s="3"/>
      <c r="FO1033" s="3"/>
      <c r="FP1033" s="3"/>
      <c r="FQ1033" s="3"/>
      <c r="FR1033" s="3"/>
      <c r="FS1033" s="3"/>
      <c r="FT1033" s="3"/>
      <c r="FU1033" s="3"/>
      <c r="FV1033" s="3"/>
      <c r="FW1033" s="3"/>
      <c r="FX1033" s="3"/>
      <c r="FY1033" s="3"/>
    </row>
    <row r="1034" spans="7:181" ht="15" x14ac:dyDescent="0.25">
      <c r="G1034" s="2"/>
      <c r="H1034" s="2"/>
      <c r="I1034" s="2"/>
      <c r="J1034" s="2"/>
      <c r="K1034" s="2"/>
      <c r="L1034" s="3"/>
      <c r="M1034" s="3"/>
      <c r="N1034" s="3"/>
      <c r="O1034" s="3"/>
      <c r="P1034" s="3"/>
      <c r="Q1034" s="3"/>
      <c r="R1034" s="3"/>
      <c r="S1034" s="3"/>
      <c r="T1034" s="3"/>
      <c r="U1034" s="4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4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4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4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  <c r="DI1034" s="3"/>
      <c r="DJ1034" s="3"/>
      <c r="DK1034" s="3"/>
      <c r="DL1034" s="3"/>
      <c r="DM1034" s="3"/>
      <c r="DN1034" s="3"/>
      <c r="DO1034" s="3"/>
      <c r="DP1034" s="3"/>
      <c r="DQ1034" s="3"/>
      <c r="DR1034" s="3"/>
      <c r="DS1034" s="3"/>
      <c r="DT1034" s="3"/>
      <c r="DU1034" s="3"/>
      <c r="DV1034" s="3"/>
      <c r="DW1034" s="3"/>
      <c r="DX1034" s="3"/>
      <c r="DY1034" s="3"/>
      <c r="DZ1034" s="3"/>
      <c r="EA1034" s="3"/>
      <c r="EB1034" s="3"/>
      <c r="EC1034" s="3"/>
      <c r="ED1034" s="3"/>
      <c r="EE1034" s="3"/>
      <c r="EF1034" s="3"/>
      <c r="EG1034" s="3"/>
      <c r="EH1034" s="3"/>
      <c r="EI1034" s="3"/>
      <c r="EJ1034" s="3"/>
      <c r="EK1034" s="3"/>
      <c r="EL1034" s="3"/>
      <c r="EM1034" s="3"/>
      <c r="EN1034" s="3"/>
      <c r="EO1034" s="3"/>
      <c r="EP1034" s="3"/>
      <c r="EQ1034" s="3"/>
      <c r="ER1034" s="3"/>
      <c r="ES1034" s="3"/>
      <c r="ET1034" s="3"/>
      <c r="EU1034" s="3"/>
      <c r="EV1034" s="3"/>
      <c r="EW1034" s="3"/>
      <c r="EX1034" s="3"/>
      <c r="EY1034" s="3"/>
      <c r="EZ1034" s="3"/>
      <c r="FA1034" s="3"/>
      <c r="FB1034" s="3"/>
      <c r="FC1034" s="3"/>
      <c r="FD1034" s="3"/>
      <c r="FE1034" s="3"/>
      <c r="FF1034" s="3"/>
      <c r="FG1034" s="3"/>
      <c r="FH1034" s="3"/>
      <c r="FI1034" s="3"/>
      <c r="FJ1034" s="3"/>
      <c r="FK1034" s="3"/>
      <c r="FL1034" s="3"/>
      <c r="FM1034" s="3"/>
      <c r="FN1034" s="3"/>
      <c r="FO1034" s="3"/>
      <c r="FP1034" s="3"/>
      <c r="FQ1034" s="3"/>
      <c r="FR1034" s="3"/>
      <c r="FS1034" s="3"/>
      <c r="FT1034" s="3"/>
      <c r="FU1034" s="3"/>
      <c r="FV1034" s="3"/>
      <c r="FW1034" s="3"/>
      <c r="FX1034" s="3"/>
      <c r="FY1034" s="3"/>
    </row>
    <row r="1035" spans="7:181" ht="15" x14ac:dyDescent="0.25">
      <c r="G1035" s="2"/>
      <c r="H1035" s="2"/>
      <c r="I1035" s="2"/>
      <c r="J1035" s="2"/>
      <c r="K1035" s="2"/>
      <c r="L1035" s="3"/>
      <c r="M1035" s="3"/>
      <c r="N1035" s="3"/>
      <c r="O1035" s="3"/>
      <c r="P1035" s="3"/>
      <c r="Q1035" s="3"/>
      <c r="R1035" s="3"/>
      <c r="S1035" s="3"/>
      <c r="T1035" s="3"/>
      <c r="U1035" s="4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4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4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4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  <c r="DI1035" s="3"/>
      <c r="DJ1035" s="3"/>
      <c r="DK1035" s="3"/>
      <c r="DL1035" s="3"/>
      <c r="DM1035" s="3"/>
      <c r="DN1035" s="3"/>
      <c r="DO1035" s="3"/>
      <c r="DP1035" s="3"/>
      <c r="DQ1035" s="3"/>
      <c r="DR1035" s="3"/>
      <c r="DS1035" s="3"/>
      <c r="DT1035" s="3"/>
      <c r="DU1035" s="3"/>
      <c r="DV1035" s="3"/>
      <c r="DW1035" s="3"/>
      <c r="DX1035" s="3"/>
      <c r="DY1035" s="3"/>
      <c r="DZ1035" s="3"/>
      <c r="EA1035" s="3"/>
      <c r="EB1035" s="3"/>
      <c r="EC1035" s="3"/>
      <c r="ED1035" s="3"/>
      <c r="EE1035" s="3"/>
      <c r="EF1035" s="3"/>
      <c r="EG1035" s="3"/>
      <c r="EH1035" s="3"/>
      <c r="EI1035" s="3"/>
      <c r="EJ1035" s="3"/>
      <c r="EK1035" s="3"/>
      <c r="EL1035" s="3"/>
      <c r="EM1035" s="3"/>
      <c r="EN1035" s="3"/>
      <c r="EO1035" s="3"/>
      <c r="EP1035" s="3"/>
      <c r="EQ1035" s="3"/>
      <c r="ER1035" s="3"/>
      <c r="ES1035" s="3"/>
      <c r="ET1035" s="3"/>
      <c r="EU1035" s="3"/>
      <c r="EV1035" s="3"/>
      <c r="EW1035" s="3"/>
      <c r="EX1035" s="3"/>
      <c r="EY1035" s="3"/>
      <c r="EZ1035" s="3"/>
      <c r="FA1035" s="3"/>
      <c r="FB1035" s="3"/>
      <c r="FC1035" s="3"/>
      <c r="FD1035" s="3"/>
      <c r="FE1035" s="3"/>
      <c r="FF1035" s="3"/>
      <c r="FG1035" s="3"/>
      <c r="FH1035" s="3"/>
      <c r="FI1035" s="3"/>
      <c r="FJ1035" s="3"/>
      <c r="FK1035" s="3"/>
      <c r="FL1035" s="3"/>
      <c r="FM1035" s="3"/>
      <c r="FN1035" s="3"/>
      <c r="FO1035" s="3"/>
      <c r="FP1035" s="3"/>
      <c r="FQ1035" s="3"/>
      <c r="FR1035" s="3"/>
      <c r="FS1035" s="3"/>
      <c r="FT1035" s="3"/>
      <c r="FU1035" s="3"/>
      <c r="FV1035" s="3"/>
      <c r="FW1035" s="3"/>
      <c r="FX1035" s="3"/>
      <c r="FY1035" s="3"/>
    </row>
    <row r="1036" spans="7:181" ht="15" x14ac:dyDescent="0.25">
      <c r="G1036" s="2"/>
      <c r="H1036" s="2"/>
      <c r="I1036" s="2"/>
      <c r="J1036" s="2"/>
      <c r="K1036" s="2"/>
      <c r="L1036" s="3"/>
      <c r="M1036" s="3"/>
      <c r="N1036" s="3"/>
      <c r="O1036" s="3"/>
      <c r="P1036" s="3"/>
      <c r="Q1036" s="3"/>
      <c r="R1036" s="3"/>
      <c r="S1036" s="3"/>
      <c r="T1036" s="3"/>
      <c r="U1036" s="4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4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4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4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  <c r="DI1036" s="3"/>
      <c r="DJ1036" s="3"/>
      <c r="DK1036" s="3"/>
      <c r="DL1036" s="3"/>
      <c r="DM1036" s="3"/>
      <c r="DN1036" s="3"/>
      <c r="DO1036" s="3"/>
      <c r="DP1036" s="3"/>
      <c r="DQ1036" s="3"/>
      <c r="DR1036" s="3"/>
      <c r="DS1036" s="3"/>
      <c r="DT1036" s="3"/>
      <c r="DU1036" s="3"/>
      <c r="DV1036" s="3"/>
      <c r="DW1036" s="3"/>
      <c r="DX1036" s="3"/>
      <c r="DY1036" s="3"/>
      <c r="DZ1036" s="3"/>
      <c r="EA1036" s="3"/>
      <c r="EB1036" s="3"/>
      <c r="EC1036" s="3"/>
      <c r="ED1036" s="3"/>
      <c r="EE1036" s="3"/>
      <c r="EF1036" s="3"/>
      <c r="EG1036" s="3"/>
      <c r="EH1036" s="3"/>
      <c r="EI1036" s="3"/>
      <c r="EJ1036" s="3"/>
      <c r="EK1036" s="3"/>
      <c r="EL1036" s="3"/>
      <c r="EM1036" s="3"/>
      <c r="EN1036" s="3"/>
      <c r="EO1036" s="3"/>
      <c r="EP1036" s="3"/>
      <c r="EQ1036" s="3"/>
      <c r="ER1036" s="3"/>
      <c r="ES1036" s="3"/>
      <c r="ET1036" s="3"/>
      <c r="EU1036" s="3"/>
      <c r="EV1036" s="3"/>
      <c r="EW1036" s="3"/>
      <c r="EX1036" s="3"/>
      <c r="EY1036" s="3"/>
      <c r="EZ1036" s="3"/>
      <c r="FA1036" s="3"/>
      <c r="FB1036" s="3"/>
      <c r="FC1036" s="3"/>
      <c r="FD1036" s="3"/>
      <c r="FE1036" s="3"/>
      <c r="FF1036" s="3"/>
      <c r="FG1036" s="3"/>
      <c r="FH1036" s="3"/>
      <c r="FI1036" s="3"/>
      <c r="FJ1036" s="3"/>
      <c r="FK1036" s="3"/>
      <c r="FL1036" s="3"/>
      <c r="FM1036" s="3"/>
      <c r="FN1036" s="3"/>
      <c r="FO1036" s="3"/>
      <c r="FP1036" s="3"/>
      <c r="FQ1036" s="3"/>
      <c r="FR1036" s="3"/>
      <c r="FS1036" s="3"/>
      <c r="FT1036" s="3"/>
      <c r="FU1036" s="3"/>
      <c r="FV1036" s="3"/>
      <c r="FW1036" s="3"/>
      <c r="FX1036" s="3"/>
      <c r="FY1036" s="3"/>
    </row>
    <row r="1037" spans="7:181" ht="15" x14ac:dyDescent="0.25">
      <c r="G1037" s="2"/>
      <c r="H1037" s="2"/>
      <c r="I1037" s="2"/>
      <c r="J1037" s="2"/>
      <c r="K1037" s="2"/>
      <c r="L1037" s="3"/>
      <c r="M1037" s="3"/>
      <c r="N1037" s="3"/>
      <c r="O1037" s="3"/>
      <c r="P1037" s="3"/>
      <c r="Q1037" s="3"/>
      <c r="R1037" s="3"/>
      <c r="S1037" s="3"/>
      <c r="T1037" s="3"/>
      <c r="U1037" s="4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4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4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4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  <c r="DI1037" s="3"/>
      <c r="DJ1037" s="3"/>
      <c r="DK1037" s="3"/>
      <c r="DL1037" s="3"/>
      <c r="DM1037" s="3"/>
      <c r="DN1037" s="3"/>
      <c r="DO1037" s="3"/>
      <c r="DP1037" s="3"/>
      <c r="DQ1037" s="3"/>
      <c r="DR1037" s="3"/>
      <c r="DS1037" s="3"/>
      <c r="DT1037" s="3"/>
      <c r="DU1037" s="3"/>
      <c r="DV1037" s="3"/>
      <c r="DW1037" s="3"/>
      <c r="DX1037" s="3"/>
      <c r="DY1037" s="3"/>
      <c r="DZ1037" s="3"/>
      <c r="EA1037" s="3"/>
      <c r="EB1037" s="3"/>
      <c r="EC1037" s="3"/>
      <c r="ED1037" s="3"/>
      <c r="EE1037" s="3"/>
      <c r="EF1037" s="3"/>
      <c r="EG1037" s="3"/>
      <c r="EH1037" s="3"/>
      <c r="EI1037" s="3"/>
      <c r="EJ1037" s="3"/>
      <c r="EK1037" s="3"/>
      <c r="EL1037" s="3"/>
      <c r="EM1037" s="3"/>
      <c r="EN1037" s="3"/>
      <c r="EO1037" s="3"/>
      <c r="EP1037" s="3"/>
      <c r="EQ1037" s="3"/>
      <c r="ER1037" s="3"/>
      <c r="ES1037" s="3"/>
      <c r="ET1037" s="3"/>
      <c r="EU1037" s="3"/>
      <c r="EV1037" s="3"/>
      <c r="EW1037" s="3"/>
      <c r="EX1037" s="3"/>
      <c r="EY1037" s="3"/>
      <c r="EZ1037" s="3"/>
      <c r="FA1037" s="3"/>
      <c r="FB1037" s="3"/>
      <c r="FC1037" s="3"/>
      <c r="FD1037" s="3"/>
      <c r="FE1037" s="3"/>
      <c r="FF1037" s="3"/>
      <c r="FG1037" s="3"/>
      <c r="FH1037" s="3"/>
      <c r="FI1037" s="3"/>
      <c r="FJ1037" s="3"/>
      <c r="FK1037" s="3"/>
      <c r="FL1037" s="3"/>
      <c r="FM1037" s="3"/>
      <c r="FN1037" s="3"/>
      <c r="FO1037" s="3"/>
      <c r="FP1037" s="3"/>
      <c r="FQ1037" s="3"/>
      <c r="FR1037" s="3"/>
      <c r="FS1037" s="3"/>
      <c r="FT1037" s="3"/>
      <c r="FU1037" s="3"/>
      <c r="FV1037" s="3"/>
      <c r="FW1037" s="3"/>
      <c r="FX1037" s="3"/>
      <c r="FY1037" s="3"/>
    </row>
    <row r="1038" spans="7:181" ht="15" x14ac:dyDescent="0.25">
      <c r="G1038" s="2"/>
      <c r="H1038" s="2"/>
      <c r="I1038" s="2"/>
      <c r="J1038" s="2"/>
      <c r="K1038" s="2"/>
      <c r="L1038" s="3"/>
      <c r="M1038" s="3"/>
      <c r="N1038" s="3"/>
      <c r="O1038" s="3"/>
      <c r="P1038" s="3"/>
      <c r="Q1038" s="3"/>
      <c r="R1038" s="3"/>
      <c r="S1038" s="3"/>
      <c r="T1038" s="3"/>
      <c r="U1038" s="4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4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4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4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  <c r="DI1038" s="3"/>
      <c r="DJ1038" s="3"/>
      <c r="DK1038" s="3"/>
      <c r="DL1038" s="3"/>
      <c r="DM1038" s="3"/>
      <c r="DN1038" s="3"/>
      <c r="DO1038" s="3"/>
      <c r="DP1038" s="3"/>
      <c r="DQ1038" s="3"/>
      <c r="DR1038" s="3"/>
      <c r="DS1038" s="3"/>
      <c r="DT1038" s="3"/>
      <c r="DU1038" s="3"/>
      <c r="DV1038" s="3"/>
      <c r="DW1038" s="3"/>
      <c r="DX1038" s="3"/>
      <c r="DY1038" s="3"/>
      <c r="DZ1038" s="3"/>
      <c r="EA1038" s="3"/>
      <c r="EB1038" s="3"/>
      <c r="EC1038" s="3"/>
      <c r="ED1038" s="3"/>
      <c r="EE1038" s="3"/>
      <c r="EF1038" s="3"/>
      <c r="EG1038" s="3"/>
      <c r="EH1038" s="3"/>
      <c r="EI1038" s="3"/>
      <c r="EJ1038" s="3"/>
      <c r="EK1038" s="3"/>
      <c r="EL1038" s="3"/>
      <c r="EM1038" s="3"/>
      <c r="EN1038" s="3"/>
      <c r="EO1038" s="3"/>
      <c r="EP1038" s="3"/>
      <c r="EQ1038" s="3"/>
      <c r="ER1038" s="3"/>
      <c r="ES1038" s="3"/>
      <c r="ET1038" s="3"/>
      <c r="EU1038" s="3"/>
      <c r="EV1038" s="3"/>
      <c r="EW1038" s="3"/>
      <c r="EX1038" s="3"/>
      <c r="EY1038" s="3"/>
      <c r="EZ1038" s="3"/>
      <c r="FA1038" s="3"/>
      <c r="FB1038" s="3"/>
      <c r="FC1038" s="3"/>
      <c r="FD1038" s="3"/>
      <c r="FE1038" s="3"/>
      <c r="FF1038" s="3"/>
      <c r="FG1038" s="3"/>
      <c r="FH1038" s="3"/>
      <c r="FI1038" s="3"/>
      <c r="FJ1038" s="3"/>
      <c r="FK1038" s="3"/>
      <c r="FL1038" s="3"/>
      <c r="FM1038" s="3"/>
      <c r="FN1038" s="3"/>
      <c r="FO1038" s="3"/>
      <c r="FP1038" s="3"/>
      <c r="FQ1038" s="3"/>
      <c r="FR1038" s="3"/>
      <c r="FS1038" s="3"/>
      <c r="FT1038" s="3"/>
      <c r="FU1038" s="3"/>
      <c r="FV1038" s="3"/>
      <c r="FW1038" s="3"/>
      <c r="FX1038" s="3"/>
      <c r="FY1038" s="3"/>
    </row>
    <row r="1039" spans="7:181" ht="15" x14ac:dyDescent="0.25">
      <c r="G1039" s="2"/>
      <c r="H1039" s="2"/>
      <c r="I1039" s="2"/>
      <c r="J1039" s="2"/>
      <c r="K1039" s="2"/>
      <c r="L1039" s="3"/>
      <c r="M1039" s="3"/>
      <c r="N1039" s="3"/>
      <c r="O1039" s="3"/>
      <c r="P1039" s="3"/>
      <c r="Q1039" s="3"/>
      <c r="R1039" s="3"/>
      <c r="S1039" s="3"/>
      <c r="T1039" s="3"/>
      <c r="U1039" s="4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4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4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4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  <c r="DI1039" s="3"/>
      <c r="DJ1039" s="3"/>
      <c r="DK1039" s="3"/>
      <c r="DL1039" s="3"/>
      <c r="DM1039" s="3"/>
      <c r="DN1039" s="3"/>
      <c r="DO1039" s="3"/>
      <c r="DP1039" s="3"/>
      <c r="DQ1039" s="3"/>
      <c r="DR1039" s="3"/>
      <c r="DS1039" s="3"/>
      <c r="DT1039" s="3"/>
      <c r="DU1039" s="3"/>
      <c r="DV1039" s="3"/>
      <c r="DW1039" s="3"/>
      <c r="DX1039" s="3"/>
      <c r="DY1039" s="3"/>
      <c r="DZ1039" s="3"/>
      <c r="EA1039" s="3"/>
      <c r="EB1039" s="3"/>
      <c r="EC1039" s="3"/>
      <c r="ED1039" s="3"/>
      <c r="EE1039" s="3"/>
      <c r="EF1039" s="3"/>
      <c r="EG1039" s="3"/>
      <c r="EH1039" s="3"/>
      <c r="EI1039" s="3"/>
      <c r="EJ1039" s="3"/>
      <c r="EK1039" s="3"/>
      <c r="EL1039" s="3"/>
      <c r="EM1039" s="3"/>
      <c r="EN1039" s="3"/>
      <c r="EO1039" s="3"/>
      <c r="EP1039" s="3"/>
      <c r="EQ1039" s="3"/>
      <c r="ER1039" s="3"/>
      <c r="ES1039" s="3"/>
      <c r="ET1039" s="3"/>
      <c r="EU1039" s="3"/>
      <c r="EV1039" s="3"/>
      <c r="EW1039" s="3"/>
      <c r="EX1039" s="3"/>
      <c r="EY1039" s="3"/>
      <c r="EZ1039" s="3"/>
      <c r="FA1039" s="3"/>
      <c r="FB1039" s="3"/>
      <c r="FC1039" s="3"/>
      <c r="FD1039" s="3"/>
      <c r="FE1039" s="3"/>
      <c r="FF1039" s="3"/>
      <c r="FG1039" s="3"/>
      <c r="FH1039" s="3"/>
      <c r="FI1039" s="3"/>
      <c r="FJ1039" s="3"/>
      <c r="FK1039" s="3"/>
      <c r="FL1039" s="3"/>
      <c r="FM1039" s="3"/>
      <c r="FN1039" s="3"/>
      <c r="FO1039" s="3"/>
      <c r="FP1039" s="3"/>
      <c r="FQ1039" s="3"/>
      <c r="FR1039" s="3"/>
      <c r="FS1039" s="3"/>
      <c r="FT1039" s="3"/>
      <c r="FU1039" s="3"/>
      <c r="FV1039" s="3"/>
      <c r="FW1039" s="3"/>
      <c r="FX1039" s="3"/>
      <c r="FY1039" s="3"/>
    </row>
    <row r="1040" spans="7:181" ht="15" x14ac:dyDescent="0.25">
      <c r="G1040" s="2"/>
      <c r="H1040" s="2"/>
      <c r="I1040" s="2"/>
      <c r="J1040" s="2"/>
      <c r="K1040" s="2"/>
      <c r="L1040" s="3"/>
      <c r="M1040" s="3"/>
      <c r="N1040" s="3"/>
      <c r="O1040" s="3"/>
      <c r="P1040" s="3"/>
      <c r="Q1040" s="3"/>
      <c r="R1040" s="3"/>
      <c r="S1040" s="3"/>
      <c r="T1040" s="3"/>
      <c r="U1040" s="4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4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4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4"/>
      <c r="BI1040" s="3"/>
      <c r="BJ1040" s="3"/>
      <c r="BK1040" s="3"/>
      <c r="BL1040" s="3"/>
      <c r="BM1040" s="3"/>
      <c r="BN1040" s="3"/>
      <c r="BO1040" s="3"/>
      <c r="BP1040" s="3"/>
      <c r="BQ1040" s="3"/>
      <c r="BR1040" s="3"/>
      <c r="BS1040" s="3"/>
      <c r="BT1040" s="3"/>
      <c r="BU1040" s="3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  <c r="DI1040" s="3"/>
      <c r="DJ1040" s="3"/>
      <c r="DK1040" s="3"/>
      <c r="DL1040" s="3"/>
      <c r="DM1040" s="3"/>
      <c r="DN1040" s="3"/>
      <c r="DO1040" s="3"/>
      <c r="DP1040" s="3"/>
      <c r="DQ1040" s="3"/>
      <c r="DR1040" s="3"/>
      <c r="DS1040" s="3"/>
      <c r="DT1040" s="3"/>
      <c r="DU1040" s="3"/>
      <c r="DV1040" s="3"/>
      <c r="DW1040" s="3"/>
      <c r="DX1040" s="3"/>
      <c r="DY1040" s="3"/>
      <c r="DZ1040" s="3"/>
      <c r="EA1040" s="3"/>
      <c r="EB1040" s="3"/>
      <c r="EC1040" s="3"/>
      <c r="ED1040" s="3"/>
      <c r="EE1040" s="3"/>
      <c r="EF1040" s="3"/>
      <c r="EG1040" s="3"/>
      <c r="EH1040" s="3"/>
      <c r="EI1040" s="3"/>
      <c r="EJ1040" s="3"/>
      <c r="EK1040" s="3"/>
      <c r="EL1040" s="3"/>
      <c r="EM1040" s="3"/>
      <c r="EN1040" s="3"/>
      <c r="EO1040" s="3"/>
      <c r="EP1040" s="3"/>
      <c r="EQ1040" s="3"/>
      <c r="ER1040" s="3"/>
      <c r="ES1040" s="3"/>
      <c r="ET1040" s="3"/>
      <c r="EU1040" s="3"/>
      <c r="EV1040" s="3"/>
      <c r="EW1040" s="3"/>
      <c r="EX1040" s="3"/>
      <c r="EY1040" s="3"/>
      <c r="EZ1040" s="3"/>
      <c r="FA1040" s="3"/>
      <c r="FB1040" s="3"/>
      <c r="FC1040" s="3"/>
      <c r="FD1040" s="3"/>
      <c r="FE1040" s="3"/>
      <c r="FF1040" s="3"/>
      <c r="FG1040" s="3"/>
      <c r="FH1040" s="3"/>
      <c r="FI1040" s="3"/>
      <c r="FJ1040" s="3"/>
      <c r="FK1040" s="3"/>
      <c r="FL1040" s="3"/>
      <c r="FM1040" s="3"/>
      <c r="FN1040" s="3"/>
      <c r="FO1040" s="3"/>
      <c r="FP1040" s="3"/>
      <c r="FQ1040" s="3"/>
      <c r="FR1040" s="3"/>
      <c r="FS1040" s="3"/>
      <c r="FT1040" s="3"/>
      <c r="FU1040" s="3"/>
      <c r="FV1040" s="3"/>
      <c r="FW1040" s="3"/>
      <c r="FX1040" s="3"/>
      <c r="FY1040" s="3"/>
    </row>
    <row r="1041" spans="7:181" ht="15" x14ac:dyDescent="0.25">
      <c r="G1041" s="2"/>
      <c r="H1041" s="2"/>
      <c r="I1041" s="2"/>
      <c r="J1041" s="2"/>
      <c r="K1041" s="2"/>
      <c r="L1041" s="3"/>
      <c r="M1041" s="3"/>
      <c r="N1041" s="3"/>
      <c r="O1041" s="3"/>
      <c r="P1041" s="3"/>
      <c r="Q1041" s="3"/>
      <c r="R1041" s="3"/>
      <c r="S1041" s="3"/>
      <c r="T1041" s="3"/>
      <c r="U1041" s="4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4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4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4"/>
      <c r="BI1041" s="3"/>
      <c r="BJ1041" s="3"/>
      <c r="BK1041" s="3"/>
      <c r="BL1041" s="3"/>
      <c r="BM1041" s="3"/>
      <c r="BN1041" s="3"/>
      <c r="BO1041" s="3"/>
      <c r="BP1041" s="3"/>
      <c r="BQ1041" s="3"/>
      <c r="BR1041" s="3"/>
      <c r="BS1041" s="3"/>
      <c r="BT1041" s="3"/>
      <c r="BU1041" s="3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  <c r="DI1041" s="3"/>
      <c r="DJ1041" s="3"/>
      <c r="DK1041" s="3"/>
      <c r="DL1041" s="3"/>
      <c r="DM1041" s="3"/>
      <c r="DN1041" s="3"/>
      <c r="DO1041" s="3"/>
      <c r="DP1041" s="3"/>
      <c r="DQ1041" s="3"/>
      <c r="DR1041" s="3"/>
      <c r="DS1041" s="3"/>
      <c r="DT1041" s="3"/>
      <c r="DU1041" s="3"/>
      <c r="DV1041" s="3"/>
      <c r="DW1041" s="3"/>
      <c r="DX1041" s="3"/>
      <c r="DY1041" s="3"/>
      <c r="DZ1041" s="3"/>
      <c r="EA1041" s="3"/>
      <c r="EB1041" s="3"/>
      <c r="EC1041" s="3"/>
      <c r="ED1041" s="3"/>
      <c r="EE1041" s="3"/>
      <c r="EF1041" s="3"/>
      <c r="EG1041" s="3"/>
      <c r="EH1041" s="3"/>
      <c r="EI1041" s="3"/>
      <c r="EJ1041" s="3"/>
      <c r="EK1041" s="3"/>
      <c r="EL1041" s="3"/>
      <c r="EM1041" s="3"/>
      <c r="EN1041" s="3"/>
      <c r="EO1041" s="3"/>
      <c r="EP1041" s="3"/>
      <c r="EQ1041" s="3"/>
      <c r="ER1041" s="3"/>
      <c r="ES1041" s="3"/>
      <c r="ET1041" s="3"/>
      <c r="EU1041" s="3"/>
      <c r="EV1041" s="3"/>
      <c r="EW1041" s="3"/>
      <c r="EX1041" s="3"/>
      <c r="EY1041" s="3"/>
      <c r="EZ1041" s="3"/>
      <c r="FA1041" s="3"/>
      <c r="FB1041" s="3"/>
      <c r="FC1041" s="3"/>
      <c r="FD1041" s="3"/>
      <c r="FE1041" s="3"/>
      <c r="FF1041" s="3"/>
      <c r="FG1041" s="3"/>
      <c r="FH1041" s="3"/>
      <c r="FI1041" s="3"/>
      <c r="FJ1041" s="3"/>
      <c r="FK1041" s="3"/>
      <c r="FL1041" s="3"/>
      <c r="FM1041" s="3"/>
      <c r="FN1041" s="3"/>
      <c r="FO1041" s="3"/>
      <c r="FP1041" s="3"/>
      <c r="FQ1041" s="3"/>
      <c r="FR1041" s="3"/>
      <c r="FS1041" s="3"/>
      <c r="FT1041" s="3"/>
      <c r="FU1041" s="3"/>
      <c r="FV1041" s="3"/>
      <c r="FW1041" s="3"/>
      <c r="FX1041" s="3"/>
      <c r="FY1041" s="3"/>
    </row>
    <row r="1042" spans="7:181" ht="15" x14ac:dyDescent="0.25">
      <c r="G1042" s="2"/>
      <c r="H1042" s="2"/>
      <c r="I1042" s="2"/>
      <c r="J1042" s="2"/>
      <c r="K1042" s="2"/>
      <c r="L1042" s="3"/>
      <c r="M1042" s="3"/>
      <c r="N1042" s="3"/>
      <c r="O1042" s="3"/>
      <c r="P1042" s="3"/>
      <c r="Q1042" s="3"/>
      <c r="R1042" s="3"/>
      <c r="S1042" s="3"/>
      <c r="T1042" s="3"/>
      <c r="U1042" s="4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4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4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4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  <c r="DI1042" s="3"/>
      <c r="DJ1042" s="3"/>
      <c r="DK1042" s="3"/>
      <c r="DL1042" s="3"/>
      <c r="DM1042" s="3"/>
      <c r="DN1042" s="3"/>
      <c r="DO1042" s="3"/>
      <c r="DP1042" s="3"/>
      <c r="DQ1042" s="3"/>
      <c r="DR1042" s="3"/>
      <c r="DS1042" s="3"/>
      <c r="DT1042" s="3"/>
      <c r="DU1042" s="3"/>
      <c r="DV1042" s="3"/>
      <c r="DW1042" s="3"/>
      <c r="DX1042" s="3"/>
      <c r="DY1042" s="3"/>
      <c r="DZ1042" s="3"/>
      <c r="EA1042" s="3"/>
      <c r="EB1042" s="3"/>
      <c r="EC1042" s="3"/>
      <c r="ED1042" s="3"/>
      <c r="EE1042" s="3"/>
      <c r="EF1042" s="3"/>
      <c r="EG1042" s="3"/>
      <c r="EH1042" s="3"/>
      <c r="EI1042" s="3"/>
      <c r="EJ1042" s="3"/>
      <c r="EK1042" s="3"/>
      <c r="EL1042" s="3"/>
      <c r="EM1042" s="3"/>
      <c r="EN1042" s="3"/>
      <c r="EO1042" s="3"/>
      <c r="EP1042" s="3"/>
      <c r="EQ1042" s="3"/>
      <c r="ER1042" s="3"/>
      <c r="ES1042" s="3"/>
      <c r="ET1042" s="3"/>
      <c r="EU1042" s="3"/>
      <c r="EV1042" s="3"/>
      <c r="EW1042" s="3"/>
      <c r="EX1042" s="3"/>
      <c r="EY1042" s="3"/>
      <c r="EZ1042" s="3"/>
      <c r="FA1042" s="3"/>
      <c r="FB1042" s="3"/>
      <c r="FC1042" s="3"/>
      <c r="FD1042" s="3"/>
      <c r="FE1042" s="3"/>
      <c r="FF1042" s="3"/>
      <c r="FG1042" s="3"/>
      <c r="FH1042" s="3"/>
      <c r="FI1042" s="3"/>
      <c r="FJ1042" s="3"/>
      <c r="FK1042" s="3"/>
      <c r="FL1042" s="3"/>
      <c r="FM1042" s="3"/>
      <c r="FN1042" s="3"/>
      <c r="FO1042" s="3"/>
      <c r="FP1042" s="3"/>
      <c r="FQ1042" s="3"/>
      <c r="FR1042" s="3"/>
      <c r="FS1042" s="3"/>
      <c r="FT1042" s="3"/>
      <c r="FU1042" s="3"/>
      <c r="FV1042" s="3"/>
      <c r="FW1042" s="3"/>
      <c r="FX1042" s="3"/>
      <c r="FY1042" s="3"/>
    </row>
    <row r="1043" spans="7:181" ht="15" x14ac:dyDescent="0.25">
      <c r="G1043" s="2"/>
      <c r="H1043" s="2"/>
      <c r="I1043" s="2"/>
      <c r="J1043" s="2"/>
      <c r="K1043" s="2"/>
      <c r="L1043" s="3"/>
      <c r="M1043" s="3"/>
      <c r="N1043" s="3"/>
      <c r="O1043" s="3"/>
      <c r="P1043" s="3"/>
      <c r="Q1043" s="3"/>
      <c r="R1043" s="3"/>
      <c r="S1043" s="3"/>
      <c r="T1043" s="3"/>
      <c r="U1043" s="4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4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4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4"/>
      <c r="BI1043" s="3"/>
      <c r="BJ1043" s="3"/>
      <c r="BK1043" s="3"/>
      <c r="BL1043" s="3"/>
      <c r="BM1043" s="3"/>
      <c r="BN1043" s="3"/>
      <c r="BO1043" s="3"/>
      <c r="BP1043" s="3"/>
      <c r="BQ1043" s="3"/>
      <c r="BR1043" s="3"/>
      <c r="BS1043" s="3"/>
      <c r="BT1043" s="3"/>
      <c r="BU1043" s="3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  <c r="DI1043" s="3"/>
      <c r="DJ1043" s="3"/>
      <c r="DK1043" s="3"/>
      <c r="DL1043" s="3"/>
      <c r="DM1043" s="3"/>
      <c r="DN1043" s="3"/>
      <c r="DO1043" s="3"/>
      <c r="DP1043" s="3"/>
      <c r="DQ1043" s="3"/>
      <c r="DR1043" s="3"/>
      <c r="DS1043" s="3"/>
      <c r="DT1043" s="3"/>
      <c r="DU1043" s="3"/>
      <c r="DV1043" s="3"/>
      <c r="DW1043" s="3"/>
      <c r="DX1043" s="3"/>
      <c r="DY1043" s="3"/>
      <c r="DZ1043" s="3"/>
      <c r="EA1043" s="3"/>
      <c r="EB1043" s="3"/>
      <c r="EC1043" s="3"/>
      <c r="ED1043" s="3"/>
      <c r="EE1043" s="3"/>
      <c r="EF1043" s="3"/>
      <c r="EG1043" s="3"/>
      <c r="EH1043" s="3"/>
      <c r="EI1043" s="3"/>
      <c r="EJ1043" s="3"/>
      <c r="EK1043" s="3"/>
      <c r="EL1043" s="3"/>
      <c r="EM1043" s="3"/>
      <c r="EN1043" s="3"/>
      <c r="EO1043" s="3"/>
      <c r="EP1043" s="3"/>
      <c r="EQ1043" s="3"/>
      <c r="ER1043" s="3"/>
      <c r="ES1043" s="3"/>
      <c r="ET1043" s="3"/>
      <c r="EU1043" s="3"/>
      <c r="EV1043" s="3"/>
      <c r="EW1043" s="3"/>
      <c r="EX1043" s="3"/>
      <c r="EY1043" s="3"/>
      <c r="EZ1043" s="3"/>
      <c r="FA1043" s="3"/>
      <c r="FB1043" s="3"/>
      <c r="FC1043" s="3"/>
      <c r="FD1043" s="3"/>
      <c r="FE1043" s="3"/>
      <c r="FF1043" s="3"/>
      <c r="FG1043" s="3"/>
      <c r="FH1043" s="3"/>
      <c r="FI1043" s="3"/>
      <c r="FJ1043" s="3"/>
      <c r="FK1043" s="3"/>
      <c r="FL1043" s="3"/>
      <c r="FM1043" s="3"/>
      <c r="FN1043" s="3"/>
      <c r="FO1043" s="3"/>
      <c r="FP1043" s="3"/>
      <c r="FQ1043" s="3"/>
      <c r="FR1043" s="3"/>
      <c r="FS1043" s="3"/>
      <c r="FT1043" s="3"/>
      <c r="FU1043" s="3"/>
      <c r="FV1043" s="3"/>
      <c r="FW1043" s="3"/>
      <c r="FX1043" s="3"/>
      <c r="FY1043" s="3"/>
    </row>
    <row r="1044" spans="7:181" ht="15" x14ac:dyDescent="0.25">
      <c r="G1044" s="2"/>
      <c r="H1044" s="2"/>
      <c r="I1044" s="2"/>
      <c r="J1044" s="2"/>
      <c r="K1044" s="2"/>
      <c r="L1044" s="3"/>
      <c r="M1044" s="3"/>
      <c r="N1044" s="3"/>
      <c r="O1044" s="3"/>
      <c r="P1044" s="3"/>
      <c r="Q1044" s="3"/>
      <c r="R1044" s="3"/>
      <c r="S1044" s="3"/>
      <c r="T1044" s="3"/>
      <c r="U1044" s="4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4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4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4"/>
      <c r="BI1044" s="3"/>
      <c r="BJ1044" s="3"/>
      <c r="BK1044" s="3"/>
      <c r="BL1044" s="3"/>
      <c r="BM1044" s="3"/>
      <c r="BN1044" s="3"/>
      <c r="BO1044" s="3"/>
      <c r="BP1044" s="3"/>
      <c r="BQ1044" s="3"/>
      <c r="BR1044" s="3"/>
      <c r="BS1044" s="3"/>
      <c r="BT1044" s="3"/>
      <c r="BU1044" s="3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  <c r="DI1044" s="3"/>
      <c r="DJ1044" s="3"/>
      <c r="DK1044" s="3"/>
      <c r="DL1044" s="3"/>
      <c r="DM1044" s="3"/>
      <c r="DN1044" s="3"/>
      <c r="DO1044" s="3"/>
      <c r="DP1044" s="3"/>
      <c r="DQ1044" s="3"/>
      <c r="DR1044" s="3"/>
      <c r="DS1044" s="3"/>
      <c r="DT1044" s="3"/>
      <c r="DU1044" s="3"/>
      <c r="DV1044" s="3"/>
      <c r="DW1044" s="3"/>
      <c r="DX1044" s="3"/>
      <c r="DY1044" s="3"/>
      <c r="DZ1044" s="3"/>
      <c r="EA1044" s="3"/>
      <c r="EB1044" s="3"/>
      <c r="EC1044" s="3"/>
      <c r="ED1044" s="3"/>
      <c r="EE1044" s="3"/>
      <c r="EF1044" s="3"/>
      <c r="EG1044" s="3"/>
      <c r="EH1044" s="3"/>
      <c r="EI1044" s="3"/>
      <c r="EJ1044" s="3"/>
      <c r="EK1044" s="3"/>
      <c r="EL1044" s="3"/>
      <c r="EM1044" s="3"/>
      <c r="EN1044" s="3"/>
      <c r="EO1044" s="3"/>
      <c r="EP1044" s="3"/>
      <c r="EQ1044" s="3"/>
      <c r="ER1044" s="3"/>
      <c r="ES1044" s="3"/>
      <c r="ET1044" s="3"/>
      <c r="EU1044" s="3"/>
      <c r="EV1044" s="3"/>
      <c r="EW1044" s="3"/>
      <c r="EX1044" s="3"/>
      <c r="EY1044" s="3"/>
      <c r="EZ1044" s="3"/>
      <c r="FA1044" s="3"/>
      <c r="FB1044" s="3"/>
      <c r="FC1044" s="3"/>
      <c r="FD1044" s="3"/>
      <c r="FE1044" s="3"/>
      <c r="FF1044" s="3"/>
      <c r="FG1044" s="3"/>
      <c r="FH1044" s="3"/>
      <c r="FI1044" s="3"/>
      <c r="FJ1044" s="3"/>
      <c r="FK1044" s="3"/>
      <c r="FL1044" s="3"/>
      <c r="FM1044" s="3"/>
      <c r="FN1044" s="3"/>
      <c r="FO1044" s="3"/>
      <c r="FP1044" s="3"/>
      <c r="FQ1044" s="3"/>
      <c r="FR1044" s="3"/>
      <c r="FS1044" s="3"/>
      <c r="FT1044" s="3"/>
      <c r="FU1044" s="3"/>
      <c r="FV1044" s="3"/>
      <c r="FW1044" s="3"/>
      <c r="FX1044" s="3"/>
      <c r="FY1044" s="3"/>
    </row>
    <row r="1045" spans="7:181" ht="15" x14ac:dyDescent="0.25">
      <c r="G1045" s="2"/>
      <c r="H1045" s="2"/>
      <c r="I1045" s="2"/>
      <c r="J1045" s="2"/>
      <c r="K1045" s="2"/>
      <c r="L1045" s="3"/>
      <c r="M1045" s="3"/>
      <c r="N1045" s="3"/>
      <c r="O1045" s="3"/>
      <c r="P1045" s="3"/>
      <c r="Q1045" s="3"/>
      <c r="R1045" s="3"/>
      <c r="S1045" s="3"/>
      <c r="T1045" s="3"/>
      <c r="U1045" s="4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4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4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4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  <c r="DI1045" s="3"/>
      <c r="DJ1045" s="3"/>
      <c r="DK1045" s="3"/>
      <c r="DL1045" s="3"/>
      <c r="DM1045" s="3"/>
      <c r="DN1045" s="3"/>
      <c r="DO1045" s="3"/>
      <c r="DP1045" s="3"/>
      <c r="DQ1045" s="3"/>
      <c r="DR1045" s="3"/>
      <c r="DS1045" s="3"/>
      <c r="DT1045" s="3"/>
      <c r="DU1045" s="3"/>
      <c r="DV1045" s="3"/>
      <c r="DW1045" s="3"/>
      <c r="DX1045" s="3"/>
      <c r="DY1045" s="3"/>
      <c r="DZ1045" s="3"/>
      <c r="EA1045" s="3"/>
      <c r="EB1045" s="3"/>
      <c r="EC1045" s="3"/>
      <c r="ED1045" s="3"/>
      <c r="EE1045" s="3"/>
      <c r="EF1045" s="3"/>
      <c r="EG1045" s="3"/>
      <c r="EH1045" s="3"/>
      <c r="EI1045" s="3"/>
      <c r="EJ1045" s="3"/>
      <c r="EK1045" s="3"/>
      <c r="EL1045" s="3"/>
      <c r="EM1045" s="3"/>
      <c r="EN1045" s="3"/>
      <c r="EO1045" s="3"/>
      <c r="EP1045" s="3"/>
      <c r="EQ1045" s="3"/>
      <c r="ER1045" s="3"/>
      <c r="ES1045" s="3"/>
      <c r="ET1045" s="3"/>
      <c r="EU1045" s="3"/>
      <c r="EV1045" s="3"/>
      <c r="EW1045" s="3"/>
      <c r="EX1045" s="3"/>
      <c r="EY1045" s="3"/>
      <c r="EZ1045" s="3"/>
      <c r="FA1045" s="3"/>
      <c r="FB1045" s="3"/>
      <c r="FC1045" s="3"/>
      <c r="FD1045" s="3"/>
      <c r="FE1045" s="3"/>
      <c r="FF1045" s="3"/>
      <c r="FG1045" s="3"/>
      <c r="FH1045" s="3"/>
      <c r="FI1045" s="3"/>
      <c r="FJ1045" s="3"/>
      <c r="FK1045" s="3"/>
      <c r="FL1045" s="3"/>
      <c r="FM1045" s="3"/>
      <c r="FN1045" s="3"/>
      <c r="FO1045" s="3"/>
      <c r="FP1045" s="3"/>
      <c r="FQ1045" s="3"/>
      <c r="FR1045" s="3"/>
      <c r="FS1045" s="3"/>
      <c r="FT1045" s="3"/>
      <c r="FU1045" s="3"/>
      <c r="FV1045" s="3"/>
      <c r="FW1045" s="3"/>
      <c r="FX1045" s="3"/>
      <c r="FY1045" s="3"/>
    </row>
    <row r="1046" spans="7:181" ht="15" x14ac:dyDescent="0.25">
      <c r="G1046" s="2"/>
      <c r="H1046" s="2"/>
      <c r="I1046" s="2"/>
      <c r="J1046" s="2"/>
      <c r="K1046" s="2"/>
      <c r="L1046" s="3"/>
      <c r="M1046" s="3"/>
      <c r="N1046" s="3"/>
      <c r="O1046" s="3"/>
      <c r="P1046" s="3"/>
      <c r="Q1046" s="3"/>
      <c r="R1046" s="3"/>
      <c r="S1046" s="3"/>
      <c r="T1046" s="3"/>
      <c r="U1046" s="4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4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4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4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  <c r="DP1046" s="3"/>
      <c r="DQ1046" s="3"/>
      <c r="DR1046" s="3"/>
      <c r="DS1046" s="3"/>
      <c r="DT1046" s="3"/>
      <c r="DU1046" s="3"/>
      <c r="DV1046" s="3"/>
      <c r="DW1046" s="3"/>
      <c r="DX1046" s="3"/>
      <c r="DY1046" s="3"/>
      <c r="DZ1046" s="3"/>
      <c r="EA1046" s="3"/>
      <c r="EB1046" s="3"/>
      <c r="EC1046" s="3"/>
      <c r="ED1046" s="3"/>
      <c r="EE1046" s="3"/>
      <c r="EF1046" s="3"/>
      <c r="EG1046" s="3"/>
      <c r="EH1046" s="3"/>
      <c r="EI1046" s="3"/>
      <c r="EJ1046" s="3"/>
      <c r="EK1046" s="3"/>
      <c r="EL1046" s="3"/>
      <c r="EM1046" s="3"/>
      <c r="EN1046" s="3"/>
      <c r="EO1046" s="3"/>
      <c r="EP1046" s="3"/>
      <c r="EQ1046" s="3"/>
      <c r="ER1046" s="3"/>
      <c r="ES1046" s="3"/>
      <c r="ET1046" s="3"/>
      <c r="EU1046" s="3"/>
      <c r="EV1046" s="3"/>
      <c r="EW1046" s="3"/>
      <c r="EX1046" s="3"/>
      <c r="EY1046" s="3"/>
      <c r="EZ1046" s="3"/>
      <c r="FA1046" s="3"/>
      <c r="FB1046" s="3"/>
      <c r="FC1046" s="3"/>
      <c r="FD1046" s="3"/>
      <c r="FE1046" s="3"/>
      <c r="FF1046" s="3"/>
      <c r="FG1046" s="3"/>
      <c r="FH1046" s="3"/>
      <c r="FI1046" s="3"/>
      <c r="FJ1046" s="3"/>
      <c r="FK1046" s="3"/>
      <c r="FL1046" s="3"/>
      <c r="FM1046" s="3"/>
      <c r="FN1046" s="3"/>
      <c r="FO1046" s="3"/>
      <c r="FP1046" s="3"/>
      <c r="FQ1046" s="3"/>
      <c r="FR1046" s="3"/>
      <c r="FS1046" s="3"/>
      <c r="FT1046" s="3"/>
      <c r="FU1046" s="3"/>
      <c r="FV1046" s="3"/>
      <c r="FW1046" s="3"/>
      <c r="FX1046" s="3"/>
      <c r="FY1046" s="3"/>
    </row>
    <row r="1047" spans="7:181" ht="15" x14ac:dyDescent="0.25">
      <c r="G1047" s="2"/>
      <c r="H1047" s="2"/>
      <c r="I1047" s="2"/>
      <c r="J1047" s="2"/>
      <c r="K1047" s="2"/>
      <c r="L1047" s="3"/>
      <c r="M1047" s="3"/>
      <c r="N1047" s="3"/>
      <c r="O1047" s="3"/>
      <c r="P1047" s="3"/>
      <c r="Q1047" s="3"/>
      <c r="R1047" s="3"/>
      <c r="S1047" s="3"/>
      <c r="T1047" s="3"/>
      <c r="U1047" s="4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4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4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4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  <c r="DP1047" s="3"/>
      <c r="DQ1047" s="3"/>
      <c r="DR1047" s="3"/>
      <c r="DS1047" s="3"/>
      <c r="DT1047" s="3"/>
      <c r="DU1047" s="3"/>
      <c r="DV1047" s="3"/>
      <c r="DW1047" s="3"/>
      <c r="DX1047" s="3"/>
      <c r="DY1047" s="3"/>
      <c r="DZ1047" s="3"/>
      <c r="EA1047" s="3"/>
      <c r="EB1047" s="3"/>
      <c r="EC1047" s="3"/>
      <c r="ED1047" s="3"/>
      <c r="EE1047" s="3"/>
      <c r="EF1047" s="3"/>
      <c r="EG1047" s="3"/>
      <c r="EH1047" s="3"/>
      <c r="EI1047" s="3"/>
      <c r="EJ1047" s="3"/>
      <c r="EK1047" s="3"/>
      <c r="EL1047" s="3"/>
      <c r="EM1047" s="3"/>
      <c r="EN1047" s="3"/>
      <c r="EO1047" s="3"/>
      <c r="EP1047" s="3"/>
      <c r="EQ1047" s="3"/>
      <c r="ER1047" s="3"/>
      <c r="ES1047" s="3"/>
      <c r="ET1047" s="3"/>
      <c r="EU1047" s="3"/>
      <c r="EV1047" s="3"/>
      <c r="EW1047" s="3"/>
      <c r="EX1047" s="3"/>
      <c r="EY1047" s="3"/>
      <c r="EZ1047" s="3"/>
      <c r="FA1047" s="3"/>
      <c r="FB1047" s="3"/>
      <c r="FC1047" s="3"/>
      <c r="FD1047" s="3"/>
      <c r="FE1047" s="3"/>
      <c r="FF1047" s="3"/>
      <c r="FG1047" s="3"/>
      <c r="FH1047" s="3"/>
      <c r="FI1047" s="3"/>
      <c r="FJ1047" s="3"/>
      <c r="FK1047" s="3"/>
      <c r="FL1047" s="3"/>
      <c r="FM1047" s="3"/>
      <c r="FN1047" s="3"/>
      <c r="FO1047" s="3"/>
      <c r="FP1047" s="3"/>
      <c r="FQ1047" s="3"/>
      <c r="FR1047" s="3"/>
      <c r="FS1047" s="3"/>
      <c r="FT1047" s="3"/>
      <c r="FU1047" s="3"/>
      <c r="FV1047" s="3"/>
      <c r="FW1047" s="3"/>
      <c r="FX1047" s="3"/>
      <c r="FY1047" s="3"/>
    </row>
    <row r="1048" spans="7:181" ht="15" x14ac:dyDescent="0.25">
      <c r="G1048" s="2"/>
      <c r="H1048" s="2"/>
      <c r="I1048" s="2"/>
      <c r="J1048" s="2"/>
      <c r="K1048" s="2"/>
      <c r="L1048" s="3"/>
      <c r="M1048" s="3"/>
      <c r="N1048" s="3"/>
      <c r="O1048" s="3"/>
      <c r="P1048" s="3"/>
      <c r="Q1048" s="3"/>
      <c r="R1048" s="3"/>
      <c r="S1048" s="3"/>
      <c r="T1048" s="3"/>
      <c r="U1048" s="4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4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4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4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  <c r="DP1048" s="3"/>
      <c r="DQ1048" s="3"/>
      <c r="DR1048" s="3"/>
      <c r="DS1048" s="3"/>
      <c r="DT1048" s="3"/>
      <c r="DU1048" s="3"/>
      <c r="DV1048" s="3"/>
      <c r="DW1048" s="3"/>
      <c r="DX1048" s="3"/>
      <c r="DY1048" s="3"/>
      <c r="DZ1048" s="3"/>
      <c r="EA1048" s="3"/>
      <c r="EB1048" s="3"/>
      <c r="EC1048" s="3"/>
      <c r="ED1048" s="3"/>
      <c r="EE1048" s="3"/>
      <c r="EF1048" s="3"/>
      <c r="EG1048" s="3"/>
      <c r="EH1048" s="3"/>
      <c r="EI1048" s="3"/>
      <c r="EJ1048" s="3"/>
      <c r="EK1048" s="3"/>
      <c r="EL1048" s="3"/>
      <c r="EM1048" s="3"/>
      <c r="EN1048" s="3"/>
      <c r="EO1048" s="3"/>
      <c r="EP1048" s="3"/>
      <c r="EQ1048" s="3"/>
      <c r="ER1048" s="3"/>
      <c r="ES1048" s="3"/>
      <c r="ET1048" s="3"/>
      <c r="EU1048" s="3"/>
      <c r="EV1048" s="3"/>
      <c r="EW1048" s="3"/>
      <c r="EX1048" s="3"/>
      <c r="EY1048" s="3"/>
      <c r="EZ1048" s="3"/>
      <c r="FA1048" s="3"/>
      <c r="FB1048" s="3"/>
      <c r="FC1048" s="3"/>
      <c r="FD1048" s="3"/>
      <c r="FE1048" s="3"/>
      <c r="FF1048" s="3"/>
      <c r="FG1048" s="3"/>
      <c r="FH1048" s="3"/>
      <c r="FI1048" s="3"/>
      <c r="FJ1048" s="3"/>
      <c r="FK1048" s="3"/>
      <c r="FL1048" s="3"/>
      <c r="FM1048" s="3"/>
      <c r="FN1048" s="3"/>
      <c r="FO1048" s="3"/>
      <c r="FP1048" s="3"/>
      <c r="FQ1048" s="3"/>
      <c r="FR1048" s="3"/>
      <c r="FS1048" s="3"/>
      <c r="FT1048" s="3"/>
      <c r="FU1048" s="3"/>
      <c r="FV1048" s="3"/>
      <c r="FW1048" s="3"/>
      <c r="FX1048" s="3"/>
      <c r="FY1048" s="3"/>
    </row>
    <row r="1049" spans="7:181" ht="15" x14ac:dyDescent="0.25">
      <c r="G1049" s="2"/>
      <c r="H1049" s="2"/>
      <c r="I1049" s="2"/>
      <c r="J1049" s="2"/>
      <c r="K1049" s="2"/>
      <c r="L1049" s="3"/>
      <c r="M1049" s="3"/>
      <c r="N1049" s="3"/>
      <c r="O1049" s="3"/>
      <c r="P1049" s="3"/>
      <c r="Q1049" s="3"/>
      <c r="R1049" s="3"/>
      <c r="S1049" s="3"/>
      <c r="T1049" s="3"/>
      <c r="U1049" s="4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4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4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4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  <c r="DP1049" s="3"/>
      <c r="DQ1049" s="3"/>
      <c r="DR1049" s="3"/>
      <c r="DS1049" s="3"/>
      <c r="DT1049" s="3"/>
      <c r="DU1049" s="3"/>
      <c r="DV1049" s="3"/>
      <c r="DW1049" s="3"/>
      <c r="DX1049" s="3"/>
      <c r="DY1049" s="3"/>
      <c r="DZ1049" s="3"/>
      <c r="EA1049" s="3"/>
      <c r="EB1049" s="3"/>
      <c r="EC1049" s="3"/>
      <c r="ED1049" s="3"/>
      <c r="EE1049" s="3"/>
      <c r="EF1049" s="3"/>
      <c r="EG1049" s="3"/>
      <c r="EH1049" s="3"/>
      <c r="EI1049" s="3"/>
      <c r="EJ1049" s="3"/>
      <c r="EK1049" s="3"/>
      <c r="EL1049" s="3"/>
      <c r="EM1049" s="3"/>
      <c r="EN1049" s="3"/>
      <c r="EO1049" s="3"/>
      <c r="EP1049" s="3"/>
      <c r="EQ1049" s="3"/>
      <c r="ER1049" s="3"/>
      <c r="ES1049" s="3"/>
      <c r="ET1049" s="3"/>
      <c r="EU1049" s="3"/>
      <c r="EV1049" s="3"/>
      <c r="EW1049" s="3"/>
      <c r="EX1049" s="3"/>
      <c r="EY1049" s="3"/>
      <c r="EZ1049" s="3"/>
      <c r="FA1049" s="3"/>
      <c r="FB1049" s="3"/>
      <c r="FC1049" s="3"/>
      <c r="FD1049" s="3"/>
      <c r="FE1049" s="3"/>
      <c r="FF1049" s="3"/>
      <c r="FG1049" s="3"/>
      <c r="FH1049" s="3"/>
      <c r="FI1049" s="3"/>
      <c r="FJ1049" s="3"/>
      <c r="FK1049" s="3"/>
      <c r="FL1049" s="3"/>
      <c r="FM1049" s="3"/>
      <c r="FN1049" s="3"/>
      <c r="FO1049" s="3"/>
      <c r="FP1049" s="3"/>
      <c r="FQ1049" s="3"/>
      <c r="FR1049" s="3"/>
      <c r="FS1049" s="3"/>
      <c r="FT1049" s="3"/>
      <c r="FU1049" s="3"/>
      <c r="FV1049" s="3"/>
      <c r="FW1049" s="3"/>
      <c r="FX1049" s="3"/>
      <c r="FY1049" s="3"/>
    </row>
    <row r="1050" spans="7:181" ht="15" x14ac:dyDescent="0.25">
      <c r="G1050" s="2"/>
      <c r="H1050" s="2"/>
      <c r="I1050" s="2"/>
      <c r="J1050" s="2"/>
      <c r="K1050" s="2"/>
      <c r="L1050" s="3"/>
      <c r="M1050" s="3"/>
      <c r="N1050" s="3"/>
      <c r="O1050" s="3"/>
      <c r="P1050" s="3"/>
      <c r="Q1050" s="3"/>
      <c r="R1050" s="3"/>
      <c r="S1050" s="3"/>
      <c r="T1050" s="3"/>
      <c r="U1050" s="4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4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4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4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  <c r="DI1050" s="3"/>
      <c r="DJ1050" s="3"/>
      <c r="DK1050" s="3"/>
      <c r="DL1050" s="3"/>
      <c r="DM1050" s="3"/>
      <c r="DN1050" s="3"/>
      <c r="DO1050" s="3"/>
      <c r="DP1050" s="3"/>
      <c r="DQ1050" s="3"/>
      <c r="DR1050" s="3"/>
      <c r="DS1050" s="3"/>
      <c r="DT1050" s="3"/>
      <c r="DU1050" s="3"/>
      <c r="DV1050" s="3"/>
      <c r="DW1050" s="3"/>
      <c r="DX1050" s="3"/>
      <c r="DY1050" s="3"/>
      <c r="DZ1050" s="3"/>
      <c r="EA1050" s="3"/>
      <c r="EB1050" s="3"/>
      <c r="EC1050" s="3"/>
      <c r="ED1050" s="3"/>
      <c r="EE1050" s="3"/>
      <c r="EF1050" s="3"/>
      <c r="EG1050" s="3"/>
      <c r="EH1050" s="3"/>
      <c r="EI1050" s="3"/>
      <c r="EJ1050" s="3"/>
      <c r="EK1050" s="3"/>
      <c r="EL1050" s="3"/>
      <c r="EM1050" s="3"/>
      <c r="EN1050" s="3"/>
      <c r="EO1050" s="3"/>
      <c r="EP1050" s="3"/>
      <c r="EQ1050" s="3"/>
      <c r="ER1050" s="3"/>
      <c r="ES1050" s="3"/>
      <c r="ET1050" s="3"/>
      <c r="EU1050" s="3"/>
      <c r="EV1050" s="3"/>
      <c r="EW1050" s="3"/>
      <c r="EX1050" s="3"/>
      <c r="EY1050" s="3"/>
      <c r="EZ1050" s="3"/>
      <c r="FA1050" s="3"/>
      <c r="FB1050" s="3"/>
      <c r="FC1050" s="3"/>
      <c r="FD1050" s="3"/>
      <c r="FE1050" s="3"/>
      <c r="FF1050" s="3"/>
      <c r="FG1050" s="3"/>
      <c r="FH1050" s="3"/>
      <c r="FI1050" s="3"/>
      <c r="FJ1050" s="3"/>
      <c r="FK1050" s="3"/>
      <c r="FL1050" s="3"/>
      <c r="FM1050" s="3"/>
      <c r="FN1050" s="3"/>
      <c r="FO1050" s="3"/>
      <c r="FP1050" s="3"/>
      <c r="FQ1050" s="3"/>
      <c r="FR1050" s="3"/>
      <c r="FS1050" s="3"/>
      <c r="FT1050" s="3"/>
      <c r="FU1050" s="3"/>
      <c r="FV1050" s="3"/>
      <c r="FW1050" s="3"/>
      <c r="FX1050" s="3"/>
      <c r="FY1050" s="3"/>
    </row>
    <row r="1051" spans="7:181" ht="15" x14ac:dyDescent="0.25">
      <c r="G1051" s="2"/>
      <c r="H1051" s="2"/>
      <c r="I1051" s="2"/>
      <c r="J1051" s="2"/>
      <c r="K1051" s="2"/>
      <c r="L1051" s="3"/>
      <c r="M1051" s="3"/>
      <c r="N1051" s="3"/>
      <c r="O1051" s="3"/>
      <c r="P1051" s="3"/>
      <c r="Q1051" s="3"/>
      <c r="R1051" s="3"/>
      <c r="S1051" s="3"/>
      <c r="T1051" s="3"/>
      <c r="U1051" s="4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4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4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4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  <c r="DI1051" s="3"/>
      <c r="DJ1051" s="3"/>
      <c r="DK1051" s="3"/>
      <c r="DL1051" s="3"/>
      <c r="DM1051" s="3"/>
      <c r="DN1051" s="3"/>
      <c r="DO1051" s="3"/>
      <c r="DP1051" s="3"/>
      <c r="DQ1051" s="3"/>
      <c r="DR1051" s="3"/>
      <c r="DS1051" s="3"/>
      <c r="DT1051" s="3"/>
      <c r="DU1051" s="3"/>
      <c r="DV1051" s="3"/>
      <c r="DW1051" s="3"/>
      <c r="DX1051" s="3"/>
      <c r="DY1051" s="3"/>
      <c r="DZ1051" s="3"/>
      <c r="EA1051" s="3"/>
      <c r="EB1051" s="3"/>
      <c r="EC1051" s="3"/>
      <c r="ED1051" s="3"/>
      <c r="EE1051" s="3"/>
      <c r="EF1051" s="3"/>
      <c r="EG1051" s="3"/>
      <c r="EH1051" s="3"/>
      <c r="EI1051" s="3"/>
      <c r="EJ1051" s="3"/>
      <c r="EK1051" s="3"/>
      <c r="EL1051" s="3"/>
      <c r="EM1051" s="3"/>
      <c r="EN1051" s="3"/>
      <c r="EO1051" s="3"/>
      <c r="EP1051" s="3"/>
      <c r="EQ1051" s="3"/>
      <c r="ER1051" s="3"/>
      <c r="ES1051" s="3"/>
      <c r="ET1051" s="3"/>
      <c r="EU1051" s="3"/>
      <c r="EV1051" s="3"/>
      <c r="EW1051" s="3"/>
      <c r="EX1051" s="3"/>
      <c r="EY1051" s="3"/>
      <c r="EZ1051" s="3"/>
      <c r="FA1051" s="3"/>
      <c r="FB1051" s="3"/>
      <c r="FC1051" s="3"/>
      <c r="FD1051" s="3"/>
      <c r="FE1051" s="3"/>
      <c r="FF1051" s="3"/>
      <c r="FG1051" s="3"/>
      <c r="FH1051" s="3"/>
      <c r="FI1051" s="3"/>
      <c r="FJ1051" s="3"/>
      <c r="FK1051" s="3"/>
      <c r="FL1051" s="3"/>
      <c r="FM1051" s="3"/>
      <c r="FN1051" s="3"/>
      <c r="FO1051" s="3"/>
      <c r="FP1051" s="3"/>
      <c r="FQ1051" s="3"/>
      <c r="FR1051" s="3"/>
      <c r="FS1051" s="3"/>
      <c r="FT1051" s="3"/>
      <c r="FU1051" s="3"/>
      <c r="FV1051" s="3"/>
      <c r="FW1051" s="3"/>
      <c r="FX1051" s="3"/>
      <c r="FY1051" s="3"/>
    </row>
    <row r="1052" spans="7:181" ht="15" x14ac:dyDescent="0.25">
      <c r="G1052" s="2"/>
      <c r="H1052" s="2"/>
      <c r="I1052" s="2"/>
      <c r="J1052" s="2"/>
      <c r="K1052" s="2"/>
      <c r="L1052" s="3"/>
      <c r="M1052" s="3"/>
      <c r="N1052" s="3"/>
      <c r="O1052" s="3"/>
      <c r="P1052" s="3"/>
      <c r="Q1052" s="3"/>
      <c r="R1052" s="3"/>
      <c r="S1052" s="3"/>
      <c r="T1052" s="3"/>
      <c r="U1052" s="4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4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4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4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  <c r="DI1052" s="3"/>
      <c r="DJ1052" s="3"/>
      <c r="DK1052" s="3"/>
      <c r="DL1052" s="3"/>
      <c r="DM1052" s="3"/>
      <c r="DN1052" s="3"/>
      <c r="DO1052" s="3"/>
      <c r="DP1052" s="3"/>
      <c r="DQ1052" s="3"/>
      <c r="DR1052" s="3"/>
      <c r="DS1052" s="3"/>
      <c r="DT1052" s="3"/>
      <c r="DU1052" s="3"/>
      <c r="DV1052" s="3"/>
      <c r="DW1052" s="3"/>
      <c r="DX1052" s="3"/>
      <c r="DY1052" s="3"/>
      <c r="DZ1052" s="3"/>
      <c r="EA1052" s="3"/>
      <c r="EB1052" s="3"/>
      <c r="EC1052" s="3"/>
      <c r="ED1052" s="3"/>
      <c r="EE1052" s="3"/>
      <c r="EF1052" s="3"/>
      <c r="EG1052" s="3"/>
      <c r="EH1052" s="3"/>
      <c r="EI1052" s="3"/>
      <c r="EJ1052" s="3"/>
      <c r="EK1052" s="3"/>
      <c r="EL1052" s="3"/>
      <c r="EM1052" s="3"/>
      <c r="EN1052" s="3"/>
      <c r="EO1052" s="3"/>
      <c r="EP1052" s="3"/>
      <c r="EQ1052" s="3"/>
      <c r="ER1052" s="3"/>
      <c r="ES1052" s="3"/>
      <c r="ET1052" s="3"/>
      <c r="EU1052" s="3"/>
      <c r="EV1052" s="3"/>
      <c r="EW1052" s="3"/>
      <c r="EX1052" s="3"/>
      <c r="EY1052" s="3"/>
      <c r="EZ1052" s="3"/>
      <c r="FA1052" s="3"/>
      <c r="FB1052" s="3"/>
      <c r="FC1052" s="3"/>
      <c r="FD1052" s="3"/>
      <c r="FE1052" s="3"/>
      <c r="FF1052" s="3"/>
      <c r="FG1052" s="3"/>
      <c r="FH1052" s="3"/>
      <c r="FI1052" s="3"/>
      <c r="FJ1052" s="3"/>
      <c r="FK1052" s="3"/>
      <c r="FL1052" s="3"/>
      <c r="FM1052" s="3"/>
      <c r="FN1052" s="3"/>
      <c r="FO1052" s="3"/>
      <c r="FP1052" s="3"/>
      <c r="FQ1052" s="3"/>
      <c r="FR1052" s="3"/>
      <c r="FS1052" s="3"/>
      <c r="FT1052" s="3"/>
      <c r="FU1052" s="3"/>
      <c r="FV1052" s="3"/>
      <c r="FW1052" s="3"/>
      <c r="FX1052" s="3"/>
      <c r="FY1052" s="3"/>
    </row>
    <row r="1053" spans="7:181" ht="15" x14ac:dyDescent="0.25">
      <c r="G1053" s="2"/>
      <c r="H1053" s="2"/>
      <c r="I1053" s="2"/>
      <c r="J1053" s="2"/>
      <c r="K1053" s="2"/>
      <c r="L1053" s="3"/>
      <c r="M1053" s="3"/>
      <c r="N1053" s="3"/>
      <c r="O1053" s="3"/>
      <c r="P1053" s="3"/>
      <c r="Q1053" s="3"/>
      <c r="R1053" s="3"/>
      <c r="S1053" s="3"/>
      <c r="T1053" s="3"/>
      <c r="U1053" s="4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4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4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4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  <c r="DI1053" s="3"/>
      <c r="DJ1053" s="3"/>
      <c r="DK1053" s="3"/>
      <c r="DL1053" s="3"/>
      <c r="DM1053" s="3"/>
      <c r="DN1053" s="3"/>
      <c r="DO1053" s="3"/>
      <c r="DP1053" s="3"/>
      <c r="DQ1053" s="3"/>
      <c r="DR1053" s="3"/>
      <c r="DS1053" s="3"/>
      <c r="DT1053" s="3"/>
      <c r="DU1053" s="3"/>
      <c r="DV1053" s="3"/>
      <c r="DW1053" s="3"/>
      <c r="DX1053" s="3"/>
      <c r="DY1053" s="3"/>
      <c r="DZ1053" s="3"/>
      <c r="EA1053" s="3"/>
      <c r="EB1053" s="3"/>
      <c r="EC1053" s="3"/>
      <c r="ED1053" s="3"/>
      <c r="EE1053" s="3"/>
      <c r="EF1053" s="3"/>
      <c r="EG1053" s="3"/>
      <c r="EH1053" s="3"/>
      <c r="EI1053" s="3"/>
      <c r="EJ1053" s="3"/>
      <c r="EK1053" s="3"/>
      <c r="EL1053" s="3"/>
      <c r="EM1053" s="3"/>
      <c r="EN1053" s="3"/>
      <c r="EO1053" s="3"/>
      <c r="EP1053" s="3"/>
      <c r="EQ1053" s="3"/>
      <c r="ER1053" s="3"/>
      <c r="ES1053" s="3"/>
      <c r="ET1053" s="3"/>
      <c r="EU1053" s="3"/>
      <c r="EV1053" s="3"/>
      <c r="EW1053" s="3"/>
      <c r="EX1053" s="3"/>
      <c r="EY1053" s="3"/>
      <c r="EZ1053" s="3"/>
      <c r="FA1053" s="3"/>
      <c r="FB1053" s="3"/>
      <c r="FC1053" s="3"/>
      <c r="FD1053" s="3"/>
      <c r="FE1053" s="3"/>
      <c r="FF1053" s="3"/>
      <c r="FG1053" s="3"/>
      <c r="FH1053" s="3"/>
      <c r="FI1053" s="3"/>
      <c r="FJ1053" s="3"/>
      <c r="FK1053" s="3"/>
      <c r="FL1053" s="3"/>
      <c r="FM1053" s="3"/>
      <c r="FN1053" s="3"/>
      <c r="FO1053" s="3"/>
      <c r="FP1053" s="3"/>
      <c r="FQ1053" s="3"/>
      <c r="FR1053" s="3"/>
      <c r="FS1053" s="3"/>
      <c r="FT1053" s="3"/>
      <c r="FU1053" s="3"/>
      <c r="FV1053" s="3"/>
      <c r="FW1053" s="3"/>
      <c r="FX1053" s="3"/>
      <c r="FY1053" s="3"/>
    </row>
    <row r="1054" spans="7:181" ht="15" x14ac:dyDescent="0.25">
      <c r="G1054" s="2"/>
      <c r="H1054" s="2"/>
      <c r="I1054" s="2"/>
      <c r="J1054" s="2"/>
      <c r="K1054" s="2"/>
      <c r="L1054" s="3"/>
      <c r="M1054" s="3"/>
      <c r="N1054" s="3"/>
      <c r="O1054" s="3"/>
      <c r="P1054" s="3"/>
      <c r="Q1054" s="3"/>
      <c r="R1054" s="3"/>
      <c r="S1054" s="3"/>
      <c r="T1054" s="3"/>
      <c r="U1054" s="4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4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4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4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  <c r="DI1054" s="3"/>
      <c r="DJ1054" s="3"/>
      <c r="DK1054" s="3"/>
      <c r="DL1054" s="3"/>
      <c r="DM1054" s="3"/>
      <c r="DN1054" s="3"/>
      <c r="DO1054" s="3"/>
      <c r="DP1054" s="3"/>
      <c r="DQ1054" s="3"/>
      <c r="DR1054" s="3"/>
      <c r="DS1054" s="3"/>
      <c r="DT1054" s="3"/>
      <c r="DU1054" s="3"/>
      <c r="DV1054" s="3"/>
      <c r="DW1054" s="3"/>
      <c r="DX1054" s="3"/>
      <c r="DY1054" s="3"/>
      <c r="DZ1054" s="3"/>
      <c r="EA1054" s="3"/>
      <c r="EB1054" s="3"/>
      <c r="EC1054" s="3"/>
      <c r="ED1054" s="3"/>
      <c r="EE1054" s="3"/>
      <c r="EF1054" s="3"/>
      <c r="EG1054" s="3"/>
      <c r="EH1054" s="3"/>
      <c r="EI1054" s="3"/>
      <c r="EJ1054" s="3"/>
      <c r="EK1054" s="3"/>
      <c r="EL1054" s="3"/>
      <c r="EM1054" s="3"/>
      <c r="EN1054" s="3"/>
      <c r="EO1054" s="3"/>
      <c r="EP1054" s="3"/>
      <c r="EQ1054" s="3"/>
      <c r="ER1054" s="3"/>
      <c r="ES1054" s="3"/>
      <c r="ET1054" s="3"/>
      <c r="EU1054" s="3"/>
      <c r="EV1054" s="3"/>
      <c r="EW1054" s="3"/>
      <c r="EX1054" s="3"/>
      <c r="EY1054" s="3"/>
      <c r="EZ1054" s="3"/>
      <c r="FA1054" s="3"/>
      <c r="FB1054" s="3"/>
      <c r="FC1054" s="3"/>
      <c r="FD1054" s="3"/>
      <c r="FE1054" s="3"/>
      <c r="FF1054" s="3"/>
      <c r="FG1054" s="3"/>
      <c r="FH1054" s="3"/>
      <c r="FI1054" s="3"/>
      <c r="FJ1054" s="3"/>
      <c r="FK1054" s="3"/>
      <c r="FL1054" s="3"/>
      <c r="FM1054" s="3"/>
      <c r="FN1054" s="3"/>
      <c r="FO1054" s="3"/>
      <c r="FP1054" s="3"/>
      <c r="FQ1054" s="3"/>
      <c r="FR1054" s="3"/>
      <c r="FS1054" s="3"/>
      <c r="FT1054" s="3"/>
      <c r="FU1054" s="3"/>
      <c r="FV1054" s="3"/>
      <c r="FW1054" s="3"/>
      <c r="FX1054" s="3"/>
      <c r="FY1054" s="3"/>
    </row>
    <row r="1055" spans="7:181" ht="15" x14ac:dyDescent="0.25">
      <c r="G1055" s="2"/>
      <c r="H1055" s="2"/>
      <c r="I1055" s="2"/>
      <c r="J1055" s="2"/>
      <c r="K1055" s="2"/>
      <c r="L1055" s="3"/>
      <c r="M1055" s="3"/>
      <c r="N1055" s="3"/>
      <c r="O1055" s="3"/>
      <c r="P1055" s="3"/>
      <c r="Q1055" s="3"/>
      <c r="R1055" s="3"/>
      <c r="S1055" s="3"/>
      <c r="T1055" s="3"/>
      <c r="U1055" s="4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4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4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4"/>
      <c r="BI1055" s="3"/>
      <c r="BJ1055" s="3"/>
      <c r="BK1055" s="3"/>
      <c r="BL1055" s="3"/>
      <c r="BM1055" s="3"/>
      <c r="BN1055" s="3"/>
      <c r="BO1055" s="3"/>
      <c r="BP1055" s="3"/>
      <c r="BQ1055" s="3"/>
      <c r="BR1055" s="3"/>
      <c r="BS1055" s="3"/>
      <c r="BT1055" s="3"/>
      <c r="BU1055" s="3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  <c r="DI1055" s="3"/>
      <c r="DJ1055" s="3"/>
      <c r="DK1055" s="3"/>
      <c r="DL1055" s="3"/>
      <c r="DM1055" s="3"/>
      <c r="DN1055" s="3"/>
      <c r="DO1055" s="3"/>
      <c r="DP1055" s="3"/>
      <c r="DQ1055" s="3"/>
      <c r="DR1055" s="3"/>
      <c r="DS1055" s="3"/>
      <c r="DT1055" s="3"/>
      <c r="DU1055" s="3"/>
      <c r="DV1055" s="3"/>
      <c r="DW1055" s="3"/>
      <c r="DX1055" s="3"/>
      <c r="DY1055" s="3"/>
      <c r="DZ1055" s="3"/>
      <c r="EA1055" s="3"/>
      <c r="EB1055" s="3"/>
      <c r="EC1055" s="3"/>
      <c r="ED1055" s="3"/>
      <c r="EE1055" s="3"/>
      <c r="EF1055" s="3"/>
      <c r="EG1055" s="3"/>
      <c r="EH1055" s="3"/>
      <c r="EI1055" s="3"/>
      <c r="EJ1055" s="3"/>
      <c r="EK1055" s="3"/>
      <c r="EL1055" s="3"/>
      <c r="EM1055" s="3"/>
      <c r="EN1055" s="3"/>
      <c r="EO1055" s="3"/>
      <c r="EP1055" s="3"/>
      <c r="EQ1055" s="3"/>
      <c r="ER1055" s="3"/>
      <c r="ES1055" s="3"/>
      <c r="ET1055" s="3"/>
      <c r="EU1055" s="3"/>
      <c r="EV1055" s="3"/>
      <c r="EW1055" s="3"/>
      <c r="EX1055" s="3"/>
      <c r="EY1055" s="3"/>
      <c r="EZ1055" s="3"/>
      <c r="FA1055" s="3"/>
      <c r="FB1055" s="3"/>
      <c r="FC1055" s="3"/>
      <c r="FD1055" s="3"/>
      <c r="FE1055" s="3"/>
      <c r="FF1055" s="3"/>
      <c r="FG1055" s="3"/>
      <c r="FH1055" s="3"/>
      <c r="FI1055" s="3"/>
      <c r="FJ1055" s="3"/>
      <c r="FK1055" s="3"/>
      <c r="FL1055" s="3"/>
      <c r="FM1055" s="3"/>
      <c r="FN1055" s="3"/>
      <c r="FO1055" s="3"/>
      <c r="FP1055" s="3"/>
      <c r="FQ1055" s="3"/>
      <c r="FR1055" s="3"/>
      <c r="FS1055" s="3"/>
      <c r="FT1055" s="3"/>
      <c r="FU1055" s="3"/>
      <c r="FV1055" s="3"/>
      <c r="FW1055" s="3"/>
      <c r="FX1055" s="3"/>
      <c r="FY1055" s="3"/>
    </row>
    <row r="1056" spans="7:181" ht="15" x14ac:dyDescent="0.25">
      <c r="G1056" s="2"/>
      <c r="H1056" s="2"/>
      <c r="I1056" s="2"/>
      <c r="J1056" s="2"/>
      <c r="K1056" s="2"/>
      <c r="L1056" s="3"/>
      <c r="M1056" s="3"/>
      <c r="N1056" s="3"/>
      <c r="O1056" s="3"/>
      <c r="P1056" s="3"/>
      <c r="Q1056" s="3"/>
      <c r="R1056" s="3"/>
      <c r="S1056" s="3"/>
      <c r="T1056" s="3"/>
      <c r="U1056" s="4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4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4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4"/>
      <c r="BI1056" s="3"/>
      <c r="BJ1056" s="3"/>
      <c r="BK1056" s="3"/>
      <c r="BL1056" s="3"/>
      <c r="BM1056" s="3"/>
      <c r="BN1056" s="3"/>
      <c r="BO1056" s="3"/>
      <c r="BP1056" s="3"/>
      <c r="BQ1056" s="3"/>
      <c r="BR1056" s="3"/>
      <c r="BS1056" s="3"/>
      <c r="BT1056" s="3"/>
      <c r="BU1056" s="3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  <c r="DI1056" s="3"/>
      <c r="DJ1056" s="3"/>
      <c r="DK1056" s="3"/>
      <c r="DL1056" s="3"/>
      <c r="DM1056" s="3"/>
      <c r="DN1056" s="3"/>
      <c r="DO1056" s="3"/>
      <c r="DP1056" s="3"/>
      <c r="DQ1056" s="3"/>
      <c r="DR1056" s="3"/>
      <c r="DS1056" s="3"/>
      <c r="DT1056" s="3"/>
      <c r="DU1056" s="3"/>
      <c r="DV1056" s="3"/>
      <c r="DW1056" s="3"/>
      <c r="DX1056" s="3"/>
      <c r="DY1056" s="3"/>
      <c r="DZ1056" s="3"/>
      <c r="EA1056" s="3"/>
      <c r="EB1056" s="3"/>
      <c r="EC1056" s="3"/>
      <c r="ED1056" s="3"/>
      <c r="EE1056" s="3"/>
      <c r="EF1056" s="3"/>
      <c r="EG1056" s="3"/>
      <c r="EH1056" s="3"/>
      <c r="EI1056" s="3"/>
      <c r="EJ1056" s="3"/>
      <c r="EK1056" s="3"/>
      <c r="EL1056" s="3"/>
      <c r="EM1056" s="3"/>
      <c r="EN1056" s="3"/>
      <c r="EO1056" s="3"/>
      <c r="EP1056" s="3"/>
      <c r="EQ1056" s="3"/>
      <c r="ER1056" s="3"/>
      <c r="ES1056" s="3"/>
      <c r="ET1056" s="3"/>
      <c r="EU1056" s="3"/>
      <c r="EV1056" s="3"/>
      <c r="EW1056" s="3"/>
      <c r="EX1056" s="3"/>
      <c r="EY1056" s="3"/>
      <c r="EZ1056" s="3"/>
      <c r="FA1056" s="3"/>
      <c r="FB1056" s="3"/>
      <c r="FC1056" s="3"/>
      <c r="FD1056" s="3"/>
      <c r="FE1056" s="3"/>
      <c r="FF1056" s="3"/>
      <c r="FG1056" s="3"/>
      <c r="FH1056" s="3"/>
      <c r="FI1056" s="3"/>
      <c r="FJ1056" s="3"/>
      <c r="FK1056" s="3"/>
      <c r="FL1056" s="3"/>
      <c r="FM1056" s="3"/>
      <c r="FN1056" s="3"/>
      <c r="FO1056" s="3"/>
      <c r="FP1056" s="3"/>
      <c r="FQ1056" s="3"/>
      <c r="FR1056" s="3"/>
      <c r="FS1056" s="3"/>
      <c r="FT1056" s="3"/>
      <c r="FU1056" s="3"/>
      <c r="FV1056" s="3"/>
      <c r="FW1056" s="3"/>
      <c r="FX1056" s="3"/>
      <c r="FY1056" s="3"/>
    </row>
    <row r="1057" spans="7:181" ht="15" x14ac:dyDescent="0.25">
      <c r="G1057" s="2"/>
      <c r="H1057" s="2"/>
      <c r="I1057" s="2"/>
      <c r="J1057" s="2"/>
      <c r="K1057" s="2"/>
      <c r="L1057" s="3"/>
      <c r="M1057" s="3"/>
      <c r="N1057" s="3"/>
      <c r="O1057" s="3"/>
      <c r="P1057" s="3"/>
      <c r="Q1057" s="3"/>
      <c r="R1057" s="3"/>
      <c r="S1057" s="3"/>
      <c r="T1057" s="3"/>
      <c r="U1057" s="4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4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4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4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  <c r="DI1057" s="3"/>
      <c r="DJ1057" s="3"/>
      <c r="DK1057" s="3"/>
      <c r="DL1057" s="3"/>
      <c r="DM1057" s="3"/>
      <c r="DN1057" s="3"/>
      <c r="DO1057" s="3"/>
      <c r="DP1057" s="3"/>
      <c r="DQ1057" s="3"/>
      <c r="DR1057" s="3"/>
      <c r="DS1057" s="3"/>
      <c r="DT1057" s="3"/>
      <c r="DU1057" s="3"/>
      <c r="DV1057" s="3"/>
      <c r="DW1057" s="3"/>
      <c r="DX1057" s="3"/>
      <c r="DY1057" s="3"/>
      <c r="DZ1057" s="3"/>
      <c r="EA1057" s="3"/>
      <c r="EB1057" s="3"/>
      <c r="EC1057" s="3"/>
      <c r="ED1057" s="3"/>
      <c r="EE1057" s="3"/>
      <c r="EF1057" s="3"/>
      <c r="EG1057" s="3"/>
      <c r="EH1057" s="3"/>
      <c r="EI1057" s="3"/>
      <c r="EJ1057" s="3"/>
      <c r="EK1057" s="3"/>
      <c r="EL1057" s="3"/>
      <c r="EM1057" s="3"/>
      <c r="EN1057" s="3"/>
      <c r="EO1057" s="3"/>
      <c r="EP1057" s="3"/>
      <c r="EQ1057" s="3"/>
      <c r="ER1057" s="3"/>
      <c r="ES1057" s="3"/>
      <c r="ET1057" s="3"/>
      <c r="EU1057" s="3"/>
      <c r="EV1057" s="3"/>
      <c r="EW1057" s="3"/>
      <c r="EX1057" s="3"/>
      <c r="EY1057" s="3"/>
      <c r="EZ1057" s="3"/>
      <c r="FA1057" s="3"/>
      <c r="FB1057" s="3"/>
      <c r="FC1057" s="3"/>
      <c r="FD1057" s="3"/>
      <c r="FE1057" s="3"/>
      <c r="FF1057" s="3"/>
      <c r="FG1057" s="3"/>
      <c r="FH1057" s="3"/>
      <c r="FI1057" s="3"/>
      <c r="FJ1057" s="3"/>
      <c r="FK1057" s="3"/>
      <c r="FL1057" s="3"/>
      <c r="FM1057" s="3"/>
      <c r="FN1057" s="3"/>
      <c r="FO1057" s="3"/>
      <c r="FP1057" s="3"/>
      <c r="FQ1057" s="3"/>
      <c r="FR1057" s="3"/>
      <c r="FS1057" s="3"/>
      <c r="FT1057" s="3"/>
      <c r="FU1057" s="3"/>
      <c r="FV1057" s="3"/>
      <c r="FW1057" s="3"/>
      <c r="FX1057" s="3"/>
      <c r="FY1057" s="3"/>
    </row>
    <row r="1058" spans="7:181" ht="15" x14ac:dyDescent="0.25">
      <c r="G1058" s="2"/>
      <c r="H1058" s="2"/>
      <c r="I1058" s="2"/>
      <c r="J1058" s="2"/>
      <c r="K1058" s="2"/>
      <c r="L1058" s="3"/>
      <c r="M1058" s="3"/>
      <c r="N1058" s="3"/>
      <c r="O1058" s="3"/>
      <c r="P1058" s="3"/>
      <c r="Q1058" s="3"/>
      <c r="R1058" s="3"/>
      <c r="S1058" s="3"/>
      <c r="T1058" s="3"/>
      <c r="U1058" s="4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4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4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4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  <c r="DI1058" s="3"/>
      <c r="DJ1058" s="3"/>
      <c r="DK1058" s="3"/>
      <c r="DL1058" s="3"/>
      <c r="DM1058" s="3"/>
      <c r="DN1058" s="3"/>
      <c r="DO1058" s="3"/>
      <c r="DP1058" s="3"/>
      <c r="DQ1058" s="3"/>
      <c r="DR1058" s="3"/>
      <c r="DS1058" s="3"/>
      <c r="DT1058" s="3"/>
      <c r="DU1058" s="3"/>
      <c r="DV1058" s="3"/>
      <c r="DW1058" s="3"/>
      <c r="DX1058" s="3"/>
      <c r="DY1058" s="3"/>
      <c r="DZ1058" s="3"/>
      <c r="EA1058" s="3"/>
      <c r="EB1058" s="3"/>
      <c r="EC1058" s="3"/>
      <c r="ED1058" s="3"/>
      <c r="EE1058" s="3"/>
      <c r="EF1058" s="3"/>
      <c r="EG1058" s="3"/>
      <c r="EH1058" s="3"/>
      <c r="EI1058" s="3"/>
      <c r="EJ1058" s="3"/>
      <c r="EK1058" s="3"/>
      <c r="EL1058" s="3"/>
      <c r="EM1058" s="3"/>
      <c r="EN1058" s="3"/>
      <c r="EO1058" s="3"/>
      <c r="EP1058" s="3"/>
      <c r="EQ1058" s="3"/>
      <c r="ER1058" s="3"/>
      <c r="ES1058" s="3"/>
      <c r="ET1058" s="3"/>
      <c r="EU1058" s="3"/>
      <c r="EV1058" s="3"/>
      <c r="EW1058" s="3"/>
      <c r="EX1058" s="3"/>
      <c r="EY1058" s="3"/>
      <c r="EZ1058" s="3"/>
      <c r="FA1058" s="3"/>
      <c r="FB1058" s="3"/>
      <c r="FC1058" s="3"/>
      <c r="FD1058" s="3"/>
      <c r="FE1058" s="3"/>
      <c r="FF1058" s="3"/>
      <c r="FG1058" s="3"/>
      <c r="FH1058" s="3"/>
      <c r="FI1058" s="3"/>
      <c r="FJ1058" s="3"/>
      <c r="FK1058" s="3"/>
      <c r="FL1058" s="3"/>
      <c r="FM1058" s="3"/>
      <c r="FN1058" s="3"/>
      <c r="FO1058" s="3"/>
      <c r="FP1058" s="3"/>
      <c r="FQ1058" s="3"/>
      <c r="FR1058" s="3"/>
      <c r="FS1058" s="3"/>
      <c r="FT1058" s="3"/>
      <c r="FU1058" s="3"/>
      <c r="FV1058" s="3"/>
      <c r="FW1058" s="3"/>
      <c r="FX1058" s="3"/>
      <c r="FY1058" s="3"/>
    </row>
    <row r="1059" spans="7:181" ht="15" x14ac:dyDescent="0.25">
      <c r="G1059" s="2"/>
      <c r="H1059" s="2"/>
      <c r="I1059" s="2"/>
      <c r="J1059" s="2"/>
      <c r="K1059" s="2"/>
      <c r="L1059" s="3"/>
      <c r="M1059" s="3"/>
      <c r="N1059" s="3"/>
      <c r="O1059" s="3"/>
      <c r="P1059" s="3"/>
      <c r="Q1059" s="3"/>
      <c r="R1059" s="3"/>
      <c r="S1059" s="3"/>
      <c r="T1059" s="3"/>
      <c r="U1059" s="4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4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4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4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  <c r="DI1059" s="3"/>
      <c r="DJ1059" s="3"/>
      <c r="DK1059" s="3"/>
      <c r="DL1059" s="3"/>
      <c r="DM1059" s="3"/>
      <c r="DN1059" s="3"/>
      <c r="DO1059" s="3"/>
      <c r="DP1059" s="3"/>
      <c r="DQ1059" s="3"/>
      <c r="DR1059" s="3"/>
      <c r="DS1059" s="3"/>
      <c r="DT1059" s="3"/>
      <c r="DU1059" s="3"/>
      <c r="DV1059" s="3"/>
      <c r="DW1059" s="3"/>
      <c r="DX1059" s="3"/>
      <c r="DY1059" s="3"/>
      <c r="DZ1059" s="3"/>
      <c r="EA1059" s="3"/>
      <c r="EB1059" s="3"/>
      <c r="EC1059" s="3"/>
      <c r="ED1059" s="3"/>
      <c r="EE1059" s="3"/>
      <c r="EF1059" s="3"/>
      <c r="EG1059" s="3"/>
      <c r="EH1059" s="3"/>
      <c r="EI1059" s="3"/>
      <c r="EJ1059" s="3"/>
      <c r="EK1059" s="3"/>
      <c r="EL1059" s="3"/>
      <c r="EM1059" s="3"/>
      <c r="EN1059" s="3"/>
      <c r="EO1059" s="3"/>
      <c r="EP1059" s="3"/>
      <c r="EQ1059" s="3"/>
      <c r="ER1059" s="3"/>
      <c r="ES1059" s="3"/>
      <c r="ET1059" s="3"/>
      <c r="EU1059" s="3"/>
      <c r="EV1059" s="3"/>
      <c r="EW1059" s="3"/>
      <c r="EX1059" s="3"/>
      <c r="EY1059" s="3"/>
      <c r="EZ1059" s="3"/>
      <c r="FA1059" s="3"/>
      <c r="FB1059" s="3"/>
      <c r="FC1059" s="3"/>
      <c r="FD1059" s="3"/>
      <c r="FE1059" s="3"/>
      <c r="FF1059" s="3"/>
      <c r="FG1059" s="3"/>
      <c r="FH1059" s="3"/>
      <c r="FI1059" s="3"/>
      <c r="FJ1059" s="3"/>
      <c r="FK1059" s="3"/>
      <c r="FL1059" s="3"/>
      <c r="FM1059" s="3"/>
      <c r="FN1059" s="3"/>
      <c r="FO1059" s="3"/>
      <c r="FP1059" s="3"/>
      <c r="FQ1059" s="3"/>
      <c r="FR1059" s="3"/>
      <c r="FS1059" s="3"/>
      <c r="FT1059" s="3"/>
      <c r="FU1059" s="3"/>
      <c r="FV1059" s="3"/>
      <c r="FW1059" s="3"/>
      <c r="FX1059" s="3"/>
      <c r="FY1059" s="3"/>
    </row>
    <row r="1060" spans="7:181" ht="15" x14ac:dyDescent="0.25">
      <c r="G1060" s="2"/>
      <c r="H1060" s="2"/>
      <c r="I1060" s="2"/>
      <c r="J1060" s="2"/>
      <c r="K1060" s="2"/>
      <c r="L1060" s="3"/>
      <c r="M1060" s="3"/>
      <c r="N1060" s="3"/>
      <c r="O1060" s="3"/>
      <c r="P1060" s="3"/>
      <c r="Q1060" s="3"/>
      <c r="R1060" s="3"/>
      <c r="S1060" s="3"/>
      <c r="T1060" s="3"/>
      <c r="U1060" s="4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4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4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4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  <c r="DI1060" s="3"/>
      <c r="DJ1060" s="3"/>
      <c r="DK1060" s="3"/>
      <c r="DL1060" s="3"/>
      <c r="DM1060" s="3"/>
      <c r="DN1060" s="3"/>
      <c r="DO1060" s="3"/>
      <c r="DP1060" s="3"/>
      <c r="DQ1060" s="3"/>
      <c r="DR1060" s="3"/>
      <c r="DS1060" s="3"/>
      <c r="DT1060" s="3"/>
      <c r="DU1060" s="3"/>
      <c r="DV1060" s="3"/>
      <c r="DW1060" s="3"/>
      <c r="DX1060" s="3"/>
      <c r="DY1060" s="3"/>
      <c r="DZ1060" s="3"/>
      <c r="EA1060" s="3"/>
      <c r="EB1060" s="3"/>
      <c r="EC1060" s="3"/>
      <c r="ED1060" s="3"/>
      <c r="EE1060" s="3"/>
      <c r="EF1060" s="3"/>
      <c r="EG1060" s="3"/>
      <c r="EH1060" s="3"/>
      <c r="EI1060" s="3"/>
      <c r="EJ1060" s="3"/>
      <c r="EK1060" s="3"/>
      <c r="EL1060" s="3"/>
      <c r="EM1060" s="3"/>
      <c r="EN1060" s="3"/>
      <c r="EO1060" s="3"/>
      <c r="EP1060" s="3"/>
      <c r="EQ1060" s="3"/>
      <c r="ER1060" s="3"/>
      <c r="ES1060" s="3"/>
      <c r="ET1060" s="3"/>
      <c r="EU1060" s="3"/>
      <c r="EV1060" s="3"/>
      <c r="EW1060" s="3"/>
      <c r="EX1060" s="3"/>
      <c r="EY1060" s="3"/>
      <c r="EZ1060" s="3"/>
      <c r="FA1060" s="3"/>
      <c r="FB1060" s="3"/>
      <c r="FC1060" s="3"/>
      <c r="FD1060" s="3"/>
      <c r="FE1060" s="3"/>
      <c r="FF1060" s="3"/>
      <c r="FG1060" s="3"/>
      <c r="FH1060" s="3"/>
      <c r="FI1060" s="3"/>
      <c r="FJ1060" s="3"/>
      <c r="FK1060" s="3"/>
      <c r="FL1060" s="3"/>
      <c r="FM1060" s="3"/>
      <c r="FN1060" s="3"/>
      <c r="FO1060" s="3"/>
      <c r="FP1060" s="3"/>
      <c r="FQ1060" s="3"/>
      <c r="FR1060" s="3"/>
      <c r="FS1060" s="3"/>
      <c r="FT1060" s="3"/>
      <c r="FU1060" s="3"/>
      <c r="FV1060" s="3"/>
      <c r="FW1060" s="3"/>
      <c r="FX1060" s="3"/>
      <c r="FY1060" s="3"/>
    </row>
    <row r="1061" spans="7:181" ht="15" x14ac:dyDescent="0.25">
      <c r="G1061" s="2"/>
      <c r="H1061" s="2"/>
      <c r="I1061" s="2"/>
      <c r="J1061" s="2"/>
      <c r="K1061" s="2"/>
      <c r="L1061" s="3"/>
      <c r="M1061" s="3"/>
      <c r="N1061" s="3"/>
      <c r="O1061" s="3"/>
      <c r="P1061" s="3"/>
      <c r="Q1061" s="3"/>
      <c r="R1061" s="3"/>
      <c r="S1061" s="3"/>
      <c r="T1061" s="3"/>
      <c r="U1061" s="4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4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4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4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  <c r="DI1061" s="3"/>
      <c r="DJ1061" s="3"/>
      <c r="DK1061" s="3"/>
      <c r="DL1061" s="3"/>
      <c r="DM1061" s="3"/>
      <c r="DN1061" s="3"/>
      <c r="DO1061" s="3"/>
      <c r="DP1061" s="3"/>
      <c r="DQ1061" s="3"/>
      <c r="DR1061" s="3"/>
      <c r="DS1061" s="3"/>
      <c r="DT1061" s="3"/>
      <c r="DU1061" s="3"/>
      <c r="DV1061" s="3"/>
      <c r="DW1061" s="3"/>
      <c r="DX1061" s="3"/>
      <c r="DY1061" s="3"/>
      <c r="DZ1061" s="3"/>
      <c r="EA1061" s="3"/>
      <c r="EB1061" s="3"/>
      <c r="EC1061" s="3"/>
      <c r="ED1061" s="3"/>
      <c r="EE1061" s="3"/>
      <c r="EF1061" s="3"/>
      <c r="EG1061" s="3"/>
      <c r="EH1061" s="3"/>
      <c r="EI1061" s="3"/>
      <c r="EJ1061" s="3"/>
      <c r="EK1061" s="3"/>
      <c r="EL1061" s="3"/>
      <c r="EM1061" s="3"/>
      <c r="EN1061" s="3"/>
      <c r="EO1061" s="3"/>
      <c r="EP1061" s="3"/>
      <c r="EQ1061" s="3"/>
      <c r="ER1061" s="3"/>
      <c r="ES1061" s="3"/>
      <c r="ET1061" s="3"/>
      <c r="EU1061" s="3"/>
      <c r="EV1061" s="3"/>
      <c r="EW1061" s="3"/>
      <c r="EX1061" s="3"/>
      <c r="EY1061" s="3"/>
      <c r="EZ1061" s="3"/>
      <c r="FA1061" s="3"/>
      <c r="FB1061" s="3"/>
      <c r="FC1061" s="3"/>
      <c r="FD1061" s="3"/>
      <c r="FE1061" s="3"/>
      <c r="FF1061" s="3"/>
      <c r="FG1061" s="3"/>
      <c r="FH1061" s="3"/>
      <c r="FI1061" s="3"/>
      <c r="FJ1061" s="3"/>
      <c r="FK1061" s="3"/>
      <c r="FL1061" s="3"/>
      <c r="FM1061" s="3"/>
      <c r="FN1061" s="3"/>
      <c r="FO1061" s="3"/>
      <c r="FP1061" s="3"/>
      <c r="FQ1061" s="3"/>
      <c r="FR1061" s="3"/>
      <c r="FS1061" s="3"/>
      <c r="FT1061" s="3"/>
      <c r="FU1061" s="3"/>
      <c r="FV1061" s="3"/>
      <c r="FW1061" s="3"/>
      <c r="FX1061" s="3"/>
      <c r="FY1061" s="3"/>
    </row>
    <row r="1062" spans="7:181" ht="15" x14ac:dyDescent="0.25">
      <c r="G1062" s="2"/>
      <c r="H1062" s="2"/>
      <c r="I1062" s="2"/>
      <c r="J1062" s="2"/>
      <c r="K1062" s="2"/>
      <c r="L1062" s="3"/>
      <c r="M1062" s="3"/>
      <c r="N1062" s="3"/>
      <c r="O1062" s="3"/>
      <c r="P1062" s="3"/>
      <c r="Q1062" s="3"/>
      <c r="R1062" s="3"/>
      <c r="S1062" s="3"/>
      <c r="T1062" s="3"/>
      <c r="U1062" s="4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4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4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4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  <c r="DI1062" s="3"/>
      <c r="DJ1062" s="3"/>
      <c r="DK1062" s="3"/>
      <c r="DL1062" s="3"/>
      <c r="DM1062" s="3"/>
      <c r="DN1062" s="3"/>
      <c r="DO1062" s="3"/>
      <c r="DP1062" s="3"/>
      <c r="DQ1062" s="3"/>
      <c r="DR1062" s="3"/>
      <c r="DS1062" s="3"/>
      <c r="DT1062" s="3"/>
      <c r="DU1062" s="3"/>
      <c r="DV1062" s="3"/>
      <c r="DW1062" s="3"/>
      <c r="DX1062" s="3"/>
      <c r="DY1062" s="3"/>
      <c r="DZ1062" s="3"/>
      <c r="EA1062" s="3"/>
      <c r="EB1062" s="3"/>
      <c r="EC1062" s="3"/>
      <c r="ED1062" s="3"/>
      <c r="EE1062" s="3"/>
      <c r="EF1062" s="3"/>
      <c r="EG1062" s="3"/>
      <c r="EH1062" s="3"/>
      <c r="EI1062" s="3"/>
      <c r="EJ1062" s="3"/>
      <c r="EK1062" s="3"/>
      <c r="EL1062" s="3"/>
      <c r="EM1062" s="3"/>
      <c r="EN1062" s="3"/>
      <c r="EO1062" s="3"/>
      <c r="EP1062" s="3"/>
      <c r="EQ1062" s="3"/>
      <c r="ER1062" s="3"/>
      <c r="ES1062" s="3"/>
      <c r="ET1062" s="3"/>
      <c r="EU1062" s="3"/>
      <c r="EV1062" s="3"/>
      <c r="EW1062" s="3"/>
      <c r="EX1062" s="3"/>
      <c r="EY1062" s="3"/>
      <c r="EZ1062" s="3"/>
      <c r="FA1062" s="3"/>
      <c r="FB1062" s="3"/>
      <c r="FC1062" s="3"/>
      <c r="FD1062" s="3"/>
      <c r="FE1062" s="3"/>
      <c r="FF1062" s="3"/>
      <c r="FG1062" s="3"/>
      <c r="FH1062" s="3"/>
      <c r="FI1062" s="3"/>
      <c r="FJ1062" s="3"/>
      <c r="FK1062" s="3"/>
      <c r="FL1062" s="3"/>
      <c r="FM1062" s="3"/>
      <c r="FN1062" s="3"/>
      <c r="FO1062" s="3"/>
      <c r="FP1062" s="3"/>
      <c r="FQ1062" s="3"/>
      <c r="FR1062" s="3"/>
      <c r="FS1062" s="3"/>
      <c r="FT1062" s="3"/>
      <c r="FU1062" s="3"/>
      <c r="FV1062" s="3"/>
      <c r="FW1062" s="3"/>
      <c r="FX1062" s="3"/>
      <c r="FY1062" s="3"/>
    </row>
    <row r="1063" spans="7:181" ht="15" x14ac:dyDescent="0.25">
      <c r="G1063" s="2"/>
      <c r="H1063" s="2"/>
      <c r="I1063" s="2"/>
      <c r="J1063" s="2"/>
      <c r="K1063" s="2"/>
      <c r="L1063" s="3"/>
      <c r="M1063" s="3"/>
      <c r="N1063" s="3"/>
      <c r="O1063" s="3"/>
      <c r="P1063" s="3"/>
      <c r="Q1063" s="3"/>
      <c r="R1063" s="3"/>
      <c r="S1063" s="3"/>
      <c r="T1063" s="3"/>
      <c r="U1063" s="4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4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4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4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  <c r="DI1063" s="3"/>
      <c r="DJ1063" s="3"/>
      <c r="DK1063" s="3"/>
      <c r="DL1063" s="3"/>
      <c r="DM1063" s="3"/>
      <c r="DN1063" s="3"/>
      <c r="DO1063" s="3"/>
      <c r="DP1063" s="3"/>
      <c r="DQ1063" s="3"/>
      <c r="DR1063" s="3"/>
      <c r="DS1063" s="3"/>
      <c r="DT1063" s="3"/>
      <c r="DU1063" s="3"/>
      <c r="DV1063" s="3"/>
      <c r="DW1063" s="3"/>
      <c r="DX1063" s="3"/>
      <c r="DY1063" s="3"/>
      <c r="DZ1063" s="3"/>
      <c r="EA1063" s="3"/>
      <c r="EB1063" s="3"/>
      <c r="EC1063" s="3"/>
      <c r="ED1063" s="3"/>
      <c r="EE1063" s="3"/>
      <c r="EF1063" s="3"/>
      <c r="EG1063" s="3"/>
      <c r="EH1063" s="3"/>
      <c r="EI1063" s="3"/>
      <c r="EJ1063" s="3"/>
      <c r="EK1063" s="3"/>
      <c r="EL1063" s="3"/>
      <c r="EM1063" s="3"/>
      <c r="EN1063" s="3"/>
      <c r="EO1063" s="3"/>
      <c r="EP1063" s="3"/>
      <c r="EQ1063" s="3"/>
      <c r="ER1063" s="3"/>
      <c r="ES1063" s="3"/>
      <c r="ET1063" s="3"/>
      <c r="EU1063" s="3"/>
      <c r="EV1063" s="3"/>
      <c r="EW1063" s="3"/>
      <c r="EX1063" s="3"/>
      <c r="EY1063" s="3"/>
      <c r="EZ1063" s="3"/>
      <c r="FA1063" s="3"/>
      <c r="FB1063" s="3"/>
      <c r="FC1063" s="3"/>
      <c r="FD1063" s="3"/>
      <c r="FE1063" s="3"/>
      <c r="FF1063" s="3"/>
      <c r="FG1063" s="3"/>
      <c r="FH1063" s="3"/>
      <c r="FI1063" s="3"/>
      <c r="FJ1063" s="3"/>
      <c r="FK1063" s="3"/>
      <c r="FL1063" s="3"/>
      <c r="FM1063" s="3"/>
      <c r="FN1063" s="3"/>
      <c r="FO1063" s="3"/>
      <c r="FP1063" s="3"/>
      <c r="FQ1063" s="3"/>
      <c r="FR1063" s="3"/>
      <c r="FS1063" s="3"/>
      <c r="FT1063" s="3"/>
      <c r="FU1063" s="3"/>
      <c r="FV1063" s="3"/>
      <c r="FW1063" s="3"/>
      <c r="FX1063" s="3"/>
      <c r="FY1063" s="3"/>
    </row>
    <row r="1064" spans="7:181" ht="15" x14ac:dyDescent="0.25">
      <c r="G1064" s="2"/>
      <c r="H1064" s="2"/>
      <c r="I1064" s="2"/>
      <c r="J1064" s="2"/>
      <c r="K1064" s="2"/>
      <c r="L1064" s="3"/>
      <c r="M1064" s="3"/>
      <c r="N1064" s="3"/>
      <c r="O1064" s="3"/>
      <c r="P1064" s="3"/>
      <c r="Q1064" s="3"/>
      <c r="R1064" s="3"/>
      <c r="S1064" s="3"/>
      <c r="T1064" s="3"/>
      <c r="U1064" s="4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4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4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4"/>
      <c r="BI1064" s="3"/>
      <c r="BJ1064" s="3"/>
      <c r="BK1064" s="3"/>
      <c r="BL1064" s="3"/>
      <c r="BM1064" s="3"/>
      <c r="BN1064" s="3"/>
      <c r="BO1064" s="3"/>
      <c r="BP1064" s="3"/>
      <c r="BQ1064" s="3"/>
      <c r="BR1064" s="3"/>
      <c r="BS1064" s="3"/>
      <c r="BT1064" s="3"/>
      <c r="BU1064" s="3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  <c r="DI1064" s="3"/>
      <c r="DJ1064" s="3"/>
      <c r="DK1064" s="3"/>
      <c r="DL1064" s="3"/>
      <c r="DM1064" s="3"/>
      <c r="DN1064" s="3"/>
      <c r="DO1064" s="3"/>
      <c r="DP1064" s="3"/>
      <c r="DQ1064" s="3"/>
      <c r="DR1064" s="3"/>
      <c r="DS1064" s="3"/>
      <c r="DT1064" s="3"/>
      <c r="DU1064" s="3"/>
      <c r="DV1064" s="3"/>
      <c r="DW1064" s="3"/>
      <c r="DX1064" s="3"/>
      <c r="DY1064" s="3"/>
      <c r="DZ1064" s="3"/>
      <c r="EA1064" s="3"/>
      <c r="EB1064" s="3"/>
      <c r="EC1064" s="3"/>
      <c r="ED1064" s="3"/>
      <c r="EE1064" s="3"/>
      <c r="EF1064" s="3"/>
      <c r="EG1064" s="3"/>
      <c r="EH1064" s="3"/>
      <c r="EI1064" s="3"/>
      <c r="EJ1064" s="3"/>
      <c r="EK1064" s="3"/>
      <c r="EL1064" s="3"/>
      <c r="EM1064" s="3"/>
      <c r="EN1064" s="3"/>
      <c r="EO1064" s="3"/>
      <c r="EP1064" s="3"/>
      <c r="EQ1064" s="3"/>
      <c r="ER1064" s="3"/>
      <c r="ES1064" s="3"/>
      <c r="ET1064" s="3"/>
      <c r="EU1064" s="3"/>
      <c r="EV1064" s="3"/>
      <c r="EW1064" s="3"/>
      <c r="EX1064" s="3"/>
      <c r="EY1064" s="3"/>
      <c r="EZ1064" s="3"/>
      <c r="FA1064" s="3"/>
      <c r="FB1064" s="3"/>
      <c r="FC1064" s="3"/>
      <c r="FD1064" s="3"/>
      <c r="FE1064" s="3"/>
      <c r="FF1064" s="3"/>
      <c r="FG1064" s="3"/>
      <c r="FH1064" s="3"/>
      <c r="FI1064" s="3"/>
      <c r="FJ1064" s="3"/>
      <c r="FK1064" s="3"/>
      <c r="FL1064" s="3"/>
      <c r="FM1064" s="3"/>
      <c r="FN1064" s="3"/>
      <c r="FO1064" s="3"/>
      <c r="FP1064" s="3"/>
      <c r="FQ1064" s="3"/>
      <c r="FR1064" s="3"/>
      <c r="FS1064" s="3"/>
      <c r="FT1064" s="3"/>
      <c r="FU1064" s="3"/>
      <c r="FV1064" s="3"/>
      <c r="FW1064" s="3"/>
      <c r="FX1064" s="3"/>
      <c r="FY1064" s="3"/>
    </row>
    <row r="1065" spans="7:181" ht="15" x14ac:dyDescent="0.25">
      <c r="G1065" s="2"/>
      <c r="H1065" s="2"/>
      <c r="I1065" s="2"/>
      <c r="J1065" s="2"/>
      <c r="K1065" s="2"/>
      <c r="L1065" s="3"/>
      <c r="M1065" s="3"/>
      <c r="N1065" s="3"/>
      <c r="O1065" s="3"/>
      <c r="P1065" s="3"/>
      <c r="Q1065" s="3"/>
      <c r="R1065" s="3"/>
      <c r="S1065" s="3"/>
      <c r="T1065" s="3"/>
      <c r="U1065" s="4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4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4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4"/>
      <c r="BI1065" s="3"/>
      <c r="BJ1065" s="3"/>
      <c r="BK1065" s="3"/>
      <c r="BL1065" s="3"/>
      <c r="BM1065" s="3"/>
      <c r="BN1065" s="3"/>
      <c r="BO1065" s="3"/>
      <c r="BP1065" s="3"/>
      <c r="BQ1065" s="3"/>
      <c r="BR1065" s="3"/>
      <c r="BS1065" s="3"/>
      <c r="BT1065" s="3"/>
      <c r="BU1065" s="3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  <c r="DI1065" s="3"/>
      <c r="DJ1065" s="3"/>
      <c r="DK1065" s="3"/>
      <c r="DL1065" s="3"/>
      <c r="DM1065" s="3"/>
      <c r="DN1065" s="3"/>
      <c r="DO1065" s="3"/>
      <c r="DP1065" s="3"/>
      <c r="DQ1065" s="3"/>
      <c r="DR1065" s="3"/>
      <c r="DS1065" s="3"/>
      <c r="DT1065" s="3"/>
      <c r="DU1065" s="3"/>
      <c r="DV1065" s="3"/>
      <c r="DW1065" s="3"/>
      <c r="DX1065" s="3"/>
      <c r="DY1065" s="3"/>
      <c r="DZ1065" s="3"/>
      <c r="EA1065" s="3"/>
      <c r="EB1065" s="3"/>
      <c r="EC1065" s="3"/>
      <c r="ED1065" s="3"/>
      <c r="EE1065" s="3"/>
      <c r="EF1065" s="3"/>
      <c r="EG1065" s="3"/>
      <c r="EH1065" s="3"/>
      <c r="EI1065" s="3"/>
      <c r="EJ1065" s="3"/>
      <c r="EK1065" s="3"/>
      <c r="EL1065" s="3"/>
      <c r="EM1065" s="3"/>
      <c r="EN1065" s="3"/>
      <c r="EO1065" s="3"/>
      <c r="EP1065" s="3"/>
      <c r="EQ1065" s="3"/>
      <c r="ER1065" s="3"/>
      <c r="ES1065" s="3"/>
      <c r="ET1065" s="3"/>
      <c r="EU1065" s="3"/>
      <c r="EV1065" s="3"/>
      <c r="EW1065" s="3"/>
      <c r="EX1065" s="3"/>
      <c r="EY1065" s="3"/>
      <c r="EZ1065" s="3"/>
      <c r="FA1065" s="3"/>
      <c r="FB1065" s="3"/>
      <c r="FC1065" s="3"/>
      <c r="FD1065" s="3"/>
      <c r="FE1065" s="3"/>
      <c r="FF1065" s="3"/>
      <c r="FG1065" s="3"/>
      <c r="FH1065" s="3"/>
      <c r="FI1065" s="3"/>
      <c r="FJ1065" s="3"/>
      <c r="FK1065" s="3"/>
      <c r="FL1065" s="3"/>
      <c r="FM1065" s="3"/>
      <c r="FN1065" s="3"/>
      <c r="FO1065" s="3"/>
      <c r="FP1065" s="3"/>
      <c r="FQ1065" s="3"/>
      <c r="FR1065" s="3"/>
      <c r="FS1065" s="3"/>
      <c r="FT1065" s="3"/>
      <c r="FU1065" s="3"/>
      <c r="FV1065" s="3"/>
      <c r="FW1065" s="3"/>
      <c r="FX1065" s="3"/>
      <c r="FY1065" s="3"/>
    </row>
    <row r="1066" spans="7:181" ht="15" x14ac:dyDescent="0.25">
      <c r="G1066" s="2"/>
      <c r="H1066" s="2"/>
      <c r="I1066" s="2"/>
      <c r="J1066" s="2"/>
      <c r="K1066" s="2"/>
      <c r="L1066" s="3"/>
      <c r="M1066" s="3"/>
      <c r="N1066" s="3"/>
      <c r="O1066" s="3"/>
      <c r="P1066" s="3"/>
      <c r="Q1066" s="3"/>
      <c r="R1066" s="3"/>
      <c r="S1066" s="3"/>
      <c r="T1066" s="3"/>
      <c r="U1066" s="4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4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4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4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  <c r="DI1066" s="3"/>
      <c r="DJ1066" s="3"/>
      <c r="DK1066" s="3"/>
      <c r="DL1066" s="3"/>
      <c r="DM1066" s="3"/>
      <c r="DN1066" s="3"/>
      <c r="DO1066" s="3"/>
      <c r="DP1066" s="3"/>
      <c r="DQ1066" s="3"/>
      <c r="DR1066" s="3"/>
      <c r="DS1066" s="3"/>
      <c r="DT1066" s="3"/>
      <c r="DU1066" s="3"/>
      <c r="DV1066" s="3"/>
      <c r="DW1066" s="3"/>
      <c r="DX1066" s="3"/>
      <c r="DY1066" s="3"/>
      <c r="DZ1066" s="3"/>
      <c r="EA1066" s="3"/>
      <c r="EB1066" s="3"/>
      <c r="EC1066" s="3"/>
      <c r="ED1066" s="3"/>
      <c r="EE1066" s="3"/>
      <c r="EF1066" s="3"/>
      <c r="EG1066" s="3"/>
      <c r="EH1066" s="3"/>
      <c r="EI1066" s="3"/>
      <c r="EJ1066" s="3"/>
      <c r="EK1066" s="3"/>
      <c r="EL1066" s="3"/>
      <c r="EM1066" s="3"/>
      <c r="EN1066" s="3"/>
      <c r="EO1066" s="3"/>
      <c r="EP1066" s="3"/>
      <c r="EQ1066" s="3"/>
      <c r="ER1066" s="3"/>
      <c r="ES1066" s="3"/>
      <c r="ET1066" s="3"/>
      <c r="EU1066" s="3"/>
      <c r="EV1066" s="3"/>
      <c r="EW1066" s="3"/>
      <c r="EX1066" s="3"/>
      <c r="EY1066" s="3"/>
      <c r="EZ1066" s="3"/>
      <c r="FA1066" s="3"/>
      <c r="FB1066" s="3"/>
      <c r="FC1066" s="3"/>
      <c r="FD1066" s="3"/>
      <c r="FE1066" s="3"/>
      <c r="FF1066" s="3"/>
      <c r="FG1066" s="3"/>
      <c r="FH1066" s="3"/>
      <c r="FI1066" s="3"/>
      <c r="FJ1066" s="3"/>
      <c r="FK1066" s="3"/>
      <c r="FL1066" s="3"/>
      <c r="FM1066" s="3"/>
      <c r="FN1066" s="3"/>
      <c r="FO1066" s="3"/>
      <c r="FP1066" s="3"/>
      <c r="FQ1066" s="3"/>
      <c r="FR1066" s="3"/>
      <c r="FS1066" s="3"/>
      <c r="FT1066" s="3"/>
      <c r="FU1066" s="3"/>
      <c r="FV1066" s="3"/>
      <c r="FW1066" s="3"/>
      <c r="FX1066" s="3"/>
      <c r="FY1066" s="3"/>
    </row>
    <row r="1067" spans="7:181" ht="15" x14ac:dyDescent="0.25">
      <c r="G1067" s="2"/>
      <c r="H1067" s="2"/>
      <c r="I1067" s="2"/>
      <c r="J1067" s="2"/>
      <c r="K1067" s="2"/>
      <c r="L1067" s="3"/>
      <c r="M1067" s="3"/>
      <c r="N1067" s="3"/>
      <c r="O1067" s="3"/>
      <c r="P1067" s="3"/>
      <c r="Q1067" s="3"/>
      <c r="R1067" s="3"/>
      <c r="S1067" s="3"/>
      <c r="T1067" s="3"/>
      <c r="U1067" s="4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4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4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4"/>
      <c r="BI1067" s="3"/>
      <c r="BJ1067" s="3"/>
      <c r="BK1067" s="3"/>
      <c r="BL1067" s="3"/>
      <c r="BM1067" s="3"/>
      <c r="BN1067" s="3"/>
      <c r="BO1067" s="3"/>
      <c r="BP1067" s="3"/>
      <c r="BQ1067" s="3"/>
      <c r="BR1067" s="3"/>
      <c r="BS1067" s="3"/>
      <c r="BT1067" s="3"/>
      <c r="BU1067" s="3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  <c r="DI1067" s="3"/>
      <c r="DJ1067" s="3"/>
      <c r="DK1067" s="3"/>
      <c r="DL1067" s="3"/>
      <c r="DM1067" s="3"/>
      <c r="DN1067" s="3"/>
      <c r="DO1067" s="3"/>
      <c r="DP1067" s="3"/>
      <c r="DQ1067" s="3"/>
      <c r="DR1067" s="3"/>
      <c r="DS1067" s="3"/>
      <c r="DT1067" s="3"/>
      <c r="DU1067" s="3"/>
      <c r="DV1067" s="3"/>
      <c r="DW1067" s="3"/>
      <c r="DX1067" s="3"/>
      <c r="DY1067" s="3"/>
      <c r="DZ1067" s="3"/>
      <c r="EA1067" s="3"/>
      <c r="EB1067" s="3"/>
      <c r="EC1067" s="3"/>
      <c r="ED1067" s="3"/>
      <c r="EE1067" s="3"/>
      <c r="EF1067" s="3"/>
      <c r="EG1067" s="3"/>
      <c r="EH1067" s="3"/>
      <c r="EI1067" s="3"/>
      <c r="EJ1067" s="3"/>
      <c r="EK1067" s="3"/>
      <c r="EL1067" s="3"/>
      <c r="EM1067" s="3"/>
      <c r="EN1067" s="3"/>
      <c r="EO1067" s="3"/>
      <c r="EP1067" s="3"/>
      <c r="EQ1067" s="3"/>
      <c r="ER1067" s="3"/>
      <c r="ES1067" s="3"/>
      <c r="ET1067" s="3"/>
      <c r="EU1067" s="3"/>
      <c r="EV1067" s="3"/>
      <c r="EW1067" s="3"/>
      <c r="EX1067" s="3"/>
      <c r="EY1067" s="3"/>
      <c r="EZ1067" s="3"/>
      <c r="FA1067" s="3"/>
      <c r="FB1067" s="3"/>
      <c r="FC1067" s="3"/>
      <c r="FD1067" s="3"/>
      <c r="FE1067" s="3"/>
      <c r="FF1067" s="3"/>
      <c r="FG1067" s="3"/>
      <c r="FH1067" s="3"/>
      <c r="FI1067" s="3"/>
      <c r="FJ1067" s="3"/>
      <c r="FK1067" s="3"/>
      <c r="FL1067" s="3"/>
      <c r="FM1067" s="3"/>
      <c r="FN1067" s="3"/>
      <c r="FO1067" s="3"/>
      <c r="FP1067" s="3"/>
      <c r="FQ1067" s="3"/>
      <c r="FR1067" s="3"/>
      <c r="FS1067" s="3"/>
      <c r="FT1067" s="3"/>
      <c r="FU1067" s="3"/>
      <c r="FV1067" s="3"/>
      <c r="FW1067" s="3"/>
      <c r="FX1067" s="3"/>
      <c r="FY1067" s="3"/>
    </row>
    <row r="1068" spans="7:181" ht="15" x14ac:dyDescent="0.25">
      <c r="G1068" s="2"/>
      <c r="H1068" s="2"/>
      <c r="I1068" s="2"/>
      <c r="J1068" s="2"/>
      <c r="K1068" s="2"/>
      <c r="L1068" s="3"/>
      <c r="M1068" s="3"/>
      <c r="N1068" s="3"/>
      <c r="O1068" s="3"/>
      <c r="P1068" s="3"/>
      <c r="Q1068" s="3"/>
      <c r="R1068" s="3"/>
      <c r="S1068" s="3"/>
      <c r="T1068" s="3"/>
      <c r="U1068" s="4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4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4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4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  <c r="DI1068" s="3"/>
      <c r="DJ1068" s="3"/>
      <c r="DK1068" s="3"/>
      <c r="DL1068" s="3"/>
      <c r="DM1068" s="3"/>
      <c r="DN1068" s="3"/>
      <c r="DO1068" s="3"/>
      <c r="DP1068" s="3"/>
      <c r="DQ1068" s="3"/>
      <c r="DR1068" s="3"/>
      <c r="DS1068" s="3"/>
      <c r="DT1068" s="3"/>
      <c r="DU1068" s="3"/>
      <c r="DV1068" s="3"/>
      <c r="DW1068" s="3"/>
      <c r="DX1068" s="3"/>
      <c r="DY1068" s="3"/>
      <c r="DZ1068" s="3"/>
      <c r="EA1068" s="3"/>
      <c r="EB1068" s="3"/>
      <c r="EC1068" s="3"/>
      <c r="ED1068" s="3"/>
      <c r="EE1068" s="3"/>
      <c r="EF1068" s="3"/>
      <c r="EG1068" s="3"/>
      <c r="EH1068" s="3"/>
      <c r="EI1068" s="3"/>
      <c r="EJ1068" s="3"/>
      <c r="EK1068" s="3"/>
      <c r="EL1068" s="3"/>
      <c r="EM1068" s="3"/>
      <c r="EN1068" s="3"/>
      <c r="EO1068" s="3"/>
      <c r="EP1068" s="3"/>
      <c r="EQ1068" s="3"/>
      <c r="ER1068" s="3"/>
      <c r="ES1068" s="3"/>
      <c r="ET1068" s="3"/>
      <c r="EU1068" s="3"/>
      <c r="EV1068" s="3"/>
      <c r="EW1068" s="3"/>
      <c r="EX1068" s="3"/>
      <c r="EY1068" s="3"/>
      <c r="EZ1068" s="3"/>
      <c r="FA1068" s="3"/>
      <c r="FB1068" s="3"/>
      <c r="FC1068" s="3"/>
      <c r="FD1068" s="3"/>
      <c r="FE1068" s="3"/>
      <c r="FF1068" s="3"/>
      <c r="FG1068" s="3"/>
      <c r="FH1068" s="3"/>
      <c r="FI1068" s="3"/>
      <c r="FJ1068" s="3"/>
      <c r="FK1068" s="3"/>
      <c r="FL1068" s="3"/>
      <c r="FM1068" s="3"/>
      <c r="FN1068" s="3"/>
      <c r="FO1068" s="3"/>
      <c r="FP1068" s="3"/>
      <c r="FQ1068" s="3"/>
      <c r="FR1068" s="3"/>
      <c r="FS1068" s="3"/>
      <c r="FT1068" s="3"/>
      <c r="FU1068" s="3"/>
      <c r="FV1068" s="3"/>
      <c r="FW1068" s="3"/>
      <c r="FX1068" s="3"/>
      <c r="FY1068" s="3"/>
    </row>
    <row r="1069" spans="7:181" ht="15" x14ac:dyDescent="0.25">
      <c r="G1069" s="2"/>
      <c r="H1069" s="2"/>
      <c r="I1069" s="2"/>
      <c r="J1069" s="2"/>
      <c r="K1069" s="2"/>
      <c r="L1069" s="3"/>
      <c r="M1069" s="3"/>
      <c r="N1069" s="3"/>
      <c r="O1069" s="3"/>
      <c r="P1069" s="3"/>
      <c r="Q1069" s="3"/>
      <c r="R1069" s="3"/>
      <c r="S1069" s="3"/>
      <c r="T1069" s="3"/>
      <c r="U1069" s="4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4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4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4"/>
      <c r="BI1069" s="3"/>
      <c r="BJ1069" s="3"/>
      <c r="BK1069" s="3"/>
      <c r="BL1069" s="3"/>
      <c r="BM1069" s="3"/>
      <c r="BN1069" s="3"/>
      <c r="BO1069" s="3"/>
      <c r="BP1069" s="3"/>
      <c r="BQ1069" s="3"/>
      <c r="BR1069" s="3"/>
      <c r="BS1069" s="3"/>
      <c r="BT1069" s="3"/>
      <c r="BU1069" s="3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  <c r="DI1069" s="3"/>
      <c r="DJ1069" s="3"/>
      <c r="DK1069" s="3"/>
      <c r="DL1069" s="3"/>
      <c r="DM1069" s="3"/>
      <c r="DN1069" s="3"/>
      <c r="DO1069" s="3"/>
      <c r="DP1069" s="3"/>
      <c r="DQ1069" s="3"/>
      <c r="DR1069" s="3"/>
      <c r="DS1069" s="3"/>
      <c r="DT1069" s="3"/>
      <c r="DU1069" s="3"/>
      <c r="DV1069" s="3"/>
      <c r="DW1069" s="3"/>
      <c r="DX1069" s="3"/>
      <c r="DY1069" s="3"/>
      <c r="DZ1069" s="3"/>
      <c r="EA1069" s="3"/>
      <c r="EB1069" s="3"/>
      <c r="EC1069" s="3"/>
      <c r="ED1069" s="3"/>
      <c r="EE1069" s="3"/>
      <c r="EF1069" s="3"/>
      <c r="EG1069" s="3"/>
      <c r="EH1069" s="3"/>
      <c r="EI1069" s="3"/>
      <c r="EJ1069" s="3"/>
      <c r="EK1069" s="3"/>
      <c r="EL1069" s="3"/>
      <c r="EM1069" s="3"/>
      <c r="EN1069" s="3"/>
      <c r="EO1069" s="3"/>
      <c r="EP1069" s="3"/>
      <c r="EQ1069" s="3"/>
      <c r="ER1069" s="3"/>
      <c r="ES1069" s="3"/>
      <c r="ET1069" s="3"/>
      <c r="EU1069" s="3"/>
      <c r="EV1069" s="3"/>
      <c r="EW1069" s="3"/>
      <c r="EX1069" s="3"/>
      <c r="EY1069" s="3"/>
      <c r="EZ1069" s="3"/>
      <c r="FA1069" s="3"/>
      <c r="FB1069" s="3"/>
      <c r="FC1069" s="3"/>
      <c r="FD1069" s="3"/>
      <c r="FE1069" s="3"/>
      <c r="FF1069" s="3"/>
      <c r="FG1069" s="3"/>
      <c r="FH1069" s="3"/>
      <c r="FI1069" s="3"/>
      <c r="FJ1069" s="3"/>
      <c r="FK1069" s="3"/>
      <c r="FL1069" s="3"/>
      <c r="FM1069" s="3"/>
      <c r="FN1069" s="3"/>
      <c r="FO1069" s="3"/>
      <c r="FP1069" s="3"/>
      <c r="FQ1069" s="3"/>
      <c r="FR1069" s="3"/>
      <c r="FS1069" s="3"/>
      <c r="FT1069" s="3"/>
      <c r="FU1069" s="3"/>
      <c r="FV1069" s="3"/>
      <c r="FW1069" s="3"/>
      <c r="FX1069" s="3"/>
      <c r="FY1069" s="3"/>
    </row>
    <row r="1070" spans="7:181" ht="15" x14ac:dyDescent="0.25">
      <c r="G1070" s="2"/>
      <c r="H1070" s="2"/>
      <c r="I1070" s="2"/>
      <c r="J1070" s="2"/>
      <c r="K1070" s="2"/>
      <c r="L1070" s="3"/>
      <c r="M1070" s="3"/>
      <c r="N1070" s="3"/>
      <c r="O1070" s="3"/>
      <c r="P1070" s="3"/>
      <c r="Q1070" s="3"/>
      <c r="R1070" s="3"/>
      <c r="S1070" s="3"/>
      <c r="T1070" s="3"/>
      <c r="U1070" s="4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4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4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4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  <c r="DP1070" s="3"/>
      <c r="DQ1070" s="3"/>
      <c r="DR1070" s="3"/>
      <c r="DS1070" s="3"/>
      <c r="DT1070" s="3"/>
      <c r="DU1070" s="3"/>
      <c r="DV1070" s="3"/>
      <c r="DW1070" s="3"/>
      <c r="DX1070" s="3"/>
      <c r="DY1070" s="3"/>
      <c r="DZ1070" s="3"/>
      <c r="EA1070" s="3"/>
      <c r="EB1070" s="3"/>
      <c r="EC1070" s="3"/>
      <c r="ED1070" s="3"/>
      <c r="EE1070" s="3"/>
      <c r="EF1070" s="3"/>
      <c r="EG1070" s="3"/>
      <c r="EH1070" s="3"/>
      <c r="EI1070" s="3"/>
      <c r="EJ1070" s="3"/>
      <c r="EK1070" s="3"/>
      <c r="EL1070" s="3"/>
      <c r="EM1070" s="3"/>
      <c r="EN1070" s="3"/>
      <c r="EO1070" s="3"/>
      <c r="EP1070" s="3"/>
      <c r="EQ1070" s="3"/>
      <c r="ER1070" s="3"/>
      <c r="ES1070" s="3"/>
      <c r="ET1070" s="3"/>
      <c r="EU1070" s="3"/>
      <c r="EV1070" s="3"/>
      <c r="EW1070" s="3"/>
      <c r="EX1070" s="3"/>
      <c r="EY1070" s="3"/>
      <c r="EZ1070" s="3"/>
      <c r="FA1070" s="3"/>
      <c r="FB1070" s="3"/>
      <c r="FC1070" s="3"/>
      <c r="FD1070" s="3"/>
      <c r="FE1070" s="3"/>
      <c r="FF1070" s="3"/>
      <c r="FG1070" s="3"/>
      <c r="FH1070" s="3"/>
      <c r="FI1070" s="3"/>
      <c r="FJ1070" s="3"/>
      <c r="FK1070" s="3"/>
      <c r="FL1070" s="3"/>
      <c r="FM1070" s="3"/>
      <c r="FN1070" s="3"/>
      <c r="FO1070" s="3"/>
      <c r="FP1070" s="3"/>
      <c r="FQ1070" s="3"/>
      <c r="FR1070" s="3"/>
      <c r="FS1070" s="3"/>
      <c r="FT1070" s="3"/>
      <c r="FU1070" s="3"/>
      <c r="FV1070" s="3"/>
      <c r="FW1070" s="3"/>
      <c r="FX1070" s="3"/>
      <c r="FY1070" s="3"/>
    </row>
    <row r="1071" spans="7:181" ht="15" x14ac:dyDescent="0.25">
      <c r="G1071" s="2"/>
      <c r="H1071" s="2"/>
      <c r="I1071" s="2"/>
      <c r="J1071" s="2"/>
      <c r="K1071" s="2"/>
      <c r="L1071" s="3"/>
      <c r="M1071" s="3"/>
      <c r="N1071" s="3"/>
      <c r="O1071" s="3"/>
      <c r="P1071" s="3"/>
      <c r="Q1071" s="3"/>
      <c r="R1071" s="3"/>
      <c r="S1071" s="3"/>
      <c r="T1071" s="3"/>
      <c r="U1071" s="4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4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4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4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  <c r="DS1071" s="3"/>
      <c r="DT1071" s="3"/>
      <c r="DU1071" s="3"/>
      <c r="DV1071" s="3"/>
      <c r="DW1071" s="3"/>
      <c r="DX1071" s="3"/>
      <c r="DY1071" s="3"/>
      <c r="DZ1071" s="3"/>
      <c r="EA1071" s="3"/>
      <c r="EB1071" s="3"/>
      <c r="EC1071" s="3"/>
      <c r="ED1071" s="3"/>
      <c r="EE1071" s="3"/>
      <c r="EF1071" s="3"/>
      <c r="EG1071" s="3"/>
      <c r="EH1071" s="3"/>
      <c r="EI1071" s="3"/>
      <c r="EJ1071" s="3"/>
      <c r="EK1071" s="3"/>
      <c r="EL1071" s="3"/>
      <c r="EM1071" s="3"/>
      <c r="EN1071" s="3"/>
      <c r="EO1071" s="3"/>
      <c r="EP1071" s="3"/>
      <c r="EQ1071" s="3"/>
      <c r="ER1071" s="3"/>
      <c r="ES1071" s="3"/>
      <c r="ET1071" s="3"/>
      <c r="EU1071" s="3"/>
      <c r="EV1071" s="3"/>
      <c r="EW1071" s="3"/>
      <c r="EX1071" s="3"/>
      <c r="EY1071" s="3"/>
      <c r="EZ1071" s="3"/>
      <c r="FA1071" s="3"/>
      <c r="FB1071" s="3"/>
      <c r="FC1071" s="3"/>
      <c r="FD1071" s="3"/>
      <c r="FE1071" s="3"/>
      <c r="FF1071" s="3"/>
      <c r="FG1071" s="3"/>
      <c r="FH1071" s="3"/>
      <c r="FI1071" s="3"/>
      <c r="FJ1071" s="3"/>
      <c r="FK1071" s="3"/>
      <c r="FL1071" s="3"/>
      <c r="FM1071" s="3"/>
      <c r="FN1071" s="3"/>
      <c r="FO1071" s="3"/>
      <c r="FP1071" s="3"/>
      <c r="FQ1071" s="3"/>
      <c r="FR1071" s="3"/>
      <c r="FS1071" s="3"/>
      <c r="FT1071" s="3"/>
      <c r="FU1071" s="3"/>
      <c r="FV1071" s="3"/>
      <c r="FW1071" s="3"/>
      <c r="FX1071" s="3"/>
      <c r="FY1071" s="3"/>
    </row>
    <row r="1072" spans="7:181" ht="15" x14ac:dyDescent="0.25">
      <c r="G1072" s="2"/>
      <c r="H1072" s="2"/>
      <c r="I1072" s="2"/>
      <c r="J1072" s="2"/>
      <c r="K1072" s="2"/>
      <c r="L1072" s="3"/>
      <c r="M1072" s="3"/>
      <c r="N1072" s="3"/>
      <c r="O1072" s="3"/>
      <c r="P1072" s="3"/>
      <c r="Q1072" s="3"/>
      <c r="R1072" s="3"/>
      <c r="S1072" s="3"/>
      <c r="T1072" s="3"/>
      <c r="U1072" s="4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4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4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4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  <c r="DP1072" s="3"/>
      <c r="DQ1072" s="3"/>
      <c r="DR1072" s="3"/>
      <c r="DS1072" s="3"/>
      <c r="DT1072" s="3"/>
      <c r="DU1072" s="3"/>
      <c r="DV1072" s="3"/>
      <c r="DW1072" s="3"/>
      <c r="DX1072" s="3"/>
      <c r="DY1072" s="3"/>
      <c r="DZ1072" s="3"/>
      <c r="EA1072" s="3"/>
      <c r="EB1072" s="3"/>
      <c r="EC1072" s="3"/>
      <c r="ED1072" s="3"/>
      <c r="EE1072" s="3"/>
      <c r="EF1072" s="3"/>
      <c r="EG1072" s="3"/>
      <c r="EH1072" s="3"/>
      <c r="EI1072" s="3"/>
      <c r="EJ1072" s="3"/>
      <c r="EK1072" s="3"/>
      <c r="EL1072" s="3"/>
      <c r="EM1072" s="3"/>
      <c r="EN1072" s="3"/>
      <c r="EO1072" s="3"/>
      <c r="EP1072" s="3"/>
      <c r="EQ1072" s="3"/>
      <c r="ER1072" s="3"/>
      <c r="ES1072" s="3"/>
      <c r="ET1072" s="3"/>
      <c r="EU1072" s="3"/>
      <c r="EV1072" s="3"/>
      <c r="EW1072" s="3"/>
      <c r="EX1072" s="3"/>
      <c r="EY1072" s="3"/>
      <c r="EZ1072" s="3"/>
      <c r="FA1072" s="3"/>
      <c r="FB1072" s="3"/>
      <c r="FC1072" s="3"/>
      <c r="FD1072" s="3"/>
      <c r="FE1072" s="3"/>
      <c r="FF1072" s="3"/>
      <c r="FG1072" s="3"/>
      <c r="FH1072" s="3"/>
      <c r="FI1072" s="3"/>
      <c r="FJ1072" s="3"/>
      <c r="FK1072" s="3"/>
      <c r="FL1072" s="3"/>
      <c r="FM1072" s="3"/>
      <c r="FN1072" s="3"/>
      <c r="FO1072" s="3"/>
      <c r="FP1072" s="3"/>
      <c r="FQ1072" s="3"/>
      <c r="FR1072" s="3"/>
      <c r="FS1072" s="3"/>
      <c r="FT1072" s="3"/>
      <c r="FU1072" s="3"/>
      <c r="FV1072" s="3"/>
      <c r="FW1072" s="3"/>
      <c r="FX1072" s="3"/>
      <c r="FY1072" s="3"/>
    </row>
    <row r="1073" spans="7:181" ht="15" x14ac:dyDescent="0.25">
      <c r="G1073" s="2"/>
      <c r="H1073" s="2"/>
      <c r="I1073" s="2"/>
      <c r="J1073" s="2"/>
      <c r="K1073" s="2"/>
      <c r="L1073" s="3"/>
      <c r="M1073" s="3"/>
      <c r="N1073" s="3"/>
      <c r="O1073" s="3"/>
      <c r="P1073" s="3"/>
      <c r="Q1073" s="3"/>
      <c r="R1073" s="3"/>
      <c r="S1073" s="3"/>
      <c r="T1073" s="3"/>
      <c r="U1073" s="4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4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4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4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  <c r="DS1073" s="3"/>
      <c r="DT1073" s="3"/>
      <c r="DU1073" s="3"/>
      <c r="DV1073" s="3"/>
      <c r="DW1073" s="3"/>
      <c r="DX1073" s="3"/>
      <c r="DY1073" s="3"/>
      <c r="DZ1073" s="3"/>
      <c r="EA1073" s="3"/>
      <c r="EB1073" s="3"/>
      <c r="EC1073" s="3"/>
      <c r="ED1073" s="3"/>
      <c r="EE1073" s="3"/>
      <c r="EF1073" s="3"/>
      <c r="EG1073" s="3"/>
      <c r="EH1073" s="3"/>
      <c r="EI1073" s="3"/>
      <c r="EJ1073" s="3"/>
      <c r="EK1073" s="3"/>
      <c r="EL1073" s="3"/>
      <c r="EM1073" s="3"/>
      <c r="EN1073" s="3"/>
      <c r="EO1073" s="3"/>
      <c r="EP1073" s="3"/>
      <c r="EQ1073" s="3"/>
      <c r="ER1073" s="3"/>
      <c r="ES1073" s="3"/>
      <c r="ET1073" s="3"/>
      <c r="EU1073" s="3"/>
      <c r="EV1073" s="3"/>
      <c r="EW1073" s="3"/>
      <c r="EX1073" s="3"/>
      <c r="EY1073" s="3"/>
      <c r="EZ1073" s="3"/>
      <c r="FA1073" s="3"/>
      <c r="FB1073" s="3"/>
      <c r="FC1073" s="3"/>
      <c r="FD1073" s="3"/>
      <c r="FE1073" s="3"/>
      <c r="FF1073" s="3"/>
      <c r="FG1073" s="3"/>
      <c r="FH1073" s="3"/>
      <c r="FI1073" s="3"/>
      <c r="FJ1073" s="3"/>
      <c r="FK1073" s="3"/>
      <c r="FL1073" s="3"/>
      <c r="FM1073" s="3"/>
      <c r="FN1073" s="3"/>
      <c r="FO1073" s="3"/>
      <c r="FP1073" s="3"/>
      <c r="FQ1073" s="3"/>
      <c r="FR1073" s="3"/>
      <c r="FS1073" s="3"/>
      <c r="FT1073" s="3"/>
      <c r="FU1073" s="3"/>
      <c r="FV1073" s="3"/>
      <c r="FW1073" s="3"/>
      <c r="FX1073" s="3"/>
      <c r="FY1073" s="3"/>
    </row>
    <row r="1074" spans="7:181" ht="15" x14ac:dyDescent="0.25">
      <c r="G1074" s="2"/>
      <c r="H1074" s="2"/>
      <c r="I1074" s="2"/>
      <c r="J1074" s="2"/>
      <c r="K1074" s="2"/>
      <c r="L1074" s="3"/>
      <c r="M1074" s="3"/>
      <c r="N1074" s="3"/>
      <c r="O1074" s="3"/>
      <c r="P1074" s="3"/>
      <c r="Q1074" s="3"/>
      <c r="R1074" s="3"/>
      <c r="S1074" s="3"/>
      <c r="T1074" s="3"/>
      <c r="U1074" s="4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4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4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4"/>
      <c r="BI1074" s="3"/>
      <c r="BJ1074" s="3"/>
      <c r="BK1074" s="3"/>
      <c r="BL1074" s="3"/>
      <c r="BM1074" s="3"/>
      <c r="BN1074" s="3"/>
      <c r="BO1074" s="3"/>
      <c r="BP1074" s="3"/>
      <c r="BQ1074" s="3"/>
      <c r="BR1074" s="3"/>
      <c r="BS1074" s="3"/>
      <c r="BT1074" s="3"/>
      <c r="BU1074" s="3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  <c r="DS1074" s="3"/>
      <c r="DT1074" s="3"/>
      <c r="DU1074" s="3"/>
      <c r="DV1074" s="3"/>
      <c r="DW1074" s="3"/>
      <c r="DX1074" s="3"/>
      <c r="DY1074" s="3"/>
      <c r="DZ1074" s="3"/>
      <c r="EA1074" s="3"/>
      <c r="EB1074" s="3"/>
      <c r="EC1074" s="3"/>
      <c r="ED1074" s="3"/>
      <c r="EE1074" s="3"/>
      <c r="EF1074" s="3"/>
      <c r="EG1074" s="3"/>
      <c r="EH1074" s="3"/>
      <c r="EI1074" s="3"/>
      <c r="EJ1074" s="3"/>
      <c r="EK1074" s="3"/>
      <c r="EL1074" s="3"/>
      <c r="EM1074" s="3"/>
      <c r="EN1074" s="3"/>
      <c r="EO1074" s="3"/>
      <c r="EP1074" s="3"/>
      <c r="EQ1074" s="3"/>
      <c r="ER1074" s="3"/>
      <c r="ES1074" s="3"/>
      <c r="ET1074" s="3"/>
      <c r="EU1074" s="3"/>
      <c r="EV1074" s="3"/>
      <c r="EW1074" s="3"/>
      <c r="EX1074" s="3"/>
      <c r="EY1074" s="3"/>
      <c r="EZ1074" s="3"/>
      <c r="FA1074" s="3"/>
      <c r="FB1074" s="3"/>
      <c r="FC1074" s="3"/>
      <c r="FD1074" s="3"/>
      <c r="FE1074" s="3"/>
      <c r="FF1074" s="3"/>
      <c r="FG1074" s="3"/>
      <c r="FH1074" s="3"/>
      <c r="FI1074" s="3"/>
      <c r="FJ1074" s="3"/>
      <c r="FK1074" s="3"/>
      <c r="FL1074" s="3"/>
      <c r="FM1074" s="3"/>
      <c r="FN1074" s="3"/>
      <c r="FO1074" s="3"/>
      <c r="FP1074" s="3"/>
      <c r="FQ1074" s="3"/>
      <c r="FR1074" s="3"/>
      <c r="FS1074" s="3"/>
      <c r="FT1074" s="3"/>
      <c r="FU1074" s="3"/>
      <c r="FV1074" s="3"/>
      <c r="FW1074" s="3"/>
      <c r="FX1074" s="3"/>
      <c r="FY1074" s="3"/>
    </row>
    <row r="1075" spans="7:181" ht="15" x14ac:dyDescent="0.25">
      <c r="G1075" s="2"/>
      <c r="H1075" s="2"/>
      <c r="I1075" s="2"/>
      <c r="J1075" s="2"/>
      <c r="K1075" s="2"/>
      <c r="L1075" s="3"/>
      <c r="M1075" s="3"/>
      <c r="N1075" s="3"/>
      <c r="O1075" s="3"/>
      <c r="P1075" s="3"/>
      <c r="Q1075" s="3"/>
      <c r="R1075" s="3"/>
      <c r="S1075" s="3"/>
      <c r="T1075" s="3"/>
      <c r="U1075" s="4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4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4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4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  <c r="DS1075" s="3"/>
      <c r="DT1075" s="3"/>
      <c r="DU1075" s="3"/>
      <c r="DV1075" s="3"/>
      <c r="DW1075" s="3"/>
      <c r="DX1075" s="3"/>
      <c r="DY1075" s="3"/>
      <c r="DZ1075" s="3"/>
      <c r="EA1075" s="3"/>
      <c r="EB1075" s="3"/>
      <c r="EC1075" s="3"/>
      <c r="ED1075" s="3"/>
      <c r="EE1075" s="3"/>
      <c r="EF1075" s="3"/>
      <c r="EG1075" s="3"/>
      <c r="EH1075" s="3"/>
      <c r="EI1075" s="3"/>
      <c r="EJ1075" s="3"/>
      <c r="EK1075" s="3"/>
      <c r="EL1075" s="3"/>
      <c r="EM1075" s="3"/>
      <c r="EN1075" s="3"/>
      <c r="EO1075" s="3"/>
      <c r="EP1075" s="3"/>
      <c r="EQ1075" s="3"/>
      <c r="ER1075" s="3"/>
      <c r="ES1075" s="3"/>
      <c r="ET1075" s="3"/>
      <c r="EU1075" s="3"/>
      <c r="EV1075" s="3"/>
      <c r="EW1075" s="3"/>
      <c r="EX1075" s="3"/>
      <c r="EY1075" s="3"/>
      <c r="EZ1075" s="3"/>
      <c r="FA1075" s="3"/>
      <c r="FB1075" s="3"/>
      <c r="FC1075" s="3"/>
      <c r="FD1075" s="3"/>
      <c r="FE1075" s="3"/>
      <c r="FF1075" s="3"/>
      <c r="FG1075" s="3"/>
      <c r="FH1075" s="3"/>
      <c r="FI1075" s="3"/>
      <c r="FJ1075" s="3"/>
      <c r="FK1075" s="3"/>
      <c r="FL1075" s="3"/>
      <c r="FM1075" s="3"/>
      <c r="FN1075" s="3"/>
      <c r="FO1075" s="3"/>
      <c r="FP1075" s="3"/>
      <c r="FQ1075" s="3"/>
      <c r="FR1075" s="3"/>
      <c r="FS1075" s="3"/>
      <c r="FT1075" s="3"/>
      <c r="FU1075" s="3"/>
      <c r="FV1075" s="3"/>
      <c r="FW1075" s="3"/>
      <c r="FX1075" s="3"/>
      <c r="FY1075" s="3"/>
    </row>
    <row r="1076" spans="7:181" ht="15" x14ac:dyDescent="0.25">
      <c r="G1076" s="2"/>
      <c r="H1076" s="2"/>
      <c r="I1076" s="2"/>
      <c r="J1076" s="2"/>
      <c r="K1076" s="2"/>
      <c r="L1076" s="3"/>
      <c r="M1076" s="3"/>
      <c r="N1076" s="3"/>
      <c r="O1076" s="3"/>
      <c r="P1076" s="3"/>
      <c r="Q1076" s="3"/>
      <c r="R1076" s="3"/>
      <c r="S1076" s="3"/>
      <c r="T1076" s="3"/>
      <c r="U1076" s="4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4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4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4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  <c r="DI1076" s="3"/>
      <c r="DJ1076" s="3"/>
      <c r="DK1076" s="3"/>
      <c r="DL1076" s="3"/>
      <c r="DM1076" s="3"/>
      <c r="DN1076" s="3"/>
      <c r="DO1076" s="3"/>
      <c r="DP1076" s="3"/>
      <c r="DQ1076" s="3"/>
      <c r="DR1076" s="3"/>
      <c r="DS1076" s="3"/>
      <c r="DT1076" s="3"/>
      <c r="DU1076" s="3"/>
      <c r="DV1076" s="3"/>
      <c r="DW1076" s="3"/>
      <c r="DX1076" s="3"/>
      <c r="DY1076" s="3"/>
      <c r="DZ1076" s="3"/>
      <c r="EA1076" s="3"/>
      <c r="EB1076" s="3"/>
      <c r="EC1076" s="3"/>
      <c r="ED1076" s="3"/>
      <c r="EE1076" s="3"/>
      <c r="EF1076" s="3"/>
      <c r="EG1076" s="3"/>
      <c r="EH1076" s="3"/>
      <c r="EI1076" s="3"/>
      <c r="EJ1076" s="3"/>
      <c r="EK1076" s="3"/>
      <c r="EL1076" s="3"/>
      <c r="EM1076" s="3"/>
      <c r="EN1076" s="3"/>
      <c r="EO1076" s="3"/>
      <c r="EP1076" s="3"/>
      <c r="EQ1076" s="3"/>
      <c r="ER1076" s="3"/>
      <c r="ES1076" s="3"/>
      <c r="ET1076" s="3"/>
      <c r="EU1076" s="3"/>
      <c r="EV1076" s="3"/>
      <c r="EW1076" s="3"/>
      <c r="EX1076" s="3"/>
      <c r="EY1076" s="3"/>
      <c r="EZ1076" s="3"/>
      <c r="FA1076" s="3"/>
      <c r="FB1076" s="3"/>
      <c r="FC1076" s="3"/>
      <c r="FD1076" s="3"/>
      <c r="FE1076" s="3"/>
      <c r="FF1076" s="3"/>
      <c r="FG1076" s="3"/>
      <c r="FH1076" s="3"/>
      <c r="FI1076" s="3"/>
      <c r="FJ1076" s="3"/>
      <c r="FK1076" s="3"/>
      <c r="FL1076" s="3"/>
      <c r="FM1076" s="3"/>
      <c r="FN1076" s="3"/>
      <c r="FO1076" s="3"/>
      <c r="FP1076" s="3"/>
      <c r="FQ1076" s="3"/>
      <c r="FR1076" s="3"/>
      <c r="FS1076" s="3"/>
      <c r="FT1076" s="3"/>
      <c r="FU1076" s="3"/>
      <c r="FV1076" s="3"/>
      <c r="FW1076" s="3"/>
      <c r="FX1076" s="3"/>
      <c r="FY1076" s="3"/>
    </row>
    <row r="1077" spans="7:181" ht="15" x14ac:dyDescent="0.25">
      <c r="G1077" s="2"/>
      <c r="H1077" s="2"/>
      <c r="I1077" s="2"/>
      <c r="J1077" s="2"/>
      <c r="K1077" s="2"/>
      <c r="L1077" s="3"/>
      <c r="M1077" s="3"/>
      <c r="N1077" s="3"/>
      <c r="O1077" s="3"/>
      <c r="P1077" s="3"/>
      <c r="Q1077" s="3"/>
      <c r="R1077" s="3"/>
      <c r="S1077" s="3"/>
      <c r="T1077" s="3"/>
      <c r="U1077" s="4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4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4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4"/>
      <c r="BI1077" s="3"/>
      <c r="BJ1077" s="3"/>
      <c r="BK1077" s="3"/>
      <c r="BL1077" s="3"/>
      <c r="BM1077" s="3"/>
      <c r="BN1077" s="3"/>
      <c r="BO1077" s="3"/>
      <c r="BP1077" s="3"/>
      <c r="BQ1077" s="3"/>
      <c r="BR1077" s="3"/>
      <c r="BS1077" s="3"/>
      <c r="BT1077" s="3"/>
      <c r="BU1077" s="3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  <c r="DS1077" s="3"/>
      <c r="DT1077" s="3"/>
      <c r="DU1077" s="3"/>
      <c r="DV1077" s="3"/>
      <c r="DW1077" s="3"/>
      <c r="DX1077" s="3"/>
      <c r="DY1077" s="3"/>
      <c r="DZ1077" s="3"/>
      <c r="EA1077" s="3"/>
      <c r="EB1077" s="3"/>
      <c r="EC1077" s="3"/>
      <c r="ED1077" s="3"/>
      <c r="EE1077" s="3"/>
      <c r="EF1077" s="3"/>
      <c r="EG1077" s="3"/>
      <c r="EH1077" s="3"/>
      <c r="EI1077" s="3"/>
      <c r="EJ1077" s="3"/>
      <c r="EK1077" s="3"/>
      <c r="EL1077" s="3"/>
      <c r="EM1077" s="3"/>
      <c r="EN1077" s="3"/>
      <c r="EO1077" s="3"/>
      <c r="EP1077" s="3"/>
      <c r="EQ1077" s="3"/>
      <c r="ER1077" s="3"/>
      <c r="ES1077" s="3"/>
      <c r="ET1077" s="3"/>
      <c r="EU1077" s="3"/>
      <c r="EV1077" s="3"/>
      <c r="EW1077" s="3"/>
      <c r="EX1077" s="3"/>
      <c r="EY1077" s="3"/>
      <c r="EZ1077" s="3"/>
      <c r="FA1077" s="3"/>
      <c r="FB1077" s="3"/>
      <c r="FC1077" s="3"/>
      <c r="FD1077" s="3"/>
      <c r="FE1077" s="3"/>
      <c r="FF1077" s="3"/>
      <c r="FG1077" s="3"/>
      <c r="FH1077" s="3"/>
      <c r="FI1077" s="3"/>
      <c r="FJ1077" s="3"/>
      <c r="FK1077" s="3"/>
      <c r="FL1077" s="3"/>
      <c r="FM1077" s="3"/>
      <c r="FN1077" s="3"/>
      <c r="FO1077" s="3"/>
      <c r="FP1077" s="3"/>
      <c r="FQ1077" s="3"/>
      <c r="FR1077" s="3"/>
      <c r="FS1077" s="3"/>
      <c r="FT1077" s="3"/>
      <c r="FU1077" s="3"/>
      <c r="FV1077" s="3"/>
      <c r="FW1077" s="3"/>
      <c r="FX1077" s="3"/>
      <c r="FY1077" s="3"/>
    </row>
    <row r="1078" spans="7:181" ht="15" x14ac:dyDescent="0.25">
      <c r="G1078" s="2"/>
      <c r="H1078" s="2"/>
      <c r="I1078" s="2"/>
      <c r="J1078" s="2"/>
      <c r="K1078" s="2"/>
      <c r="L1078" s="3"/>
      <c r="M1078" s="3"/>
      <c r="N1078" s="3"/>
      <c r="O1078" s="3"/>
      <c r="P1078" s="3"/>
      <c r="Q1078" s="3"/>
      <c r="R1078" s="3"/>
      <c r="S1078" s="3"/>
      <c r="T1078" s="3"/>
      <c r="U1078" s="4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4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4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4"/>
      <c r="BI1078" s="3"/>
      <c r="BJ1078" s="3"/>
      <c r="BK1078" s="3"/>
      <c r="BL1078" s="3"/>
      <c r="BM1078" s="3"/>
      <c r="BN1078" s="3"/>
      <c r="BO1078" s="3"/>
      <c r="BP1078" s="3"/>
      <c r="BQ1078" s="3"/>
      <c r="BR1078" s="3"/>
      <c r="BS1078" s="3"/>
      <c r="BT1078" s="3"/>
      <c r="BU1078" s="3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  <c r="DS1078" s="3"/>
      <c r="DT1078" s="3"/>
      <c r="DU1078" s="3"/>
      <c r="DV1078" s="3"/>
      <c r="DW1078" s="3"/>
      <c r="DX1078" s="3"/>
      <c r="DY1078" s="3"/>
      <c r="DZ1078" s="3"/>
      <c r="EA1078" s="3"/>
      <c r="EB1078" s="3"/>
      <c r="EC1078" s="3"/>
      <c r="ED1078" s="3"/>
      <c r="EE1078" s="3"/>
      <c r="EF1078" s="3"/>
      <c r="EG1078" s="3"/>
      <c r="EH1078" s="3"/>
      <c r="EI1078" s="3"/>
      <c r="EJ1078" s="3"/>
      <c r="EK1078" s="3"/>
      <c r="EL1078" s="3"/>
      <c r="EM1078" s="3"/>
      <c r="EN1078" s="3"/>
      <c r="EO1078" s="3"/>
      <c r="EP1078" s="3"/>
      <c r="EQ1078" s="3"/>
      <c r="ER1078" s="3"/>
      <c r="ES1078" s="3"/>
      <c r="ET1078" s="3"/>
      <c r="EU1078" s="3"/>
      <c r="EV1078" s="3"/>
      <c r="EW1078" s="3"/>
      <c r="EX1078" s="3"/>
      <c r="EY1078" s="3"/>
      <c r="EZ1078" s="3"/>
      <c r="FA1078" s="3"/>
      <c r="FB1078" s="3"/>
      <c r="FC1078" s="3"/>
      <c r="FD1078" s="3"/>
      <c r="FE1078" s="3"/>
      <c r="FF1078" s="3"/>
      <c r="FG1078" s="3"/>
      <c r="FH1078" s="3"/>
      <c r="FI1078" s="3"/>
      <c r="FJ1078" s="3"/>
      <c r="FK1078" s="3"/>
      <c r="FL1078" s="3"/>
      <c r="FM1078" s="3"/>
      <c r="FN1078" s="3"/>
      <c r="FO1078" s="3"/>
      <c r="FP1078" s="3"/>
      <c r="FQ1078" s="3"/>
      <c r="FR1078" s="3"/>
      <c r="FS1078" s="3"/>
      <c r="FT1078" s="3"/>
      <c r="FU1078" s="3"/>
      <c r="FV1078" s="3"/>
      <c r="FW1078" s="3"/>
      <c r="FX1078" s="3"/>
      <c r="FY1078" s="3"/>
    </row>
    <row r="1079" spans="7:181" ht="15" x14ac:dyDescent="0.25">
      <c r="G1079" s="2"/>
      <c r="H1079" s="2"/>
      <c r="I1079" s="2"/>
      <c r="J1079" s="2"/>
      <c r="K1079" s="2"/>
      <c r="L1079" s="3"/>
      <c r="M1079" s="3"/>
      <c r="N1079" s="3"/>
      <c r="O1079" s="3"/>
      <c r="P1079" s="3"/>
      <c r="Q1079" s="3"/>
      <c r="R1079" s="3"/>
      <c r="S1079" s="3"/>
      <c r="T1079" s="3"/>
      <c r="U1079" s="4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4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4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4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  <c r="DS1079" s="3"/>
      <c r="DT1079" s="3"/>
      <c r="DU1079" s="3"/>
      <c r="DV1079" s="3"/>
      <c r="DW1079" s="3"/>
      <c r="DX1079" s="3"/>
      <c r="DY1079" s="3"/>
      <c r="DZ1079" s="3"/>
      <c r="EA1079" s="3"/>
      <c r="EB1079" s="3"/>
      <c r="EC1079" s="3"/>
      <c r="ED1079" s="3"/>
      <c r="EE1079" s="3"/>
      <c r="EF1079" s="3"/>
      <c r="EG1079" s="3"/>
      <c r="EH1079" s="3"/>
      <c r="EI1079" s="3"/>
      <c r="EJ1079" s="3"/>
      <c r="EK1079" s="3"/>
      <c r="EL1079" s="3"/>
      <c r="EM1079" s="3"/>
      <c r="EN1079" s="3"/>
      <c r="EO1079" s="3"/>
      <c r="EP1079" s="3"/>
      <c r="EQ1079" s="3"/>
      <c r="ER1079" s="3"/>
      <c r="ES1079" s="3"/>
      <c r="ET1079" s="3"/>
      <c r="EU1079" s="3"/>
      <c r="EV1079" s="3"/>
      <c r="EW1079" s="3"/>
      <c r="EX1079" s="3"/>
      <c r="EY1079" s="3"/>
      <c r="EZ1079" s="3"/>
      <c r="FA1079" s="3"/>
      <c r="FB1079" s="3"/>
      <c r="FC1079" s="3"/>
      <c r="FD1079" s="3"/>
      <c r="FE1079" s="3"/>
      <c r="FF1079" s="3"/>
      <c r="FG1079" s="3"/>
      <c r="FH1079" s="3"/>
      <c r="FI1079" s="3"/>
      <c r="FJ1079" s="3"/>
      <c r="FK1079" s="3"/>
      <c r="FL1079" s="3"/>
      <c r="FM1079" s="3"/>
      <c r="FN1079" s="3"/>
      <c r="FO1079" s="3"/>
      <c r="FP1079" s="3"/>
      <c r="FQ1079" s="3"/>
      <c r="FR1079" s="3"/>
      <c r="FS1079" s="3"/>
      <c r="FT1079" s="3"/>
      <c r="FU1079" s="3"/>
      <c r="FV1079" s="3"/>
      <c r="FW1079" s="3"/>
      <c r="FX1079" s="3"/>
      <c r="FY1079" s="3"/>
    </row>
    <row r="1080" spans="7:181" ht="15" x14ac:dyDescent="0.25">
      <c r="G1080" s="2"/>
      <c r="H1080" s="2"/>
      <c r="I1080" s="2"/>
      <c r="J1080" s="2"/>
      <c r="K1080" s="2"/>
      <c r="L1080" s="3"/>
      <c r="M1080" s="3"/>
      <c r="N1080" s="3"/>
      <c r="O1080" s="3"/>
      <c r="P1080" s="3"/>
      <c r="Q1080" s="3"/>
      <c r="R1080" s="3"/>
      <c r="S1080" s="3"/>
      <c r="T1080" s="3"/>
      <c r="U1080" s="4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4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4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4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  <c r="DS1080" s="3"/>
      <c r="DT1080" s="3"/>
      <c r="DU1080" s="3"/>
      <c r="DV1080" s="3"/>
      <c r="DW1080" s="3"/>
      <c r="DX1080" s="3"/>
      <c r="DY1080" s="3"/>
      <c r="DZ1080" s="3"/>
      <c r="EA1080" s="3"/>
      <c r="EB1080" s="3"/>
      <c r="EC1080" s="3"/>
      <c r="ED1080" s="3"/>
      <c r="EE1080" s="3"/>
      <c r="EF1080" s="3"/>
      <c r="EG1080" s="3"/>
      <c r="EH1080" s="3"/>
      <c r="EI1080" s="3"/>
      <c r="EJ1080" s="3"/>
      <c r="EK1080" s="3"/>
      <c r="EL1080" s="3"/>
      <c r="EM1080" s="3"/>
      <c r="EN1080" s="3"/>
      <c r="EO1080" s="3"/>
      <c r="EP1080" s="3"/>
      <c r="EQ1080" s="3"/>
      <c r="ER1080" s="3"/>
      <c r="ES1080" s="3"/>
      <c r="ET1080" s="3"/>
      <c r="EU1080" s="3"/>
      <c r="EV1080" s="3"/>
      <c r="EW1080" s="3"/>
      <c r="EX1080" s="3"/>
      <c r="EY1080" s="3"/>
      <c r="EZ1080" s="3"/>
      <c r="FA1080" s="3"/>
      <c r="FB1080" s="3"/>
      <c r="FC1080" s="3"/>
      <c r="FD1080" s="3"/>
      <c r="FE1080" s="3"/>
      <c r="FF1080" s="3"/>
      <c r="FG1080" s="3"/>
      <c r="FH1080" s="3"/>
      <c r="FI1080" s="3"/>
      <c r="FJ1080" s="3"/>
      <c r="FK1080" s="3"/>
      <c r="FL1080" s="3"/>
      <c r="FM1080" s="3"/>
      <c r="FN1080" s="3"/>
      <c r="FO1080" s="3"/>
      <c r="FP1080" s="3"/>
      <c r="FQ1080" s="3"/>
      <c r="FR1080" s="3"/>
      <c r="FS1080" s="3"/>
      <c r="FT1080" s="3"/>
      <c r="FU1080" s="3"/>
      <c r="FV1080" s="3"/>
      <c r="FW1080" s="3"/>
      <c r="FX1080" s="3"/>
      <c r="FY1080" s="3"/>
    </row>
    <row r="1081" spans="7:181" ht="15" x14ac:dyDescent="0.25">
      <c r="G1081" s="2"/>
      <c r="H1081" s="2"/>
      <c r="I1081" s="2"/>
      <c r="J1081" s="2"/>
      <c r="K1081" s="2"/>
      <c r="L1081" s="3"/>
      <c r="M1081" s="3"/>
      <c r="N1081" s="3"/>
      <c r="O1081" s="3"/>
      <c r="P1081" s="3"/>
      <c r="Q1081" s="3"/>
      <c r="R1081" s="3"/>
      <c r="S1081" s="3"/>
      <c r="T1081" s="3"/>
      <c r="U1081" s="4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4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4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4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  <c r="DS1081" s="3"/>
      <c r="DT1081" s="3"/>
      <c r="DU1081" s="3"/>
      <c r="DV1081" s="3"/>
      <c r="DW1081" s="3"/>
      <c r="DX1081" s="3"/>
      <c r="DY1081" s="3"/>
      <c r="DZ1081" s="3"/>
      <c r="EA1081" s="3"/>
      <c r="EB1081" s="3"/>
      <c r="EC1081" s="3"/>
      <c r="ED1081" s="3"/>
      <c r="EE1081" s="3"/>
      <c r="EF1081" s="3"/>
      <c r="EG1081" s="3"/>
      <c r="EH1081" s="3"/>
      <c r="EI1081" s="3"/>
      <c r="EJ1081" s="3"/>
      <c r="EK1081" s="3"/>
      <c r="EL1081" s="3"/>
      <c r="EM1081" s="3"/>
      <c r="EN1081" s="3"/>
      <c r="EO1081" s="3"/>
      <c r="EP1081" s="3"/>
      <c r="EQ1081" s="3"/>
      <c r="ER1081" s="3"/>
      <c r="ES1081" s="3"/>
      <c r="ET1081" s="3"/>
      <c r="EU1081" s="3"/>
      <c r="EV1081" s="3"/>
      <c r="EW1081" s="3"/>
      <c r="EX1081" s="3"/>
      <c r="EY1081" s="3"/>
      <c r="EZ1081" s="3"/>
      <c r="FA1081" s="3"/>
      <c r="FB1081" s="3"/>
      <c r="FC1081" s="3"/>
      <c r="FD1081" s="3"/>
      <c r="FE1081" s="3"/>
      <c r="FF1081" s="3"/>
      <c r="FG1081" s="3"/>
      <c r="FH1081" s="3"/>
      <c r="FI1081" s="3"/>
      <c r="FJ1081" s="3"/>
      <c r="FK1081" s="3"/>
      <c r="FL1081" s="3"/>
      <c r="FM1081" s="3"/>
      <c r="FN1081" s="3"/>
      <c r="FO1081" s="3"/>
      <c r="FP1081" s="3"/>
      <c r="FQ1081" s="3"/>
      <c r="FR1081" s="3"/>
      <c r="FS1081" s="3"/>
      <c r="FT1081" s="3"/>
      <c r="FU1081" s="3"/>
      <c r="FV1081" s="3"/>
      <c r="FW1081" s="3"/>
      <c r="FX1081" s="3"/>
      <c r="FY1081" s="3"/>
    </row>
    <row r="1082" spans="7:181" ht="15" x14ac:dyDescent="0.25">
      <c r="G1082" s="2"/>
      <c r="H1082" s="2"/>
      <c r="I1082" s="2"/>
      <c r="J1082" s="2"/>
      <c r="K1082" s="2"/>
      <c r="L1082" s="3"/>
      <c r="M1082" s="3"/>
      <c r="N1082" s="3"/>
      <c r="O1082" s="3"/>
      <c r="P1082" s="3"/>
      <c r="Q1082" s="3"/>
      <c r="R1082" s="3"/>
      <c r="S1082" s="3"/>
      <c r="T1082" s="3"/>
      <c r="U1082" s="4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4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4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4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  <c r="DS1082" s="3"/>
      <c r="DT1082" s="3"/>
      <c r="DU1082" s="3"/>
      <c r="DV1082" s="3"/>
      <c r="DW1082" s="3"/>
      <c r="DX1082" s="3"/>
      <c r="DY1082" s="3"/>
      <c r="DZ1082" s="3"/>
      <c r="EA1082" s="3"/>
      <c r="EB1082" s="3"/>
      <c r="EC1082" s="3"/>
      <c r="ED1082" s="3"/>
      <c r="EE1082" s="3"/>
      <c r="EF1082" s="3"/>
      <c r="EG1082" s="3"/>
      <c r="EH1082" s="3"/>
      <c r="EI1082" s="3"/>
      <c r="EJ1082" s="3"/>
      <c r="EK1082" s="3"/>
      <c r="EL1082" s="3"/>
      <c r="EM1082" s="3"/>
      <c r="EN1082" s="3"/>
      <c r="EO1082" s="3"/>
      <c r="EP1082" s="3"/>
      <c r="EQ1082" s="3"/>
      <c r="ER1082" s="3"/>
      <c r="ES1082" s="3"/>
      <c r="ET1082" s="3"/>
      <c r="EU1082" s="3"/>
      <c r="EV1082" s="3"/>
      <c r="EW1082" s="3"/>
      <c r="EX1082" s="3"/>
      <c r="EY1082" s="3"/>
      <c r="EZ1082" s="3"/>
      <c r="FA1082" s="3"/>
      <c r="FB1082" s="3"/>
      <c r="FC1082" s="3"/>
      <c r="FD1082" s="3"/>
      <c r="FE1082" s="3"/>
      <c r="FF1082" s="3"/>
      <c r="FG1082" s="3"/>
      <c r="FH1082" s="3"/>
      <c r="FI1082" s="3"/>
      <c r="FJ1082" s="3"/>
      <c r="FK1082" s="3"/>
      <c r="FL1082" s="3"/>
      <c r="FM1082" s="3"/>
      <c r="FN1082" s="3"/>
      <c r="FO1082" s="3"/>
      <c r="FP1082" s="3"/>
      <c r="FQ1082" s="3"/>
      <c r="FR1082" s="3"/>
      <c r="FS1082" s="3"/>
      <c r="FT1082" s="3"/>
      <c r="FU1082" s="3"/>
      <c r="FV1082" s="3"/>
      <c r="FW1082" s="3"/>
      <c r="FX1082" s="3"/>
      <c r="FY1082" s="3"/>
    </row>
    <row r="1083" spans="7:181" ht="15" x14ac:dyDescent="0.25">
      <c r="G1083" s="2"/>
      <c r="H1083" s="2"/>
      <c r="I1083" s="2"/>
      <c r="J1083" s="2"/>
      <c r="K1083" s="2"/>
      <c r="L1083" s="3"/>
      <c r="M1083" s="3"/>
      <c r="N1083" s="3"/>
      <c r="O1083" s="3"/>
      <c r="P1083" s="3"/>
      <c r="Q1083" s="3"/>
      <c r="R1083" s="3"/>
      <c r="S1083" s="3"/>
      <c r="T1083" s="3"/>
      <c r="U1083" s="4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4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4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4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  <c r="DS1083" s="3"/>
      <c r="DT1083" s="3"/>
      <c r="DU1083" s="3"/>
      <c r="DV1083" s="3"/>
      <c r="DW1083" s="3"/>
      <c r="DX1083" s="3"/>
      <c r="DY1083" s="3"/>
      <c r="DZ1083" s="3"/>
      <c r="EA1083" s="3"/>
      <c r="EB1083" s="3"/>
      <c r="EC1083" s="3"/>
      <c r="ED1083" s="3"/>
      <c r="EE1083" s="3"/>
      <c r="EF1083" s="3"/>
      <c r="EG1083" s="3"/>
      <c r="EH1083" s="3"/>
      <c r="EI1083" s="3"/>
      <c r="EJ1083" s="3"/>
      <c r="EK1083" s="3"/>
      <c r="EL1083" s="3"/>
      <c r="EM1083" s="3"/>
      <c r="EN1083" s="3"/>
      <c r="EO1083" s="3"/>
      <c r="EP1083" s="3"/>
      <c r="EQ1083" s="3"/>
      <c r="ER1083" s="3"/>
      <c r="ES1083" s="3"/>
      <c r="ET1083" s="3"/>
      <c r="EU1083" s="3"/>
      <c r="EV1083" s="3"/>
      <c r="EW1083" s="3"/>
      <c r="EX1083" s="3"/>
      <c r="EY1083" s="3"/>
      <c r="EZ1083" s="3"/>
      <c r="FA1083" s="3"/>
      <c r="FB1083" s="3"/>
      <c r="FC1083" s="3"/>
      <c r="FD1083" s="3"/>
      <c r="FE1083" s="3"/>
      <c r="FF1083" s="3"/>
      <c r="FG1083" s="3"/>
      <c r="FH1083" s="3"/>
      <c r="FI1083" s="3"/>
      <c r="FJ1083" s="3"/>
      <c r="FK1083" s="3"/>
      <c r="FL1083" s="3"/>
      <c r="FM1083" s="3"/>
      <c r="FN1083" s="3"/>
      <c r="FO1083" s="3"/>
      <c r="FP1083" s="3"/>
      <c r="FQ1083" s="3"/>
      <c r="FR1083" s="3"/>
      <c r="FS1083" s="3"/>
      <c r="FT1083" s="3"/>
      <c r="FU1083" s="3"/>
      <c r="FV1083" s="3"/>
      <c r="FW1083" s="3"/>
      <c r="FX1083" s="3"/>
      <c r="FY1083" s="3"/>
    </row>
    <row r="1084" spans="7:181" ht="15" x14ac:dyDescent="0.25">
      <c r="G1084" s="2"/>
      <c r="H1084" s="2"/>
      <c r="I1084" s="2"/>
      <c r="J1084" s="2"/>
      <c r="K1084" s="2"/>
      <c r="L1084" s="3"/>
      <c r="M1084" s="3"/>
      <c r="N1084" s="3"/>
      <c r="O1084" s="3"/>
      <c r="P1084" s="3"/>
      <c r="Q1084" s="3"/>
      <c r="R1084" s="3"/>
      <c r="S1084" s="3"/>
      <c r="T1084" s="3"/>
      <c r="U1084" s="4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4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4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4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  <c r="DS1084" s="3"/>
      <c r="DT1084" s="3"/>
      <c r="DU1084" s="3"/>
      <c r="DV1084" s="3"/>
      <c r="DW1084" s="3"/>
      <c r="DX1084" s="3"/>
      <c r="DY1084" s="3"/>
      <c r="DZ1084" s="3"/>
      <c r="EA1084" s="3"/>
      <c r="EB1084" s="3"/>
      <c r="EC1084" s="3"/>
      <c r="ED1084" s="3"/>
      <c r="EE1084" s="3"/>
      <c r="EF1084" s="3"/>
      <c r="EG1084" s="3"/>
      <c r="EH1084" s="3"/>
      <c r="EI1084" s="3"/>
      <c r="EJ1084" s="3"/>
      <c r="EK1084" s="3"/>
      <c r="EL1084" s="3"/>
      <c r="EM1084" s="3"/>
      <c r="EN1084" s="3"/>
      <c r="EO1084" s="3"/>
      <c r="EP1084" s="3"/>
      <c r="EQ1084" s="3"/>
      <c r="ER1084" s="3"/>
      <c r="ES1084" s="3"/>
      <c r="ET1084" s="3"/>
      <c r="EU1084" s="3"/>
      <c r="EV1084" s="3"/>
      <c r="EW1084" s="3"/>
      <c r="EX1084" s="3"/>
      <c r="EY1084" s="3"/>
      <c r="EZ1084" s="3"/>
      <c r="FA1084" s="3"/>
      <c r="FB1084" s="3"/>
      <c r="FC1084" s="3"/>
      <c r="FD1084" s="3"/>
      <c r="FE1084" s="3"/>
      <c r="FF1084" s="3"/>
      <c r="FG1084" s="3"/>
      <c r="FH1084" s="3"/>
      <c r="FI1084" s="3"/>
      <c r="FJ1084" s="3"/>
      <c r="FK1084" s="3"/>
      <c r="FL1084" s="3"/>
      <c r="FM1084" s="3"/>
      <c r="FN1084" s="3"/>
      <c r="FO1084" s="3"/>
      <c r="FP1084" s="3"/>
      <c r="FQ1084" s="3"/>
      <c r="FR1084" s="3"/>
      <c r="FS1084" s="3"/>
      <c r="FT1084" s="3"/>
      <c r="FU1084" s="3"/>
      <c r="FV1084" s="3"/>
      <c r="FW1084" s="3"/>
      <c r="FX1084" s="3"/>
      <c r="FY1084" s="3"/>
    </row>
    <row r="1085" spans="7:181" ht="15" x14ac:dyDescent="0.25">
      <c r="G1085" s="2"/>
      <c r="H1085" s="2"/>
      <c r="I1085" s="2"/>
      <c r="J1085" s="2"/>
      <c r="K1085" s="2"/>
      <c r="L1085" s="3"/>
      <c r="M1085" s="3"/>
      <c r="N1085" s="3"/>
      <c r="O1085" s="3"/>
      <c r="P1085" s="3"/>
      <c r="Q1085" s="3"/>
      <c r="R1085" s="3"/>
      <c r="S1085" s="3"/>
      <c r="T1085" s="3"/>
      <c r="U1085" s="4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4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4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4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  <c r="DI1085" s="3"/>
      <c r="DJ1085" s="3"/>
      <c r="DK1085" s="3"/>
      <c r="DL1085" s="3"/>
      <c r="DM1085" s="3"/>
      <c r="DN1085" s="3"/>
      <c r="DO1085" s="3"/>
      <c r="DP1085" s="3"/>
      <c r="DQ1085" s="3"/>
      <c r="DR1085" s="3"/>
      <c r="DS1085" s="3"/>
      <c r="DT1085" s="3"/>
      <c r="DU1085" s="3"/>
      <c r="DV1085" s="3"/>
      <c r="DW1085" s="3"/>
      <c r="DX1085" s="3"/>
      <c r="DY1085" s="3"/>
      <c r="DZ1085" s="3"/>
      <c r="EA1085" s="3"/>
      <c r="EB1085" s="3"/>
      <c r="EC1085" s="3"/>
      <c r="ED1085" s="3"/>
      <c r="EE1085" s="3"/>
      <c r="EF1085" s="3"/>
      <c r="EG1085" s="3"/>
      <c r="EH1085" s="3"/>
      <c r="EI1085" s="3"/>
      <c r="EJ1085" s="3"/>
      <c r="EK1085" s="3"/>
      <c r="EL1085" s="3"/>
      <c r="EM1085" s="3"/>
      <c r="EN1085" s="3"/>
      <c r="EO1085" s="3"/>
      <c r="EP1085" s="3"/>
      <c r="EQ1085" s="3"/>
      <c r="ER1085" s="3"/>
      <c r="ES1085" s="3"/>
      <c r="ET1085" s="3"/>
      <c r="EU1085" s="3"/>
      <c r="EV1085" s="3"/>
      <c r="EW1085" s="3"/>
      <c r="EX1085" s="3"/>
      <c r="EY1085" s="3"/>
      <c r="EZ1085" s="3"/>
      <c r="FA1085" s="3"/>
      <c r="FB1085" s="3"/>
      <c r="FC1085" s="3"/>
      <c r="FD1085" s="3"/>
      <c r="FE1085" s="3"/>
      <c r="FF1085" s="3"/>
      <c r="FG1085" s="3"/>
      <c r="FH1085" s="3"/>
      <c r="FI1085" s="3"/>
      <c r="FJ1085" s="3"/>
      <c r="FK1085" s="3"/>
      <c r="FL1085" s="3"/>
      <c r="FM1085" s="3"/>
      <c r="FN1085" s="3"/>
      <c r="FO1085" s="3"/>
      <c r="FP1085" s="3"/>
      <c r="FQ1085" s="3"/>
      <c r="FR1085" s="3"/>
      <c r="FS1085" s="3"/>
      <c r="FT1085" s="3"/>
      <c r="FU1085" s="3"/>
      <c r="FV1085" s="3"/>
      <c r="FW1085" s="3"/>
      <c r="FX1085" s="3"/>
      <c r="FY1085" s="3"/>
    </row>
    <row r="1086" spans="7:181" ht="15" x14ac:dyDescent="0.25">
      <c r="G1086" s="2"/>
      <c r="H1086" s="2"/>
      <c r="I1086" s="2"/>
      <c r="J1086" s="2"/>
      <c r="K1086" s="2"/>
      <c r="L1086" s="3"/>
      <c r="M1086" s="3"/>
      <c r="N1086" s="3"/>
      <c r="O1086" s="3"/>
      <c r="P1086" s="3"/>
      <c r="Q1086" s="3"/>
      <c r="R1086" s="3"/>
      <c r="S1086" s="3"/>
      <c r="T1086" s="3"/>
      <c r="U1086" s="4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4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4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4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  <c r="DI1086" s="3"/>
      <c r="DJ1086" s="3"/>
      <c r="DK1086" s="3"/>
      <c r="DL1086" s="3"/>
      <c r="DM1086" s="3"/>
      <c r="DN1086" s="3"/>
      <c r="DO1086" s="3"/>
      <c r="DP1086" s="3"/>
      <c r="DQ1086" s="3"/>
      <c r="DR1086" s="3"/>
      <c r="DS1086" s="3"/>
      <c r="DT1086" s="3"/>
      <c r="DU1086" s="3"/>
      <c r="DV1086" s="3"/>
      <c r="DW1086" s="3"/>
      <c r="DX1086" s="3"/>
      <c r="DY1086" s="3"/>
      <c r="DZ1086" s="3"/>
      <c r="EA1086" s="3"/>
      <c r="EB1086" s="3"/>
      <c r="EC1086" s="3"/>
      <c r="ED1086" s="3"/>
      <c r="EE1086" s="3"/>
      <c r="EF1086" s="3"/>
      <c r="EG1086" s="3"/>
      <c r="EH1086" s="3"/>
      <c r="EI1086" s="3"/>
      <c r="EJ1086" s="3"/>
      <c r="EK1086" s="3"/>
      <c r="EL1086" s="3"/>
      <c r="EM1086" s="3"/>
      <c r="EN1086" s="3"/>
      <c r="EO1086" s="3"/>
      <c r="EP1086" s="3"/>
      <c r="EQ1086" s="3"/>
      <c r="ER1086" s="3"/>
      <c r="ES1086" s="3"/>
      <c r="ET1086" s="3"/>
      <c r="EU1086" s="3"/>
      <c r="EV1086" s="3"/>
      <c r="EW1086" s="3"/>
      <c r="EX1086" s="3"/>
      <c r="EY1086" s="3"/>
      <c r="EZ1086" s="3"/>
      <c r="FA1086" s="3"/>
      <c r="FB1086" s="3"/>
      <c r="FC1086" s="3"/>
      <c r="FD1086" s="3"/>
      <c r="FE1086" s="3"/>
      <c r="FF1086" s="3"/>
      <c r="FG1086" s="3"/>
      <c r="FH1086" s="3"/>
      <c r="FI1086" s="3"/>
      <c r="FJ1086" s="3"/>
      <c r="FK1086" s="3"/>
      <c r="FL1086" s="3"/>
      <c r="FM1086" s="3"/>
      <c r="FN1086" s="3"/>
      <c r="FO1086" s="3"/>
      <c r="FP1086" s="3"/>
      <c r="FQ1086" s="3"/>
      <c r="FR1086" s="3"/>
      <c r="FS1086" s="3"/>
      <c r="FT1086" s="3"/>
      <c r="FU1086" s="3"/>
      <c r="FV1086" s="3"/>
      <c r="FW1086" s="3"/>
      <c r="FX1086" s="3"/>
      <c r="FY1086" s="3"/>
    </row>
    <row r="1087" spans="7:181" ht="15" x14ac:dyDescent="0.25">
      <c r="G1087" s="2"/>
      <c r="H1087" s="2"/>
      <c r="I1087" s="2"/>
      <c r="J1087" s="2"/>
      <c r="K1087" s="2"/>
      <c r="L1087" s="3"/>
      <c r="M1087" s="3"/>
      <c r="N1087" s="3"/>
      <c r="O1087" s="3"/>
      <c r="P1087" s="3"/>
      <c r="Q1087" s="3"/>
      <c r="R1087" s="3"/>
      <c r="S1087" s="3"/>
      <c r="T1087" s="3"/>
      <c r="U1087" s="4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4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4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4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  <c r="DI1087" s="3"/>
      <c r="DJ1087" s="3"/>
      <c r="DK1087" s="3"/>
      <c r="DL1087" s="3"/>
      <c r="DM1087" s="3"/>
      <c r="DN1087" s="3"/>
      <c r="DO1087" s="3"/>
      <c r="DP1087" s="3"/>
      <c r="DQ1087" s="3"/>
      <c r="DR1087" s="3"/>
      <c r="DS1087" s="3"/>
      <c r="DT1087" s="3"/>
      <c r="DU1087" s="3"/>
      <c r="DV1087" s="3"/>
      <c r="DW1087" s="3"/>
      <c r="DX1087" s="3"/>
      <c r="DY1087" s="3"/>
      <c r="DZ1087" s="3"/>
      <c r="EA1087" s="3"/>
      <c r="EB1087" s="3"/>
      <c r="EC1087" s="3"/>
      <c r="ED1087" s="3"/>
      <c r="EE1087" s="3"/>
      <c r="EF1087" s="3"/>
      <c r="EG1087" s="3"/>
      <c r="EH1087" s="3"/>
      <c r="EI1087" s="3"/>
      <c r="EJ1087" s="3"/>
      <c r="EK1087" s="3"/>
      <c r="EL1087" s="3"/>
      <c r="EM1087" s="3"/>
      <c r="EN1087" s="3"/>
      <c r="EO1087" s="3"/>
      <c r="EP1087" s="3"/>
      <c r="EQ1087" s="3"/>
      <c r="ER1087" s="3"/>
      <c r="ES1087" s="3"/>
      <c r="ET1087" s="3"/>
      <c r="EU1087" s="3"/>
      <c r="EV1087" s="3"/>
      <c r="EW1087" s="3"/>
      <c r="EX1087" s="3"/>
      <c r="EY1087" s="3"/>
      <c r="EZ1087" s="3"/>
      <c r="FA1087" s="3"/>
      <c r="FB1087" s="3"/>
      <c r="FC1087" s="3"/>
      <c r="FD1087" s="3"/>
      <c r="FE1087" s="3"/>
      <c r="FF1087" s="3"/>
      <c r="FG1087" s="3"/>
      <c r="FH1087" s="3"/>
      <c r="FI1087" s="3"/>
      <c r="FJ1087" s="3"/>
      <c r="FK1087" s="3"/>
      <c r="FL1087" s="3"/>
      <c r="FM1087" s="3"/>
      <c r="FN1087" s="3"/>
      <c r="FO1087" s="3"/>
      <c r="FP1087" s="3"/>
      <c r="FQ1087" s="3"/>
      <c r="FR1087" s="3"/>
      <c r="FS1087" s="3"/>
      <c r="FT1087" s="3"/>
      <c r="FU1087" s="3"/>
      <c r="FV1087" s="3"/>
      <c r="FW1087" s="3"/>
      <c r="FX1087" s="3"/>
      <c r="FY1087" s="3"/>
    </row>
    <row r="1088" spans="7:181" ht="15" x14ac:dyDescent="0.25">
      <c r="G1088" s="2"/>
      <c r="H1088" s="2"/>
      <c r="I1088" s="2"/>
      <c r="J1088" s="2"/>
      <c r="K1088" s="2"/>
      <c r="L1088" s="3"/>
      <c r="M1088" s="3"/>
      <c r="N1088" s="3"/>
      <c r="O1088" s="3"/>
      <c r="P1088" s="3"/>
      <c r="Q1088" s="3"/>
      <c r="R1088" s="3"/>
      <c r="S1088" s="3"/>
      <c r="T1088" s="3"/>
      <c r="U1088" s="4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4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4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4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  <c r="DI1088" s="3"/>
      <c r="DJ1088" s="3"/>
      <c r="DK1088" s="3"/>
      <c r="DL1088" s="3"/>
      <c r="DM1088" s="3"/>
      <c r="DN1088" s="3"/>
      <c r="DO1088" s="3"/>
      <c r="DP1088" s="3"/>
      <c r="DQ1088" s="3"/>
      <c r="DR1088" s="3"/>
      <c r="DS1088" s="3"/>
      <c r="DT1088" s="3"/>
      <c r="DU1088" s="3"/>
      <c r="DV1088" s="3"/>
      <c r="DW1088" s="3"/>
      <c r="DX1088" s="3"/>
      <c r="DY1088" s="3"/>
      <c r="DZ1088" s="3"/>
      <c r="EA1088" s="3"/>
      <c r="EB1088" s="3"/>
      <c r="EC1088" s="3"/>
      <c r="ED1088" s="3"/>
      <c r="EE1088" s="3"/>
      <c r="EF1088" s="3"/>
      <c r="EG1088" s="3"/>
      <c r="EH1088" s="3"/>
      <c r="EI1088" s="3"/>
      <c r="EJ1088" s="3"/>
      <c r="EK1088" s="3"/>
      <c r="EL1088" s="3"/>
      <c r="EM1088" s="3"/>
      <c r="EN1088" s="3"/>
      <c r="EO1088" s="3"/>
      <c r="EP1088" s="3"/>
      <c r="EQ1088" s="3"/>
      <c r="ER1088" s="3"/>
      <c r="ES1088" s="3"/>
      <c r="ET1088" s="3"/>
      <c r="EU1088" s="3"/>
      <c r="EV1088" s="3"/>
      <c r="EW1088" s="3"/>
      <c r="EX1088" s="3"/>
      <c r="EY1088" s="3"/>
      <c r="EZ1088" s="3"/>
      <c r="FA1088" s="3"/>
      <c r="FB1088" s="3"/>
      <c r="FC1088" s="3"/>
      <c r="FD1088" s="3"/>
      <c r="FE1088" s="3"/>
      <c r="FF1088" s="3"/>
      <c r="FG1088" s="3"/>
      <c r="FH1088" s="3"/>
      <c r="FI1088" s="3"/>
      <c r="FJ1088" s="3"/>
      <c r="FK1088" s="3"/>
      <c r="FL1088" s="3"/>
      <c r="FM1088" s="3"/>
      <c r="FN1088" s="3"/>
      <c r="FO1088" s="3"/>
      <c r="FP1088" s="3"/>
      <c r="FQ1088" s="3"/>
      <c r="FR1088" s="3"/>
      <c r="FS1088" s="3"/>
      <c r="FT1088" s="3"/>
      <c r="FU1088" s="3"/>
      <c r="FV1088" s="3"/>
      <c r="FW1088" s="3"/>
      <c r="FX1088" s="3"/>
      <c r="FY1088" s="3"/>
    </row>
    <row r="1089" spans="7:181" ht="15" x14ac:dyDescent="0.25">
      <c r="G1089" s="2"/>
      <c r="H1089" s="2"/>
      <c r="I1089" s="2"/>
      <c r="J1089" s="2"/>
      <c r="K1089" s="2"/>
      <c r="L1089" s="3"/>
      <c r="M1089" s="3"/>
      <c r="N1089" s="3"/>
      <c r="O1089" s="3"/>
      <c r="P1089" s="3"/>
      <c r="Q1089" s="3"/>
      <c r="R1089" s="3"/>
      <c r="S1089" s="3"/>
      <c r="T1089" s="3"/>
      <c r="U1089" s="4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4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4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4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3"/>
      <c r="DN1089" s="3"/>
      <c r="DO1089" s="3"/>
      <c r="DP1089" s="3"/>
      <c r="DQ1089" s="3"/>
      <c r="DR1089" s="3"/>
      <c r="DS1089" s="3"/>
      <c r="DT1089" s="3"/>
      <c r="DU1089" s="3"/>
      <c r="DV1089" s="3"/>
      <c r="DW1089" s="3"/>
      <c r="DX1089" s="3"/>
      <c r="DY1089" s="3"/>
      <c r="DZ1089" s="3"/>
      <c r="EA1089" s="3"/>
      <c r="EB1089" s="3"/>
      <c r="EC1089" s="3"/>
      <c r="ED1089" s="3"/>
      <c r="EE1089" s="3"/>
      <c r="EF1089" s="3"/>
      <c r="EG1089" s="3"/>
      <c r="EH1089" s="3"/>
      <c r="EI1089" s="3"/>
      <c r="EJ1089" s="3"/>
      <c r="EK1089" s="3"/>
      <c r="EL1089" s="3"/>
      <c r="EM1089" s="3"/>
      <c r="EN1089" s="3"/>
      <c r="EO1089" s="3"/>
      <c r="EP1089" s="3"/>
      <c r="EQ1089" s="3"/>
      <c r="ER1089" s="3"/>
      <c r="ES1089" s="3"/>
      <c r="ET1089" s="3"/>
      <c r="EU1089" s="3"/>
      <c r="EV1089" s="3"/>
      <c r="EW1089" s="3"/>
      <c r="EX1089" s="3"/>
      <c r="EY1089" s="3"/>
      <c r="EZ1089" s="3"/>
      <c r="FA1089" s="3"/>
      <c r="FB1089" s="3"/>
      <c r="FC1089" s="3"/>
      <c r="FD1089" s="3"/>
      <c r="FE1089" s="3"/>
      <c r="FF1089" s="3"/>
      <c r="FG1089" s="3"/>
      <c r="FH1089" s="3"/>
      <c r="FI1089" s="3"/>
      <c r="FJ1089" s="3"/>
      <c r="FK1089" s="3"/>
      <c r="FL1089" s="3"/>
      <c r="FM1089" s="3"/>
      <c r="FN1089" s="3"/>
      <c r="FO1089" s="3"/>
      <c r="FP1089" s="3"/>
      <c r="FQ1089" s="3"/>
      <c r="FR1089" s="3"/>
      <c r="FS1089" s="3"/>
      <c r="FT1089" s="3"/>
      <c r="FU1089" s="3"/>
      <c r="FV1089" s="3"/>
      <c r="FW1089" s="3"/>
      <c r="FX1089" s="3"/>
      <c r="FY1089" s="3"/>
    </row>
    <row r="1090" spans="7:181" ht="15" x14ac:dyDescent="0.25">
      <c r="G1090" s="2"/>
      <c r="H1090" s="2"/>
      <c r="I1090" s="2"/>
      <c r="J1090" s="2"/>
      <c r="K1090" s="2"/>
      <c r="L1090" s="3"/>
      <c r="M1090" s="3"/>
      <c r="N1090" s="3"/>
      <c r="O1090" s="3"/>
      <c r="P1090" s="3"/>
      <c r="Q1090" s="3"/>
      <c r="R1090" s="3"/>
      <c r="S1090" s="3"/>
      <c r="T1090" s="3"/>
      <c r="U1090" s="4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4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4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4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3"/>
      <c r="DN1090" s="3"/>
      <c r="DO1090" s="3"/>
      <c r="DP1090" s="3"/>
      <c r="DQ1090" s="3"/>
      <c r="DR1090" s="3"/>
      <c r="DS1090" s="3"/>
      <c r="DT1090" s="3"/>
      <c r="DU1090" s="3"/>
      <c r="DV1090" s="3"/>
      <c r="DW1090" s="3"/>
      <c r="DX1090" s="3"/>
      <c r="DY1090" s="3"/>
      <c r="DZ1090" s="3"/>
      <c r="EA1090" s="3"/>
      <c r="EB1090" s="3"/>
      <c r="EC1090" s="3"/>
      <c r="ED1090" s="3"/>
      <c r="EE1090" s="3"/>
      <c r="EF1090" s="3"/>
      <c r="EG1090" s="3"/>
      <c r="EH1090" s="3"/>
      <c r="EI1090" s="3"/>
      <c r="EJ1090" s="3"/>
      <c r="EK1090" s="3"/>
      <c r="EL1090" s="3"/>
      <c r="EM1090" s="3"/>
      <c r="EN1090" s="3"/>
      <c r="EO1090" s="3"/>
      <c r="EP1090" s="3"/>
      <c r="EQ1090" s="3"/>
      <c r="ER1090" s="3"/>
      <c r="ES1090" s="3"/>
      <c r="ET1090" s="3"/>
      <c r="EU1090" s="3"/>
      <c r="EV1090" s="3"/>
      <c r="EW1090" s="3"/>
      <c r="EX1090" s="3"/>
      <c r="EY1090" s="3"/>
      <c r="EZ1090" s="3"/>
      <c r="FA1090" s="3"/>
      <c r="FB1090" s="3"/>
      <c r="FC1090" s="3"/>
      <c r="FD1090" s="3"/>
      <c r="FE1090" s="3"/>
      <c r="FF1090" s="3"/>
      <c r="FG1090" s="3"/>
      <c r="FH1090" s="3"/>
      <c r="FI1090" s="3"/>
      <c r="FJ1090" s="3"/>
      <c r="FK1090" s="3"/>
      <c r="FL1090" s="3"/>
      <c r="FM1090" s="3"/>
      <c r="FN1090" s="3"/>
      <c r="FO1090" s="3"/>
      <c r="FP1090" s="3"/>
      <c r="FQ1090" s="3"/>
      <c r="FR1090" s="3"/>
      <c r="FS1090" s="3"/>
      <c r="FT1090" s="3"/>
      <c r="FU1090" s="3"/>
      <c r="FV1090" s="3"/>
      <c r="FW1090" s="3"/>
      <c r="FX1090" s="3"/>
      <c r="FY1090" s="3"/>
    </row>
    <row r="1091" spans="7:181" ht="15" x14ac:dyDescent="0.25">
      <c r="G1091" s="2"/>
      <c r="H1091" s="2"/>
      <c r="I1091" s="2"/>
      <c r="J1091" s="2"/>
      <c r="K1091" s="2"/>
      <c r="L1091" s="3"/>
      <c r="M1091" s="3"/>
      <c r="N1091" s="3"/>
      <c r="O1091" s="3"/>
      <c r="P1091" s="3"/>
      <c r="Q1091" s="3"/>
      <c r="R1091" s="3"/>
      <c r="S1091" s="3"/>
      <c r="T1091" s="3"/>
      <c r="U1091" s="4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4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4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4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  <c r="DI1091" s="3"/>
      <c r="DJ1091" s="3"/>
      <c r="DK1091" s="3"/>
      <c r="DL1091" s="3"/>
      <c r="DM1091" s="3"/>
      <c r="DN1091" s="3"/>
      <c r="DO1091" s="3"/>
      <c r="DP1091" s="3"/>
      <c r="DQ1091" s="3"/>
      <c r="DR1091" s="3"/>
      <c r="DS1091" s="3"/>
      <c r="DT1091" s="3"/>
      <c r="DU1091" s="3"/>
      <c r="DV1091" s="3"/>
      <c r="DW1091" s="3"/>
      <c r="DX1091" s="3"/>
      <c r="DY1091" s="3"/>
      <c r="DZ1091" s="3"/>
      <c r="EA1091" s="3"/>
      <c r="EB1091" s="3"/>
      <c r="EC1091" s="3"/>
      <c r="ED1091" s="3"/>
      <c r="EE1091" s="3"/>
      <c r="EF1091" s="3"/>
      <c r="EG1091" s="3"/>
      <c r="EH1091" s="3"/>
      <c r="EI1091" s="3"/>
      <c r="EJ1091" s="3"/>
      <c r="EK1091" s="3"/>
      <c r="EL1091" s="3"/>
      <c r="EM1091" s="3"/>
      <c r="EN1091" s="3"/>
      <c r="EO1091" s="3"/>
      <c r="EP1091" s="3"/>
      <c r="EQ1091" s="3"/>
      <c r="ER1091" s="3"/>
      <c r="ES1091" s="3"/>
      <c r="ET1091" s="3"/>
      <c r="EU1091" s="3"/>
      <c r="EV1091" s="3"/>
      <c r="EW1091" s="3"/>
      <c r="EX1091" s="3"/>
      <c r="EY1091" s="3"/>
      <c r="EZ1091" s="3"/>
      <c r="FA1091" s="3"/>
      <c r="FB1091" s="3"/>
      <c r="FC1091" s="3"/>
      <c r="FD1091" s="3"/>
      <c r="FE1091" s="3"/>
      <c r="FF1091" s="3"/>
      <c r="FG1091" s="3"/>
      <c r="FH1091" s="3"/>
      <c r="FI1091" s="3"/>
      <c r="FJ1091" s="3"/>
      <c r="FK1091" s="3"/>
      <c r="FL1091" s="3"/>
      <c r="FM1091" s="3"/>
      <c r="FN1091" s="3"/>
      <c r="FO1091" s="3"/>
      <c r="FP1091" s="3"/>
      <c r="FQ1091" s="3"/>
      <c r="FR1091" s="3"/>
      <c r="FS1091" s="3"/>
      <c r="FT1091" s="3"/>
      <c r="FU1091" s="3"/>
      <c r="FV1091" s="3"/>
      <c r="FW1091" s="3"/>
      <c r="FX1091" s="3"/>
      <c r="FY1091" s="3"/>
    </row>
    <row r="1092" spans="7:181" ht="15" x14ac:dyDescent="0.25">
      <c r="G1092" s="2"/>
      <c r="H1092" s="2"/>
      <c r="I1092" s="2"/>
      <c r="J1092" s="2"/>
      <c r="K1092" s="2"/>
      <c r="L1092" s="3"/>
      <c r="M1092" s="3"/>
      <c r="N1092" s="3"/>
      <c r="O1092" s="3"/>
      <c r="P1092" s="3"/>
      <c r="Q1092" s="3"/>
      <c r="R1092" s="3"/>
      <c r="S1092" s="3"/>
      <c r="T1092" s="3"/>
      <c r="U1092" s="4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4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4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4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  <c r="DI1092" s="3"/>
      <c r="DJ1092" s="3"/>
      <c r="DK1092" s="3"/>
      <c r="DL1092" s="3"/>
      <c r="DM1092" s="3"/>
      <c r="DN1092" s="3"/>
      <c r="DO1092" s="3"/>
      <c r="DP1092" s="3"/>
      <c r="DQ1092" s="3"/>
      <c r="DR1092" s="3"/>
      <c r="DS1092" s="3"/>
      <c r="DT1092" s="3"/>
      <c r="DU1092" s="3"/>
      <c r="DV1092" s="3"/>
      <c r="DW1092" s="3"/>
      <c r="DX1092" s="3"/>
      <c r="DY1092" s="3"/>
      <c r="DZ1092" s="3"/>
      <c r="EA1092" s="3"/>
      <c r="EB1092" s="3"/>
      <c r="EC1092" s="3"/>
      <c r="ED1092" s="3"/>
      <c r="EE1092" s="3"/>
      <c r="EF1092" s="3"/>
      <c r="EG1092" s="3"/>
      <c r="EH1092" s="3"/>
      <c r="EI1092" s="3"/>
      <c r="EJ1092" s="3"/>
      <c r="EK1092" s="3"/>
      <c r="EL1092" s="3"/>
      <c r="EM1092" s="3"/>
      <c r="EN1092" s="3"/>
      <c r="EO1092" s="3"/>
      <c r="EP1092" s="3"/>
      <c r="EQ1092" s="3"/>
      <c r="ER1092" s="3"/>
      <c r="ES1092" s="3"/>
      <c r="ET1092" s="3"/>
      <c r="EU1092" s="3"/>
      <c r="EV1092" s="3"/>
      <c r="EW1092" s="3"/>
      <c r="EX1092" s="3"/>
      <c r="EY1092" s="3"/>
      <c r="EZ1092" s="3"/>
      <c r="FA1092" s="3"/>
      <c r="FB1092" s="3"/>
      <c r="FC1092" s="3"/>
      <c r="FD1092" s="3"/>
      <c r="FE1092" s="3"/>
      <c r="FF1092" s="3"/>
      <c r="FG1092" s="3"/>
      <c r="FH1092" s="3"/>
      <c r="FI1092" s="3"/>
      <c r="FJ1092" s="3"/>
      <c r="FK1092" s="3"/>
      <c r="FL1092" s="3"/>
      <c r="FM1092" s="3"/>
      <c r="FN1092" s="3"/>
      <c r="FO1092" s="3"/>
      <c r="FP1092" s="3"/>
      <c r="FQ1092" s="3"/>
      <c r="FR1092" s="3"/>
      <c r="FS1092" s="3"/>
      <c r="FT1092" s="3"/>
      <c r="FU1092" s="3"/>
      <c r="FV1092" s="3"/>
      <c r="FW1092" s="3"/>
      <c r="FX1092" s="3"/>
      <c r="FY1092" s="3"/>
    </row>
    <row r="1093" spans="7:181" ht="15" x14ac:dyDescent="0.25">
      <c r="G1093" s="2"/>
      <c r="H1093" s="2"/>
      <c r="I1093" s="2"/>
      <c r="J1093" s="2"/>
      <c r="K1093" s="2"/>
      <c r="L1093" s="3"/>
      <c r="M1093" s="3"/>
      <c r="N1093" s="3"/>
      <c r="O1093" s="3"/>
      <c r="P1093" s="3"/>
      <c r="Q1093" s="3"/>
      <c r="R1093" s="3"/>
      <c r="S1093" s="3"/>
      <c r="T1093" s="3"/>
      <c r="U1093" s="4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4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4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4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3"/>
      <c r="DN1093" s="3"/>
      <c r="DO1093" s="3"/>
      <c r="DP1093" s="3"/>
      <c r="DQ1093" s="3"/>
      <c r="DR1093" s="3"/>
      <c r="DS1093" s="3"/>
      <c r="DT1093" s="3"/>
      <c r="DU1093" s="3"/>
      <c r="DV1093" s="3"/>
      <c r="DW1093" s="3"/>
      <c r="DX1093" s="3"/>
      <c r="DY1093" s="3"/>
      <c r="DZ1093" s="3"/>
      <c r="EA1093" s="3"/>
      <c r="EB1093" s="3"/>
      <c r="EC1093" s="3"/>
      <c r="ED1093" s="3"/>
      <c r="EE1093" s="3"/>
      <c r="EF1093" s="3"/>
      <c r="EG1093" s="3"/>
      <c r="EH1093" s="3"/>
      <c r="EI1093" s="3"/>
      <c r="EJ1093" s="3"/>
      <c r="EK1093" s="3"/>
      <c r="EL1093" s="3"/>
      <c r="EM1093" s="3"/>
      <c r="EN1093" s="3"/>
      <c r="EO1093" s="3"/>
      <c r="EP1093" s="3"/>
      <c r="EQ1093" s="3"/>
      <c r="ER1093" s="3"/>
      <c r="ES1093" s="3"/>
      <c r="ET1093" s="3"/>
      <c r="EU1093" s="3"/>
      <c r="EV1093" s="3"/>
      <c r="EW1093" s="3"/>
      <c r="EX1093" s="3"/>
      <c r="EY1093" s="3"/>
      <c r="EZ1093" s="3"/>
      <c r="FA1093" s="3"/>
      <c r="FB1093" s="3"/>
      <c r="FC1093" s="3"/>
      <c r="FD1093" s="3"/>
      <c r="FE1093" s="3"/>
      <c r="FF1093" s="3"/>
      <c r="FG1093" s="3"/>
      <c r="FH1093" s="3"/>
      <c r="FI1093" s="3"/>
      <c r="FJ1093" s="3"/>
      <c r="FK1093" s="3"/>
      <c r="FL1093" s="3"/>
      <c r="FM1093" s="3"/>
      <c r="FN1093" s="3"/>
      <c r="FO1093" s="3"/>
      <c r="FP1093" s="3"/>
      <c r="FQ1093" s="3"/>
      <c r="FR1093" s="3"/>
      <c r="FS1093" s="3"/>
      <c r="FT1093" s="3"/>
      <c r="FU1093" s="3"/>
      <c r="FV1093" s="3"/>
      <c r="FW1093" s="3"/>
      <c r="FX1093" s="3"/>
      <c r="FY1093" s="3"/>
    </row>
    <row r="1094" spans="7:181" ht="15" x14ac:dyDescent="0.25">
      <c r="G1094" s="2"/>
      <c r="H1094" s="2"/>
      <c r="I1094" s="2"/>
      <c r="J1094" s="2"/>
      <c r="K1094" s="2"/>
      <c r="L1094" s="3"/>
      <c r="M1094" s="3"/>
      <c r="N1094" s="3"/>
      <c r="O1094" s="3"/>
      <c r="P1094" s="3"/>
      <c r="Q1094" s="3"/>
      <c r="R1094" s="3"/>
      <c r="S1094" s="3"/>
      <c r="T1094" s="3"/>
      <c r="U1094" s="4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4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4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4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  <c r="DP1094" s="3"/>
      <c r="DQ1094" s="3"/>
      <c r="DR1094" s="3"/>
      <c r="DS1094" s="3"/>
      <c r="DT1094" s="3"/>
      <c r="DU1094" s="3"/>
      <c r="DV1094" s="3"/>
      <c r="DW1094" s="3"/>
      <c r="DX1094" s="3"/>
      <c r="DY1094" s="3"/>
      <c r="DZ1094" s="3"/>
      <c r="EA1094" s="3"/>
      <c r="EB1094" s="3"/>
      <c r="EC1094" s="3"/>
      <c r="ED1094" s="3"/>
      <c r="EE1094" s="3"/>
      <c r="EF1094" s="3"/>
      <c r="EG1094" s="3"/>
      <c r="EH1094" s="3"/>
      <c r="EI1094" s="3"/>
      <c r="EJ1094" s="3"/>
      <c r="EK1094" s="3"/>
      <c r="EL1094" s="3"/>
      <c r="EM1094" s="3"/>
      <c r="EN1094" s="3"/>
      <c r="EO1094" s="3"/>
      <c r="EP1094" s="3"/>
      <c r="EQ1094" s="3"/>
      <c r="ER1094" s="3"/>
      <c r="ES1094" s="3"/>
      <c r="ET1094" s="3"/>
      <c r="EU1094" s="3"/>
      <c r="EV1094" s="3"/>
      <c r="EW1094" s="3"/>
      <c r="EX1094" s="3"/>
      <c r="EY1094" s="3"/>
      <c r="EZ1094" s="3"/>
      <c r="FA1094" s="3"/>
      <c r="FB1094" s="3"/>
      <c r="FC1094" s="3"/>
      <c r="FD1094" s="3"/>
      <c r="FE1094" s="3"/>
      <c r="FF1094" s="3"/>
      <c r="FG1094" s="3"/>
      <c r="FH1094" s="3"/>
      <c r="FI1094" s="3"/>
      <c r="FJ1094" s="3"/>
      <c r="FK1094" s="3"/>
      <c r="FL1094" s="3"/>
      <c r="FM1094" s="3"/>
      <c r="FN1094" s="3"/>
      <c r="FO1094" s="3"/>
      <c r="FP1094" s="3"/>
      <c r="FQ1094" s="3"/>
      <c r="FR1094" s="3"/>
      <c r="FS1094" s="3"/>
      <c r="FT1094" s="3"/>
      <c r="FU1094" s="3"/>
      <c r="FV1094" s="3"/>
      <c r="FW1094" s="3"/>
      <c r="FX1094" s="3"/>
      <c r="FY1094" s="3"/>
    </row>
    <row r="1095" spans="7:181" ht="15" x14ac:dyDescent="0.25">
      <c r="G1095" s="2"/>
      <c r="H1095" s="2"/>
      <c r="I1095" s="2"/>
      <c r="J1095" s="2"/>
      <c r="K1095" s="2"/>
      <c r="L1095" s="3"/>
      <c r="M1095" s="3"/>
      <c r="N1095" s="3"/>
      <c r="O1095" s="3"/>
      <c r="P1095" s="3"/>
      <c r="Q1095" s="3"/>
      <c r="R1095" s="3"/>
      <c r="S1095" s="3"/>
      <c r="T1095" s="3"/>
      <c r="U1095" s="4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4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4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4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  <c r="DP1095" s="3"/>
      <c r="DQ1095" s="3"/>
      <c r="DR1095" s="3"/>
      <c r="DS1095" s="3"/>
      <c r="DT1095" s="3"/>
      <c r="DU1095" s="3"/>
      <c r="DV1095" s="3"/>
      <c r="DW1095" s="3"/>
      <c r="DX1095" s="3"/>
      <c r="DY1095" s="3"/>
      <c r="DZ1095" s="3"/>
      <c r="EA1095" s="3"/>
      <c r="EB1095" s="3"/>
      <c r="EC1095" s="3"/>
      <c r="ED1095" s="3"/>
      <c r="EE1095" s="3"/>
      <c r="EF1095" s="3"/>
      <c r="EG1095" s="3"/>
      <c r="EH1095" s="3"/>
      <c r="EI1095" s="3"/>
      <c r="EJ1095" s="3"/>
      <c r="EK1095" s="3"/>
      <c r="EL1095" s="3"/>
      <c r="EM1095" s="3"/>
      <c r="EN1095" s="3"/>
      <c r="EO1095" s="3"/>
      <c r="EP1095" s="3"/>
      <c r="EQ1095" s="3"/>
      <c r="ER1095" s="3"/>
      <c r="ES1095" s="3"/>
      <c r="ET1095" s="3"/>
      <c r="EU1095" s="3"/>
      <c r="EV1095" s="3"/>
      <c r="EW1095" s="3"/>
      <c r="EX1095" s="3"/>
      <c r="EY1095" s="3"/>
      <c r="EZ1095" s="3"/>
      <c r="FA1095" s="3"/>
      <c r="FB1095" s="3"/>
      <c r="FC1095" s="3"/>
      <c r="FD1095" s="3"/>
      <c r="FE1095" s="3"/>
      <c r="FF1095" s="3"/>
      <c r="FG1095" s="3"/>
      <c r="FH1095" s="3"/>
      <c r="FI1095" s="3"/>
      <c r="FJ1095" s="3"/>
      <c r="FK1095" s="3"/>
      <c r="FL1095" s="3"/>
      <c r="FM1095" s="3"/>
      <c r="FN1095" s="3"/>
      <c r="FO1095" s="3"/>
      <c r="FP1095" s="3"/>
      <c r="FQ1095" s="3"/>
      <c r="FR1095" s="3"/>
      <c r="FS1095" s="3"/>
      <c r="FT1095" s="3"/>
      <c r="FU1095" s="3"/>
      <c r="FV1095" s="3"/>
      <c r="FW1095" s="3"/>
      <c r="FX1095" s="3"/>
      <c r="FY1095" s="3"/>
    </row>
    <row r="1096" spans="7:181" ht="15" x14ac:dyDescent="0.25">
      <c r="G1096" s="2"/>
      <c r="H1096" s="2"/>
      <c r="I1096" s="2"/>
      <c r="J1096" s="2"/>
      <c r="K1096" s="2"/>
      <c r="L1096" s="3"/>
      <c r="M1096" s="3"/>
      <c r="N1096" s="3"/>
      <c r="O1096" s="3"/>
      <c r="P1096" s="3"/>
      <c r="Q1096" s="3"/>
      <c r="R1096" s="3"/>
      <c r="S1096" s="3"/>
      <c r="T1096" s="3"/>
      <c r="U1096" s="4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4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4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4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  <c r="DP1096" s="3"/>
      <c r="DQ1096" s="3"/>
      <c r="DR1096" s="3"/>
      <c r="DS1096" s="3"/>
      <c r="DT1096" s="3"/>
      <c r="DU1096" s="3"/>
      <c r="DV1096" s="3"/>
      <c r="DW1096" s="3"/>
      <c r="DX1096" s="3"/>
      <c r="DY1096" s="3"/>
      <c r="DZ1096" s="3"/>
      <c r="EA1096" s="3"/>
      <c r="EB1096" s="3"/>
      <c r="EC1096" s="3"/>
      <c r="ED1096" s="3"/>
      <c r="EE1096" s="3"/>
      <c r="EF1096" s="3"/>
      <c r="EG1096" s="3"/>
      <c r="EH1096" s="3"/>
      <c r="EI1096" s="3"/>
      <c r="EJ1096" s="3"/>
      <c r="EK1096" s="3"/>
      <c r="EL1096" s="3"/>
      <c r="EM1096" s="3"/>
      <c r="EN1096" s="3"/>
      <c r="EO1096" s="3"/>
      <c r="EP1096" s="3"/>
      <c r="EQ1096" s="3"/>
      <c r="ER1096" s="3"/>
      <c r="ES1096" s="3"/>
      <c r="ET1096" s="3"/>
      <c r="EU1096" s="3"/>
      <c r="EV1096" s="3"/>
      <c r="EW1096" s="3"/>
      <c r="EX1096" s="3"/>
      <c r="EY1096" s="3"/>
      <c r="EZ1096" s="3"/>
      <c r="FA1096" s="3"/>
      <c r="FB1096" s="3"/>
      <c r="FC1096" s="3"/>
      <c r="FD1096" s="3"/>
      <c r="FE1096" s="3"/>
      <c r="FF1096" s="3"/>
      <c r="FG1096" s="3"/>
      <c r="FH1096" s="3"/>
      <c r="FI1096" s="3"/>
      <c r="FJ1096" s="3"/>
      <c r="FK1096" s="3"/>
      <c r="FL1096" s="3"/>
      <c r="FM1096" s="3"/>
      <c r="FN1096" s="3"/>
      <c r="FO1096" s="3"/>
      <c r="FP1096" s="3"/>
      <c r="FQ1096" s="3"/>
      <c r="FR1096" s="3"/>
      <c r="FS1096" s="3"/>
      <c r="FT1096" s="3"/>
      <c r="FU1096" s="3"/>
      <c r="FV1096" s="3"/>
      <c r="FW1096" s="3"/>
      <c r="FX1096" s="3"/>
      <c r="FY1096" s="3"/>
    </row>
    <row r="1097" spans="7:181" ht="15" x14ac:dyDescent="0.25">
      <c r="G1097" s="2"/>
      <c r="H1097" s="2"/>
      <c r="I1097" s="2"/>
      <c r="J1097" s="2"/>
      <c r="K1097" s="2"/>
      <c r="L1097" s="3"/>
      <c r="M1097" s="3"/>
      <c r="N1097" s="3"/>
      <c r="O1097" s="3"/>
      <c r="P1097" s="3"/>
      <c r="Q1097" s="3"/>
      <c r="R1097" s="3"/>
      <c r="S1097" s="3"/>
      <c r="T1097" s="3"/>
      <c r="U1097" s="4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4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4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4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  <c r="DP1097" s="3"/>
      <c r="DQ1097" s="3"/>
      <c r="DR1097" s="3"/>
      <c r="DS1097" s="3"/>
      <c r="DT1097" s="3"/>
      <c r="DU1097" s="3"/>
      <c r="DV1097" s="3"/>
      <c r="DW1097" s="3"/>
      <c r="DX1097" s="3"/>
      <c r="DY1097" s="3"/>
      <c r="DZ1097" s="3"/>
      <c r="EA1097" s="3"/>
      <c r="EB1097" s="3"/>
      <c r="EC1097" s="3"/>
      <c r="ED1097" s="3"/>
      <c r="EE1097" s="3"/>
      <c r="EF1097" s="3"/>
      <c r="EG1097" s="3"/>
      <c r="EH1097" s="3"/>
      <c r="EI1097" s="3"/>
      <c r="EJ1097" s="3"/>
      <c r="EK1097" s="3"/>
      <c r="EL1097" s="3"/>
      <c r="EM1097" s="3"/>
      <c r="EN1097" s="3"/>
      <c r="EO1097" s="3"/>
      <c r="EP1097" s="3"/>
      <c r="EQ1097" s="3"/>
      <c r="ER1097" s="3"/>
      <c r="ES1097" s="3"/>
      <c r="ET1097" s="3"/>
      <c r="EU1097" s="3"/>
      <c r="EV1097" s="3"/>
      <c r="EW1097" s="3"/>
      <c r="EX1097" s="3"/>
      <c r="EY1097" s="3"/>
      <c r="EZ1097" s="3"/>
      <c r="FA1097" s="3"/>
      <c r="FB1097" s="3"/>
      <c r="FC1097" s="3"/>
      <c r="FD1097" s="3"/>
      <c r="FE1097" s="3"/>
      <c r="FF1097" s="3"/>
      <c r="FG1097" s="3"/>
      <c r="FH1097" s="3"/>
      <c r="FI1097" s="3"/>
      <c r="FJ1097" s="3"/>
      <c r="FK1097" s="3"/>
      <c r="FL1097" s="3"/>
      <c r="FM1097" s="3"/>
      <c r="FN1097" s="3"/>
      <c r="FO1097" s="3"/>
      <c r="FP1097" s="3"/>
      <c r="FQ1097" s="3"/>
      <c r="FR1097" s="3"/>
      <c r="FS1097" s="3"/>
      <c r="FT1097" s="3"/>
      <c r="FU1097" s="3"/>
      <c r="FV1097" s="3"/>
      <c r="FW1097" s="3"/>
      <c r="FX1097" s="3"/>
      <c r="FY1097" s="3"/>
    </row>
    <row r="1098" spans="7:181" ht="15" x14ac:dyDescent="0.25">
      <c r="G1098" s="2"/>
      <c r="H1098" s="2"/>
      <c r="I1098" s="2"/>
      <c r="J1098" s="2"/>
      <c r="K1098" s="2"/>
      <c r="L1098" s="3"/>
      <c r="M1098" s="3"/>
      <c r="N1098" s="3"/>
      <c r="O1098" s="3"/>
      <c r="P1098" s="3"/>
      <c r="Q1098" s="3"/>
      <c r="R1098" s="3"/>
      <c r="S1098" s="3"/>
      <c r="T1098" s="3"/>
      <c r="U1098" s="4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4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4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4"/>
      <c r="BI1098" s="3"/>
      <c r="BJ1098" s="3"/>
      <c r="BK1098" s="3"/>
      <c r="BL1098" s="3"/>
      <c r="BM1098" s="3"/>
      <c r="BN1098" s="3"/>
      <c r="BO1098" s="3"/>
      <c r="BP1098" s="3"/>
      <c r="BQ1098" s="3"/>
      <c r="BR1098" s="3"/>
      <c r="BS1098" s="3"/>
      <c r="BT1098" s="3"/>
      <c r="BU1098" s="3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  <c r="DI1098" s="3"/>
      <c r="DJ1098" s="3"/>
      <c r="DK1098" s="3"/>
      <c r="DL1098" s="3"/>
      <c r="DM1098" s="3"/>
      <c r="DN1098" s="3"/>
      <c r="DO1098" s="3"/>
      <c r="DP1098" s="3"/>
      <c r="DQ1098" s="3"/>
      <c r="DR1098" s="3"/>
      <c r="DS1098" s="3"/>
      <c r="DT1098" s="3"/>
      <c r="DU1098" s="3"/>
      <c r="DV1098" s="3"/>
      <c r="DW1098" s="3"/>
      <c r="DX1098" s="3"/>
      <c r="DY1098" s="3"/>
      <c r="DZ1098" s="3"/>
      <c r="EA1098" s="3"/>
      <c r="EB1098" s="3"/>
      <c r="EC1098" s="3"/>
      <c r="ED1098" s="3"/>
      <c r="EE1098" s="3"/>
      <c r="EF1098" s="3"/>
      <c r="EG1098" s="3"/>
      <c r="EH1098" s="3"/>
      <c r="EI1098" s="3"/>
      <c r="EJ1098" s="3"/>
      <c r="EK1098" s="3"/>
      <c r="EL1098" s="3"/>
      <c r="EM1098" s="3"/>
      <c r="EN1098" s="3"/>
      <c r="EO1098" s="3"/>
      <c r="EP1098" s="3"/>
      <c r="EQ1098" s="3"/>
      <c r="ER1098" s="3"/>
      <c r="ES1098" s="3"/>
      <c r="ET1098" s="3"/>
      <c r="EU1098" s="3"/>
      <c r="EV1098" s="3"/>
      <c r="EW1098" s="3"/>
      <c r="EX1098" s="3"/>
      <c r="EY1098" s="3"/>
      <c r="EZ1098" s="3"/>
      <c r="FA1098" s="3"/>
      <c r="FB1098" s="3"/>
      <c r="FC1098" s="3"/>
      <c r="FD1098" s="3"/>
      <c r="FE1098" s="3"/>
      <c r="FF1098" s="3"/>
      <c r="FG1098" s="3"/>
      <c r="FH1098" s="3"/>
      <c r="FI1098" s="3"/>
      <c r="FJ1098" s="3"/>
      <c r="FK1098" s="3"/>
      <c r="FL1098" s="3"/>
      <c r="FM1098" s="3"/>
      <c r="FN1098" s="3"/>
      <c r="FO1098" s="3"/>
      <c r="FP1098" s="3"/>
      <c r="FQ1098" s="3"/>
      <c r="FR1098" s="3"/>
      <c r="FS1098" s="3"/>
      <c r="FT1098" s="3"/>
      <c r="FU1098" s="3"/>
      <c r="FV1098" s="3"/>
      <c r="FW1098" s="3"/>
      <c r="FX1098" s="3"/>
      <c r="FY1098" s="3"/>
    </row>
    <row r="1099" spans="7:181" ht="15" x14ac:dyDescent="0.25">
      <c r="G1099" s="2"/>
      <c r="H1099" s="2"/>
      <c r="I1099" s="2"/>
      <c r="J1099" s="2"/>
      <c r="K1099" s="2"/>
      <c r="L1099" s="3"/>
      <c r="M1099" s="3"/>
      <c r="N1099" s="3"/>
      <c r="O1099" s="3"/>
      <c r="P1099" s="3"/>
      <c r="Q1099" s="3"/>
      <c r="R1099" s="3"/>
      <c r="S1099" s="3"/>
      <c r="T1099" s="3"/>
      <c r="U1099" s="4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4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4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4"/>
      <c r="BI1099" s="3"/>
      <c r="BJ1099" s="3"/>
      <c r="BK1099" s="3"/>
      <c r="BL1099" s="3"/>
      <c r="BM1099" s="3"/>
      <c r="BN1099" s="3"/>
      <c r="BO1099" s="3"/>
      <c r="BP1099" s="3"/>
      <c r="BQ1099" s="3"/>
      <c r="BR1099" s="3"/>
      <c r="BS1099" s="3"/>
      <c r="BT1099" s="3"/>
      <c r="BU1099" s="3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  <c r="DI1099" s="3"/>
      <c r="DJ1099" s="3"/>
      <c r="DK1099" s="3"/>
      <c r="DL1099" s="3"/>
      <c r="DM1099" s="3"/>
      <c r="DN1099" s="3"/>
      <c r="DO1099" s="3"/>
      <c r="DP1099" s="3"/>
      <c r="DQ1099" s="3"/>
      <c r="DR1099" s="3"/>
      <c r="DS1099" s="3"/>
      <c r="DT1099" s="3"/>
      <c r="DU1099" s="3"/>
      <c r="DV1099" s="3"/>
      <c r="DW1099" s="3"/>
      <c r="DX1099" s="3"/>
      <c r="DY1099" s="3"/>
      <c r="DZ1099" s="3"/>
      <c r="EA1099" s="3"/>
      <c r="EB1099" s="3"/>
      <c r="EC1099" s="3"/>
      <c r="ED1099" s="3"/>
      <c r="EE1099" s="3"/>
      <c r="EF1099" s="3"/>
      <c r="EG1099" s="3"/>
      <c r="EH1099" s="3"/>
      <c r="EI1099" s="3"/>
      <c r="EJ1099" s="3"/>
      <c r="EK1099" s="3"/>
      <c r="EL1099" s="3"/>
      <c r="EM1099" s="3"/>
      <c r="EN1099" s="3"/>
      <c r="EO1099" s="3"/>
      <c r="EP1099" s="3"/>
      <c r="EQ1099" s="3"/>
      <c r="ER1099" s="3"/>
      <c r="ES1099" s="3"/>
      <c r="ET1099" s="3"/>
      <c r="EU1099" s="3"/>
      <c r="EV1099" s="3"/>
      <c r="EW1099" s="3"/>
      <c r="EX1099" s="3"/>
      <c r="EY1099" s="3"/>
      <c r="EZ1099" s="3"/>
      <c r="FA1099" s="3"/>
      <c r="FB1099" s="3"/>
      <c r="FC1099" s="3"/>
      <c r="FD1099" s="3"/>
      <c r="FE1099" s="3"/>
      <c r="FF1099" s="3"/>
      <c r="FG1099" s="3"/>
      <c r="FH1099" s="3"/>
      <c r="FI1099" s="3"/>
      <c r="FJ1099" s="3"/>
      <c r="FK1099" s="3"/>
      <c r="FL1099" s="3"/>
      <c r="FM1099" s="3"/>
      <c r="FN1099" s="3"/>
      <c r="FO1099" s="3"/>
      <c r="FP1099" s="3"/>
      <c r="FQ1099" s="3"/>
      <c r="FR1099" s="3"/>
      <c r="FS1099" s="3"/>
      <c r="FT1099" s="3"/>
      <c r="FU1099" s="3"/>
      <c r="FV1099" s="3"/>
      <c r="FW1099" s="3"/>
      <c r="FX1099" s="3"/>
      <c r="FY1099" s="3"/>
    </row>
    <row r="1100" spans="7:181" ht="15" x14ac:dyDescent="0.25">
      <c r="G1100" s="2"/>
      <c r="H1100" s="2"/>
      <c r="I1100" s="2"/>
      <c r="J1100" s="2"/>
      <c r="K1100" s="2"/>
      <c r="L1100" s="3"/>
      <c r="M1100" s="3"/>
      <c r="N1100" s="3"/>
      <c r="O1100" s="3"/>
      <c r="P1100" s="3"/>
      <c r="Q1100" s="3"/>
      <c r="R1100" s="3"/>
      <c r="S1100" s="3"/>
      <c r="T1100" s="3"/>
      <c r="U1100" s="4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4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4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4"/>
      <c r="BI1100" s="3"/>
      <c r="BJ1100" s="3"/>
      <c r="BK1100" s="3"/>
      <c r="BL1100" s="3"/>
      <c r="BM1100" s="3"/>
      <c r="BN1100" s="3"/>
      <c r="BO1100" s="3"/>
      <c r="BP1100" s="3"/>
      <c r="BQ1100" s="3"/>
      <c r="BR1100" s="3"/>
      <c r="BS1100" s="3"/>
      <c r="BT1100" s="3"/>
      <c r="BU1100" s="3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  <c r="DI1100" s="3"/>
      <c r="DJ1100" s="3"/>
      <c r="DK1100" s="3"/>
      <c r="DL1100" s="3"/>
      <c r="DM1100" s="3"/>
      <c r="DN1100" s="3"/>
      <c r="DO1100" s="3"/>
      <c r="DP1100" s="3"/>
      <c r="DQ1100" s="3"/>
      <c r="DR1100" s="3"/>
      <c r="DS1100" s="3"/>
      <c r="DT1100" s="3"/>
      <c r="DU1100" s="3"/>
      <c r="DV1100" s="3"/>
      <c r="DW1100" s="3"/>
      <c r="DX1100" s="3"/>
      <c r="DY1100" s="3"/>
      <c r="DZ1100" s="3"/>
      <c r="EA1100" s="3"/>
      <c r="EB1100" s="3"/>
      <c r="EC1100" s="3"/>
      <c r="ED1100" s="3"/>
      <c r="EE1100" s="3"/>
      <c r="EF1100" s="3"/>
      <c r="EG1100" s="3"/>
      <c r="EH1100" s="3"/>
      <c r="EI1100" s="3"/>
      <c r="EJ1100" s="3"/>
      <c r="EK1100" s="3"/>
      <c r="EL1100" s="3"/>
      <c r="EM1100" s="3"/>
      <c r="EN1100" s="3"/>
      <c r="EO1100" s="3"/>
      <c r="EP1100" s="3"/>
      <c r="EQ1100" s="3"/>
      <c r="ER1100" s="3"/>
      <c r="ES1100" s="3"/>
      <c r="ET1100" s="3"/>
      <c r="EU1100" s="3"/>
      <c r="EV1100" s="3"/>
      <c r="EW1100" s="3"/>
      <c r="EX1100" s="3"/>
      <c r="EY1100" s="3"/>
      <c r="EZ1100" s="3"/>
      <c r="FA1100" s="3"/>
      <c r="FB1100" s="3"/>
      <c r="FC1100" s="3"/>
      <c r="FD1100" s="3"/>
      <c r="FE1100" s="3"/>
      <c r="FF1100" s="3"/>
      <c r="FG1100" s="3"/>
      <c r="FH1100" s="3"/>
      <c r="FI1100" s="3"/>
      <c r="FJ1100" s="3"/>
      <c r="FK1100" s="3"/>
      <c r="FL1100" s="3"/>
      <c r="FM1100" s="3"/>
      <c r="FN1100" s="3"/>
      <c r="FO1100" s="3"/>
      <c r="FP1100" s="3"/>
      <c r="FQ1100" s="3"/>
      <c r="FR1100" s="3"/>
      <c r="FS1100" s="3"/>
      <c r="FT1100" s="3"/>
      <c r="FU1100" s="3"/>
      <c r="FV1100" s="3"/>
      <c r="FW1100" s="3"/>
      <c r="FX1100" s="3"/>
      <c r="FY1100" s="3"/>
    </row>
    <row r="1101" spans="7:181" ht="15" x14ac:dyDescent="0.25">
      <c r="G1101" s="2"/>
      <c r="H1101" s="2"/>
      <c r="I1101" s="2"/>
      <c r="J1101" s="2"/>
      <c r="K1101" s="2"/>
      <c r="L1101" s="3"/>
      <c r="M1101" s="3"/>
      <c r="N1101" s="3"/>
      <c r="O1101" s="3"/>
      <c r="P1101" s="3"/>
      <c r="Q1101" s="3"/>
      <c r="R1101" s="3"/>
      <c r="S1101" s="3"/>
      <c r="T1101" s="3"/>
      <c r="U1101" s="4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4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4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4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3"/>
      <c r="DN1101" s="3"/>
      <c r="DO1101" s="3"/>
      <c r="DP1101" s="3"/>
      <c r="DQ1101" s="3"/>
      <c r="DR1101" s="3"/>
      <c r="DS1101" s="3"/>
      <c r="DT1101" s="3"/>
      <c r="DU1101" s="3"/>
      <c r="DV1101" s="3"/>
      <c r="DW1101" s="3"/>
      <c r="DX1101" s="3"/>
      <c r="DY1101" s="3"/>
      <c r="DZ1101" s="3"/>
      <c r="EA1101" s="3"/>
      <c r="EB1101" s="3"/>
      <c r="EC1101" s="3"/>
      <c r="ED1101" s="3"/>
      <c r="EE1101" s="3"/>
      <c r="EF1101" s="3"/>
      <c r="EG1101" s="3"/>
      <c r="EH1101" s="3"/>
      <c r="EI1101" s="3"/>
      <c r="EJ1101" s="3"/>
      <c r="EK1101" s="3"/>
      <c r="EL1101" s="3"/>
      <c r="EM1101" s="3"/>
      <c r="EN1101" s="3"/>
      <c r="EO1101" s="3"/>
      <c r="EP1101" s="3"/>
      <c r="EQ1101" s="3"/>
      <c r="ER1101" s="3"/>
      <c r="ES1101" s="3"/>
      <c r="ET1101" s="3"/>
      <c r="EU1101" s="3"/>
      <c r="EV1101" s="3"/>
      <c r="EW1101" s="3"/>
      <c r="EX1101" s="3"/>
      <c r="EY1101" s="3"/>
      <c r="EZ1101" s="3"/>
      <c r="FA1101" s="3"/>
      <c r="FB1101" s="3"/>
      <c r="FC1101" s="3"/>
      <c r="FD1101" s="3"/>
      <c r="FE1101" s="3"/>
      <c r="FF1101" s="3"/>
      <c r="FG1101" s="3"/>
      <c r="FH1101" s="3"/>
      <c r="FI1101" s="3"/>
      <c r="FJ1101" s="3"/>
      <c r="FK1101" s="3"/>
      <c r="FL1101" s="3"/>
      <c r="FM1101" s="3"/>
      <c r="FN1101" s="3"/>
      <c r="FO1101" s="3"/>
      <c r="FP1101" s="3"/>
      <c r="FQ1101" s="3"/>
      <c r="FR1101" s="3"/>
      <c r="FS1101" s="3"/>
      <c r="FT1101" s="3"/>
      <c r="FU1101" s="3"/>
      <c r="FV1101" s="3"/>
      <c r="FW1101" s="3"/>
      <c r="FX1101" s="3"/>
      <c r="FY1101" s="3"/>
    </row>
    <row r="1102" spans="7:181" ht="15" x14ac:dyDescent="0.25">
      <c r="G1102" s="2"/>
      <c r="H1102" s="2"/>
      <c r="I1102" s="2"/>
      <c r="J1102" s="2"/>
      <c r="K1102" s="2"/>
      <c r="L1102" s="3"/>
      <c r="M1102" s="3"/>
      <c r="N1102" s="3"/>
      <c r="O1102" s="3"/>
      <c r="P1102" s="3"/>
      <c r="Q1102" s="3"/>
      <c r="R1102" s="3"/>
      <c r="S1102" s="3"/>
      <c r="T1102" s="3"/>
      <c r="U1102" s="4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4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4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4"/>
      <c r="BI1102" s="3"/>
      <c r="BJ1102" s="3"/>
      <c r="BK1102" s="3"/>
      <c r="BL1102" s="3"/>
      <c r="BM1102" s="3"/>
      <c r="BN1102" s="3"/>
      <c r="BO1102" s="3"/>
      <c r="BP1102" s="3"/>
      <c r="BQ1102" s="3"/>
      <c r="BR1102" s="3"/>
      <c r="BS1102" s="3"/>
      <c r="BT1102" s="3"/>
      <c r="BU1102" s="3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3"/>
      <c r="DN1102" s="3"/>
      <c r="DO1102" s="3"/>
      <c r="DP1102" s="3"/>
      <c r="DQ1102" s="3"/>
      <c r="DR1102" s="3"/>
      <c r="DS1102" s="3"/>
      <c r="DT1102" s="3"/>
      <c r="DU1102" s="3"/>
      <c r="DV1102" s="3"/>
      <c r="DW1102" s="3"/>
      <c r="DX1102" s="3"/>
      <c r="DY1102" s="3"/>
      <c r="DZ1102" s="3"/>
      <c r="EA1102" s="3"/>
      <c r="EB1102" s="3"/>
      <c r="EC1102" s="3"/>
      <c r="ED1102" s="3"/>
      <c r="EE1102" s="3"/>
      <c r="EF1102" s="3"/>
      <c r="EG1102" s="3"/>
      <c r="EH1102" s="3"/>
      <c r="EI1102" s="3"/>
      <c r="EJ1102" s="3"/>
      <c r="EK1102" s="3"/>
      <c r="EL1102" s="3"/>
      <c r="EM1102" s="3"/>
      <c r="EN1102" s="3"/>
      <c r="EO1102" s="3"/>
      <c r="EP1102" s="3"/>
      <c r="EQ1102" s="3"/>
      <c r="ER1102" s="3"/>
      <c r="ES1102" s="3"/>
      <c r="ET1102" s="3"/>
      <c r="EU1102" s="3"/>
      <c r="EV1102" s="3"/>
      <c r="EW1102" s="3"/>
      <c r="EX1102" s="3"/>
      <c r="EY1102" s="3"/>
      <c r="EZ1102" s="3"/>
      <c r="FA1102" s="3"/>
      <c r="FB1102" s="3"/>
      <c r="FC1102" s="3"/>
      <c r="FD1102" s="3"/>
      <c r="FE1102" s="3"/>
      <c r="FF1102" s="3"/>
      <c r="FG1102" s="3"/>
      <c r="FH1102" s="3"/>
      <c r="FI1102" s="3"/>
      <c r="FJ1102" s="3"/>
      <c r="FK1102" s="3"/>
      <c r="FL1102" s="3"/>
      <c r="FM1102" s="3"/>
      <c r="FN1102" s="3"/>
      <c r="FO1102" s="3"/>
      <c r="FP1102" s="3"/>
      <c r="FQ1102" s="3"/>
      <c r="FR1102" s="3"/>
      <c r="FS1102" s="3"/>
      <c r="FT1102" s="3"/>
      <c r="FU1102" s="3"/>
      <c r="FV1102" s="3"/>
      <c r="FW1102" s="3"/>
      <c r="FX1102" s="3"/>
      <c r="FY1102" s="3"/>
    </row>
    <row r="1103" spans="7:181" ht="15" x14ac:dyDescent="0.25">
      <c r="G1103" s="2"/>
      <c r="H1103" s="2"/>
      <c r="I1103" s="2"/>
      <c r="J1103" s="2"/>
      <c r="K1103" s="2"/>
      <c r="L1103" s="3"/>
      <c r="M1103" s="3"/>
      <c r="N1103" s="3"/>
      <c r="O1103" s="3"/>
      <c r="P1103" s="3"/>
      <c r="Q1103" s="3"/>
      <c r="R1103" s="3"/>
      <c r="S1103" s="3"/>
      <c r="T1103" s="3"/>
      <c r="U1103" s="4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4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4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4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  <c r="DI1103" s="3"/>
      <c r="DJ1103" s="3"/>
      <c r="DK1103" s="3"/>
      <c r="DL1103" s="3"/>
      <c r="DM1103" s="3"/>
      <c r="DN1103" s="3"/>
      <c r="DO1103" s="3"/>
      <c r="DP1103" s="3"/>
      <c r="DQ1103" s="3"/>
      <c r="DR1103" s="3"/>
      <c r="DS1103" s="3"/>
      <c r="DT1103" s="3"/>
      <c r="DU1103" s="3"/>
      <c r="DV1103" s="3"/>
      <c r="DW1103" s="3"/>
      <c r="DX1103" s="3"/>
      <c r="DY1103" s="3"/>
      <c r="DZ1103" s="3"/>
      <c r="EA1103" s="3"/>
      <c r="EB1103" s="3"/>
      <c r="EC1103" s="3"/>
      <c r="ED1103" s="3"/>
      <c r="EE1103" s="3"/>
      <c r="EF1103" s="3"/>
      <c r="EG1103" s="3"/>
      <c r="EH1103" s="3"/>
      <c r="EI1103" s="3"/>
      <c r="EJ1103" s="3"/>
      <c r="EK1103" s="3"/>
      <c r="EL1103" s="3"/>
      <c r="EM1103" s="3"/>
      <c r="EN1103" s="3"/>
      <c r="EO1103" s="3"/>
      <c r="EP1103" s="3"/>
      <c r="EQ1103" s="3"/>
      <c r="ER1103" s="3"/>
      <c r="ES1103" s="3"/>
      <c r="ET1103" s="3"/>
      <c r="EU1103" s="3"/>
      <c r="EV1103" s="3"/>
      <c r="EW1103" s="3"/>
      <c r="EX1103" s="3"/>
      <c r="EY1103" s="3"/>
      <c r="EZ1103" s="3"/>
      <c r="FA1103" s="3"/>
      <c r="FB1103" s="3"/>
      <c r="FC1103" s="3"/>
      <c r="FD1103" s="3"/>
      <c r="FE1103" s="3"/>
      <c r="FF1103" s="3"/>
      <c r="FG1103" s="3"/>
      <c r="FH1103" s="3"/>
      <c r="FI1103" s="3"/>
      <c r="FJ1103" s="3"/>
      <c r="FK1103" s="3"/>
      <c r="FL1103" s="3"/>
      <c r="FM1103" s="3"/>
      <c r="FN1103" s="3"/>
      <c r="FO1103" s="3"/>
      <c r="FP1103" s="3"/>
      <c r="FQ1103" s="3"/>
      <c r="FR1103" s="3"/>
      <c r="FS1103" s="3"/>
      <c r="FT1103" s="3"/>
      <c r="FU1103" s="3"/>
      <c r="FV1103" s="3"/>
      <c r="FW1103" s="3"/>
      <c r="FX1103" s="3"/>
      <c r="FY1103" s="3"/>
    </row>
    <row r="1104" spans="7:181" ht="15" x14ac:dyDescent="0.25">
      <c r="G1104" s="2"/>
      <c r="H1104" s="2"/>
      <c r="I1104" s="2"/>
      <c r="J1104" s="2"/>
      <c r="K1104" s="2"/>
      <c r="L1104" s="3"/>
      <c r="M1104" s="3"/>
      <c r="N1104" s="3"/>
      <c r="O1104" s="3"/>
      <c r="P1104" s="3"/>
      <c r="Q1104" s="3"/>
      <c r="R1104" s="3"/>
      <c r="S1104" s="3"/>
      <c r="T1104" s="3"/>
      <c r="U1104" s="4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4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4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4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3"/>
      <c r="DN1104" s="3"/>
      <c r="DO1104" s="3"/>
      <c r="DP1104" s="3"/>
      <c r="DQ1104" s="3"/>
      <c r="DR1104" s="3"/>
      <c r="DS1104" s="3"/>
      <c r="DT1104" s="3"/>
      <c r="DU1104" s="3"/>
      <c r="DV1104" s="3"/>
      <c r="DW1104" s="3"/>
      <c r="DX1104" s="3"/>
      <c r="DY1104" s="3"/>
      <c r="DZ1104" s="3"/>
      <c r="EA1104" s="3"/>
      <c r="EB1104" s="3"/>
      <c r="EC1104" s="3"/>
      <c r="ED1104" s="3"/>
      <c r="EE1104" s="3"/>
      <c r="EF1104" s="3"/>
      <c r="EG1104" s="3"/>
      <c r="EH1104" s="3"/>
      <c r="EI1104" s="3"/>
      <c r="EJ1104" s="3"/>
      <c r="EK1104" s="3"/>
      <c r="EL1104" s="3"/>
      <c r="EM1104" s="3"/>
      <c r="EN1104" s="3"/>
      <c r="EO1104" s="3"/>
      <c r="EP1104" s="3"/>
      <c r="EQ1104" s="3"/>
      <c r="ER1104" s="3"/>
      <c r="ES1104" s="3"/>
      <c r="ET1104" s="3"/>
      <c r="EU1104" s="3"/>
      <c r="EV1104" s="3"/>
      <c r="EW1104" s="3"/>
      <c r="EX1104" s="3"/>
      <c r="EY1104" s="3"/>
      <c r="EZ1104" s="3"/>
      <c r="FA1104" s="3"/>
      <c r="FB1104" s="3"/>
      <c r="FC1104" s="3"/>
      <c r="FD1104" s="3"/>
      <c r="FE1104" s="3"/>
      <c r="FF1104" s="3"/>
      <c r="FG1104" s="3"/>
      <c r="FH1104" s="3"/>
      <c r="FI1104" s="3"/>
      <c r="FJ1104" s="3"/>
      <c r="FK1104" s="3"/>
      <c r="FL1104" s="3"/>
      <c r="FM1104" s="3"/>
      <c r="FN1104" s="3"/>
      <c r="FO1104" s="3"/>
      <c r="FP1104" s="3"/>
      <c r="FQ1104" s="3"/>
      <c r="FR1104" s="3"/>
      <c r="FS1104" s="3"/>
      <c r="FT1104" s="3"/>
      <c r="FU1104" s="3"/>
      <c r="FV1104" s="3"/>
      <c r="FW1104" s="3"/>
      <c r="FX1104" s="3"/>
      <c r="FY1104" s="3"/>
    </row>
    <row r="1105" spans="7:181" ht="15" x14ac:dyDescent="0.25">
      <c r="G1105" s="2"/>
      <c r="H1105" s="2"/>
      <c r="I1105" s="2"/>
      <c r="J1105" s="2"/>
      <c r="K1105" s="2"/>
      <c r="L1105" s="3"/>
      <c r="M1105" s="3"/>
      <c r="N1105" s="3"/>
      <c r="O1105" s="3"/>
      <c r="P1105" s="3"/>
      <c r="Q1105" s="3"/>
      <c r="R1105" s="3"/>
      <c r="S1105" s="3"/>
      <c r="T1105" s="3"/>
      <c r="U1105" s="4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4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4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4"/>
      <c r="BI1105" s="3"/>
      <c r="BJ1105" s="3"/>
      <c r="BK1105" s="3"/>
      <c r="BL1105" s="3"/>
      <c r="BM1105" s="3"/>
      <c r="BN1105" s="3"/>
      <c r="BO1105" s="3"/>
      <c r="BP1105" s="3"/>
      <c r="BQ1105" s="3"/>
      <c r="BR1105" s="3"/>
      <c r="BS1105" s="3"/>
      <c r="BT1105" s="3"/>
      <c r="BU1105" s="3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  <c r="DI1105" s="3"/>
      <c r="DJ1105" s="3"/>
      <c r="DK1105" s="3"/>
      <c r="DL1105" s="3"/>
      <c r="DM1105" s="3"/>
      <c r="DN1105" s="3"/>
      <c r="DO1105" s="3"/>
      <c r="DP1105" s="3"/>
      <c r="DQ1105" s="3"/>
      <c r="DR1105" s="3"/>
      <c r="DS1105" s="3"/>
      <c r="DT1105" s="3"/>
      <c r="DU1105" s="3"/>
      <c r="DV1105" s="3"/>
      <c r="DW1105" s="3"/>
      <c r="DX1105" s="3"/>
      <c r="DY1105" s="3"/>
      <c r="DZ1105" s="3"/>
      <c r="EA1105" s="3"/>
      <c r="EB1105" s="3"/>
      <c r="EC1105" s="3"/>
      <c r="ED1105" s="3"/>
      <c r="EE1105" s="3"/>
      <c r="EF1105" s="3"/>
      <c r="EG1105" s="3"/>
      <c r="EH1105" s="3"/>
      <c r="EI1105" s="3"/>
      <c r="EJ1105" s="3"/>
      <c r="EK1105" s="3"/>
      <c r="EL1105" s="3"/>
      <c r="EM1105" s="3"/>
      <c r="EN1105" s="3"/>
      <c r="EO1105" s="3"/>
      <c r="EP1105" s="3"/>
      <c r="EQ1105" s="3"/>
      <c r="ER1105" s="3"/>
      <c r="ES1105" s="3"/>
      <c r="ET1105" s="3"/>
      <c r="EU1105" s="3"/>
      <c r="EV1105" s="3"/>
      <c r="EW1105" s="3"/>
      <c r="EX1105" s="3"/>
      <c r="EY1105" s="3"/>
      <c r="EZ1105" s="3"/>
      <c r="FA1105" s="3"/>
      <c r="FB1105" s="3"/>
      <c r="FC1105" s="3"/>
      <c r="FD1105" s="3"/>
      <c r="FE1105" s="3"/>
      <c r="FF1105" s="3"/>
      <c r="FG1105" s="3"/>
      <c r="FH1105" s="3"/>
      <c r="FI1105" s="3"/>
      <c r="FJ1105" s="3"/>
      <c r="FK1105" s="3"/>
      <c r="FL1105" s="3"/>
      <c r="FM1105" s="3"/>
      <c r="FN1105" s="3"/>
      <c r="FO1105" s="3"/>
      <c r="FP1105" s="3"/>
      <c r="FQ1105" s="3"/>
      <c r="FR1105" s="3"/>
      <c r="FS1105" s="3"/>
      <c r="FT1105" s="3"/>
      <c r="FU1105" s="3"/>
      <c r="FV1105" s="3"/>
      <c r="FW1105" s="3"/>
      <c r="FX1105" s="3"/>
      <c r="FY1105" s="3"/>
    </row>
    <row r="1106" spans="7:181" ht="15" x14ac:dyDescent="0.25">
      <c r="G1106" s="2"/>
      <c r="H1106" s="2"/>
      <c r="I1106" s="2"/>
      <c r="J1106" s="2"/>
      <c r="K1106" s="2"/>
      <c r="L1106" s="3"/>
      <c r="M1106" s="3"/>
      <c r="N1106" s="3"/>
      <c r="O1106" s="3"/>
      <c r="P1106" s="3"/>
      <c r="Q1106" s="3"/>
      <c r="R1106" s="3"/>
      <c r="S1106" s="3"/>
      <c r="T1106" s="3"/>
      <c r="U1106" s="4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4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4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4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  <c r="DI1106" s="3"/>
      <c r="DJ1106" s="3"/>
      <c r="DK1106" s="3"/>
      <c r="DL1106" s="3"/>
      <c r="DM1106" s="3"/>
      <c r="DN1106" s="3"/>
      <c r="DO1106" s="3"/>
      <c r="DP1106" s="3"/>
      <c r="DQ1106" s="3"/>
      <c r="DR1106" s="3"/>
      <c r="DS1106" s="3"/>
      <c r="DT1106" s="3"/>
      <c r="DU1106" s="3"/>
      <c r="DV1106" s="3"/>
      <c r="DW1106" s="3"/>
      <c r="DX1106" s="3"/>
      <c r="DY1106" s="3"/>
      <c r="DZ1106" s="3"/>
      <c r="EA1106" s="3"/>
      <c r="EB1106" s="3"/>
      <c r="EC1106" s="3"/>
      <c r="ED1106" s="3"/>
      <c r="EE1106" s="3"/>
      <c r="EF1106" s="3"/>
      <c r="EG1106" s="3"/>
      <c r="EH1106" s="3"/>
      <c r="EI1106" s="3"/>
      <c r="EJ1106" s="3"/>
      <c r="EK1106" s="3"/>
      <c r="EL1106" s="3"/>
      <c r="EM1106" s="3"/>
      <c r="EN1106" s="3"/>
      <c r="EO1106" s="3"/>
      <c r="EP1106" s="3"/>
      <c r="EQ1106" s="3"/>
      <c r="ER1106" s="3"/>
      <c r="ES1106" s="3"/>
      <c r="ET1106" s="3"/>
      <c r="EU1106" s="3"/>
      <c r="EV1106" s="3"/>
      <c r="EW1106" s="3"/>
      <c r="EX1106" s="3"/>
      <c r="EY1106" s="3"/>
      <c r="EZ1106" s="3"/>
      <c r="FA1106" s="3"/>
      <c r="FB1106" s="3"/>
      <c r="FC1106" s="3"/>
      <c r="FD1106" s="3"/>
      <c r="FE1106" s="3"/>
      <c r="FF1106" s="3"/>
      <c r="FG1106" s="3"/>
      <c r="FH1106" s="3"/>
      <c r="FI1106" s="3"/>
      <c r="FJ1106" s="3"/>
      <c r="FK1106" s="3"/>
      <c r="FL1106" s="3"/>
      <c r="FM1106" s="3"/>
      <c r="FN1106" s="3"/>
      <c r="FO1106" s="3"/>
      <c r="FP1106" s="3"/>
      <c r="FQ1106" s="3"/>
      <c r="FR1106" s="3"/>
      <c r="FS1106" s="3"/>
      <c r="FT1106" s="3"/>
      <c r="FU1106" s="3"/>
      <c r="FV1106" s="3"/>
      <c r="FW1106" s="3"/>
      <c r="FX1106" s="3"/>
      <c r="FY1106" s="3"/>
    </row>
    <row r="1107" spans="7:181" ht="15" x14ac:dyDescent="0.25">
      <c r="G1107" s="2"/>
      <c r="H1107" s="2"/>
      <c r="I1107" s="2"/>
      <c r="J1107" s="2"/>
      <c r="K1107" s="2"/>
      <c r="L1107" s="3"/>
      <c r="M1107" s="3"/>
      <c r="N1107" s="3"/>
      <c r="O1107" s="3"/>
      <c r="P1107" s="3"/>
      <c r="Q1107" s="3"/>
      <c r="R1107" s="3"/>
      <c r="S1107" s="3"/>
      <c r="T1107" s="3"/>
      <c r="U1107" s="4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4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4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4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  <c r="DI1107" s="3"/>
      <c r="DJ1107" s="3"/>
      <c r="DK1107" s="3"/>
      <c r="DL1107" s="3"/>
      <c r="DM1107" s="3"/>
      <c r="DN1107" s="3"/>
      <c r="DO1107" s="3"/>
      <c r="DP1107" s="3"/>
      <c r="DQ1107" s="3"/>
      <c r="DR1107" s="3"/>
      <c r="DS1107" s="3"/>
      <c r="DT1107" s="3"/>
      <c r="DU1107" s="3"/>
      <c r="DV1107" s="3"/>
      <c r="DW1107" s="3"/>
      <c r="DX1107" s="3"/>
      <c r="DY1107" s="3"/>
      <c r="DZ1107" s="3"/>
      <c r="EA1107" s="3"/>
      <c r="EB1107" s="3"/>
      <c r="EC1107" s="3"/>
      <c r="ED1107" s="3"/>
      <c r="EE1107" s="3"/>
      <c r="EF1107" s="3"/>
      <c r="EG1107" s="3"/>
      <c r="EH1107" s="3"/>
      <c r="EI1107" s="3"/>
      <c r="EJ1107" s="3"/>
      <c r="EK1107" s="3"/>
      <c r="EL1107" s="3"/>
      <c r="EM1107" s="3"/>
      <c r="EN1107" s="3"/>
      <c r="EO1107" s="3"/>
      <c r="EP1107" s="3"/>
      <c r="EQ1107" s="3"/>
      <c r="ER1107" s="3"/>
      <c r="ES1107" s="3"/>
      <c r="ET1107" s="3"/>
      <c r="EU1107" s="3"/>
      <c r="EV1107" s="3"/>
      <c r="EW1107" s="3"/>
      <c r="EX1107" s="3"/>
      <c r="EY1107" s="3"/>
      <c r="EZ1107" s="3"/>
      <c r="FA1107" s="3"/>
      <c r="FB1107" s="3"/>
      <c r="FC1107" s="3"/>
      <c r="FD1107" s="3"/>
      <c r="FE1107" s="3"/>
      <c r="FF1107" s="3"/>
      <c r="FG1107" s="3"/>
      <c r="FH1107" s="3"/>
      <c r="FI1107" s="3"/>
      <c r="FJ1107" s="3"/>
      <c r="FK1107" s="3"/>
      <c r="FL1107" s="3"/>
      <c r="FM1107" s="3"/>
      <c r="FN1107" s="3"/>
      <c r="FO1107" s="3"/>
      <c r="FP1107" s="3"/>
      <c r="FQ1107" s="3"/>
      <c r="FR1107" s="3"/>
      <c r="FS1107" s="3"/>
      <c r="FT1107" s="3"/>
      <c r="FU1107" s="3"/>
      <c r="FV1107" s="3"/>
      <c r="FW1107" s="3"/>
      <c r="FX1107" s="3"/>
      <c r="FY1107" s="3"/>
    </row>
    <row r="1108" spans="7:181" ht="15" x14ac:dyDescent="0.25">
      <c r="G1108" s="2"/>
      <c r="H1108" s="2"/>
      <c r="I1108" s="2"/>
      <c r="J1108" s="2"/>
      <c r="K1108" s="2"/>
      <c r="L1108" s="3"/>
      <c r="M1108" s="3"/>
      <c r="N1108" s="3"/>
      <c r="O1108" s="3"/>
      <c r="P1108" s="3"/>
      <c r="Q1108" s="3"/>
      <c r="R1108" s="3"/>
      <c r="S1108" s="3"/>
      <c r="T1108" s="3"/>
      <c r="U1108" s="4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4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4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4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  <c r="DI1108" s="3"/>
      <c r="DJ1108" s="3"/>
      <c r="DK1108" s="3"/>
      <c r="DL1108" s="3"/>
      <c r="DM1108" s="3"/>
      <c r="DN1108" s="3"/>
      <c r="DO1108" s="3"/>
      <c r="DP1108" s="3"/>
      <c r="DQ1108" s="3"/>
      <c r="DR1108" s="3"/>
      <c r="DS1108" s="3"/>
      <c r="DT1108" s="3"/>
      <c r="DU1108" s="3"/>
      <c r="DV1108" s="3"/>
      <c r="DW1108" s="3"/>
      <c r="DX1108" s="3"/>
      <c r="DY1108" s="3"/>
      <c r="DZ1108" s="3"/>
      <c r="EA1108" s="3"/>
      <c r="EB1108" s="3"/>
      <c r="EC1108" s="3"/>
      <c r="ED1108" s="3"/>
      <c r="EE1108" s="3"/>
      <c r="EF1108" s="3"/>
      <c r="EG1108" s="3"/>
      <c r="EH1108" s="3"/>
      <c r="EI1108" s="3"/>
      <c r="EJ1108" s="3"/>
      <c r="EK1108" s="3"/>
      <c r="EL1108" s="3"/>
      <c r="EM1108" s="3"/>
      <c r="EN1108" s="3"/>
      <c r="EO1108" s="3"/>
      <c r="EP1108" s="3"/>
      <c r="EQ1108" s="3"/>
      <c r="ER1108" s="3"/>
      <c r="ES1108" s="3"/>
      <c r="ET1108" s="3"/>
      <c r="EU1108" s="3"/>
      <c r="EV1108" s="3"/>
      <c r="EW1108" s="3"/>
      <c r="EX1108" s="3"/>
      <c r="EY1108" s="3"/>
      <c r="EZ1108" s="3"/>
      <c r="FA1108" s="3"/>
      <c r="FB1108" s="3"/>
      <c r="FC1108" s="3"/>
      <c r="FD1108" s="3"/>
      <c r="FE1108" s="3"/>
      <c r="FF1108" s="3"/>
      <c r="FG1108" s="3"/>
      <c r="FH1108" s="3"/>
      <c r="FI1108" s="3"/>
      <c r="FJ1108" s="3"/>
      <c r="FK1108" s="3"/>
      <c r="FL1108" s="3"/>
      <c r="FM1108" s="3"/>
      <c r="FN1108" s="3"/>
      <c r="FO1108" s="3"/>
      <c r="FP1108" s="3"/>
      <c r="FQ1108" s="3"/>
      <c r="FR1108" s="3"/>
      <c r="FS1108" s="3"/>
      <c r="FT1108" s="3"/>
      <c r="FU1108" s="3"/>
      <c r="FV1108" s="3"/>
      <c r="FW1108" s="3"/>
      <c r="FX1108" s="3"/>
      <c r="FY1108" s="3"/>
    </row>
    <row r="1109" spans="7:181" ht="15" x14ac:dyDescent="0.25">
      <c r="G1109" s="2"/>
      <c r="H1109" s="2"/>
      <c r="I1109" s="2"/>
      <c r="J1109" s="2"/>
      <c r="K1109" s="2"/>
      <c r="L1109" s="3"/>
      <c r="M1109" s="3"/>
      <c r="N1109" s="3"/>
      <c r="O1109" s="3"/>
      <c r="P1109" s="3"/>
      <c r="Q1109" s="3"/>
      <c r="R1109" s="3"/>
      <c r="S1109" s="3"/>
      <c r="T1109" s="3"/>
      <c r="U1109" s="4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4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4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4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  <c r="DI1109" s="3"/>
      <c r="DJ1109" s="3"/>
      <c r="DK1109" s="3"/>
      <c r="DL1109" s="3"/>
      <c r="DM1109" s="3"/>
      <c r="DN1109" s="3"/>
      <c r="DO1109" s="3"/>
      <c r="DP1109" s="3"/>
      <c r="DQ1109" s="3"/>
      <c r="DR1109" s="3"/>
      <c r="DS1109" s="3"/>
      <c r="DT1109" s="3"/>
      <c r="DU1109" s="3"/>
      <c r="DV1109" s="3"/>
      <c r="DW1109" s="3"/>
      <c r="DX1109" s="3"/>
      <c r="DY1109" s="3"/>
      <c r="DZ1109" s="3"/>
      <c r="EA1109" s="3"/>
      <c r="EB1109" s="3"/>
      <c r="EC1109" s="3"/>
      <c r="ED1109" s="3"/>
      <c r="EE1109" s="3"/>
      <c r="EF1109" s="3"/>
      <c r="EG1109" s="3"/>
      <c r="EH1109" s="3"/>
      <c r="EI1109" s="3"/>
      <c r="EJ1109" s="3"/>
      <c r="EK1109" s="3"/>
      <c r="EL1109" s="3"/>
      <c r="EM1109" s="3"/>
      <c r="EN1109" s="3"/>
      <c r="EO1109" s="3"/>
      <c r="EP1109" s="3"/>
      <c r="EQ1109" s="3"/>
      <c r="ER1109" s="3"/>
      <c r="ES1109" s="3"/>
      <c r="ET1109" s="3"/>
      <c r="EU1109" s="3"/>
      <c r="EV1109" s="3"/>
      <c r="EW1109" s="3"/>
      <c r="EX1109" s="3"/>
      <c r="EY1109" s="3"/>
      <c r="EZ1109" s="3"/>
      <c r="FA1109" s="3"/>
      <c r="FB1109" s="3"/>
      <c r="FC1109" s="3"/>
      <c r="FD1109" s="3"/>
      <c r="FE1109" s="3"/>
      <c r="FF1109" s="3"/>
      <c r="FG1109" s="3"/>
      <c r="FH1109" s="3"/>
      <c r="FI1109" s="3"/>
      <c r="FJ1109" s="3"/>
      <c r="FK1109" s="3"/>
      <c r="FL1109" s="3"/>
      <c r="FM1109" s="3"/>
      <c r="FN1109" s="3"/>
      <c r="FO1109" s="3"/>
      <c r="FP1109" s="3"/>
      <c r="FQ1109" s="3"/>
      <c r="FR1109" s="3"/>
      <c r="FS1109" s="3"/>
      <c r="FT1109" s="3"/>
      <c r="FU1109" s="3"/>
      <c r="FV1109" s="3"/>
      <c r="FW1109" s="3"/>
      <c r="FX1109" s="3"/>
      <c r="FY1109" s="3"/>
    </row>
    <row r="1110" spans="7:181" ht="15" x14ac:dyDescent="0.25">
      <c r="G1110" s="2"/>
      <c r="H1110" s="2"/>
      <c r="I1110" s="2"/>
      <c r="J1110" s="2"/>
      <c r="K1110" s="2"/>
      <c r="L1110" s="3"/>
      <c r="M1110" s="3"/>
      <c r="N1110" s="3"/>
      <c r="O1110" s="3"/>
      <c r="P1110" s="3"/>
      <c r="Q1110" s="3"/>
      <c r="R1110" s="3"/>
      <c r="S1110" s="3"/>
      <c r="T1110" s="3"/>
      <c r="U1110" s="4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4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4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4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  <c r="DI1110" s="3"/>
      <c r="DJ1110" s="3"/>
      <c r="DK1110" s="3"/>
      <c r="DL1110" s="3"/>
      <c r="DM1110" s="3"/>
      <c r="DN1110" s="3"/>
      <c r="DO1110" s="3"/>
      <c r="DP1110" s="3"/>
      <c r="DQ1110" s="3"/>
      <c r="DR1110" s="3"/>
      <c r="DS1110" s="3"/>
      <c r="DT1110" s="3"/>
      <c r="DU1110" s="3"/>
      <c r="DV1110" s="3"/>
      <c r="DW1110" s="3"/>
      <c r="DX1110" s="3"/>
      <c r="DY1110" s="3"/>
      <c r="DZ1110" s="3"/>
      <c r="EA1110" s="3"/>
      <c r="EB1110" s="3"/>
      <c r="EC1110" s="3"/>
      <c r="ED1110" s="3"/>
      <c r="EE1110" s="3"/>
      <c r="EF1110" s="3"/>
      <c r="EG1110" s="3"/>
      <c r="EH1110" s="3"/>
      <c r="EI1110" s="3"/>
      <c r="EJ1110" s="3"/>
      <c r="EK1110" s="3"/>
      <c r="EL1110" s="3"/>
      <c r="EM1110" s="3"/>
      <c r="EN1110" s="3"/>
      <c r="EO1110" s="3"/>
      <c r="EP1110" s="3"/>
      <c r="EQ1110" s="3"/>
      <c r="ER1110" s="3"/>
      <c r="ES1110" s="3"/>
      <c r="ET1110" s="3"/>
      <c r="EU1110" s="3"/>
      <c r="EV1110" s="3"/>
      <c r="EW1110" s="3"/>
      <c r="EX1110" s="3"/>
      <c r="EY1110" s="3"/>
      <c r="EZ1110" s="3"/>
      <c r="FA1110" s="3"/>
      <c r="FB1110" s="3"/>
      <c r="FC1110" s="3"/>
      <c r="FD1110" s="3"/>
      <c r="FE1110" s="3"/>
      <c r="FF1110" s="3"/>
      <c r="FG1110" s="3"/>
      <c r="FH1110" s="3"/>
      <c r="FI1110" s="3"/>
      <c r="FJ1110" s="3"/>
      <c r="FK1110" s="3"/>
      <c r="FL1110" s="3"/>
      <c r="FM1110" s="3"/>
      <c r="FN1110" s="3"/>
      <c r="FO1110" s="3"/>
      <c r="FP1110" s="3"/>
      <c r="FQ1110" s="3"/>
      <c r="FR1110" s="3"/>
      <c r="FS1110" s="3"/>
      <c r="FT1110" s="3"/>
      <c r="FU1110" s="3"/>
      <c r="FV1110" s="3"/>
      <c r="FW1110" s="3"/>
      <c r="FX1110" s="3"/>
      <c r="FY1110" s="3"/>
    </row>
    <row r="1111" spans="7:181" ht="15" x14ac:dyDescent="0.25">
      <c r="G1111" s="2"/>
      <c r="H1111" s="2"/>
      <c r="I1111" s="2"/>
      <c r="J1111" s="2"/>
      <c r="K1111" s="2"/>
      <c r="L1111" s="3"/>
      <c r="M1111" s="3"/>
      <c r="N1111" s="3"/>
      <c r="O1111" s="3"/>
      <c r="P1111" s="3"/>
      <c r="Q1111" s="3"/>
      <c r="R1111" s="3"/>
      <c r="S1111" s="3"/>
      <c r="T1111" s="3"/>
      <c r="U1111" s="4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4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4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4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  <c r="DI1111" s="3"/>
      <c r="DJ1111" s="3"/>
      <c r="DK1111" s="3"/>
      <c r="DL1111" s="3"/>
      <c r="DM1111" s="3"/>
      <c r="DN1111" s="3"/>
      <c r="DO1111" s="3"/>
      <c r="DP1111" s="3"/>
      <c r="DQ1111" s="3"/>
      <c r="DR1111" s="3"/>
      <c r="DS1111" s="3"/>
      <c r="DT1111" s="3"/>
      <c r="DU1111" s="3"/>
      <c r="DV1111" s="3"/>
      <c r="DW1111" s="3"/>
      <c r="DX1111" s="3"/>
      <c r="DY1111" s="3"/>
      <c r="DZ1111" s="3"/>
      <c r="EA1111" s="3"/>
      <c r="EB1111" s="3"/>
      <c r="EC1111" s="3"/>
      <c r="ED1111" s="3"/>
      <c r="EE1111" s="3"/>
      <c r="EF1111" s="3"/>
      <c r="EG1111" s="3"/>
      <c r="EH1111" s="3"/>
      <c r="EI1111" s="3"/>
      <c r="EJ1111" s="3"/>
      <c r="EK1111" s="3"/>
      <c r="EL1111" s="3"/>
      <c r="EM1111" s="3"/>
      <c r="EN1111" s="3"/>
      <c r="EO1111" s="3"/>
      <c r="EP1111" s="3"/>
      <c r="EQ1111" s="3"/>
      <c r="ER1111" s="3"/>
      <c r="ES1111" s="3"/>
      <c r="ET1111" s="3"/>
      <c r="EU1111" s="3"/>
      <c r="EV1111" s="3"/>
      <c r="EW1111" s="3"/>
      <c r="EX1111" s="3"/>
      <c r="EY1111" s="3"/>
      <c r="EZ1111" s="3"/>
      <c r="FA1111" s="3"/>
      <c r="FB1111" s="3"/>
      <c r="FC1111" s="3"/>
      <c r="FD1111" s="3"/>
      <c r="FE1111" s="3"/>
      <c r="FF1111" s="3"/>
      <c r="FG1111" s="3"/>
      <c r="FH1111" s="3"/>
      <c r="FI1111" s="3"/>
      <c r="FJ1111" s="3"/>
      <c r="FK1111" s="3"/>
      <c r="FL1111" s="3"/>
      <c r="FM1111" s="3"/>
      <c r="FN1111" s="3"/>
      <c r="FO1111" s="3"/>
      <c r="FP1111" s="3"/>
      <c r="FQ1111" s="3"/>
      <c r="FR1111" s="3"/>
      <c r="FS1111" s="3"/>
      <c r="FT1111" s="3"/>
      <c r="FU1111" s="3"/>
      <c r="FV1111" s="3"/>
      <c r="FW1111" s="3"/>
      <c r="FX1111" s="3"/>
      <c r="FY1111" s="3"/>
    </row>
    <row r="1112" spans="7:181" ht="15" x14ac:dyDescent="0.25">
      <c r="G1112" s="2"/>
      <c r="H1112" s="2"/>
      <c r="I1112" s="2"/>
      <c r="J1112" s="2"/>
      <c r="K1112" s="2"/>
      <c r="L1112" s="3"/>
      <c r="M1112" s="3"/>
      <c r="N1112" s="3"/>
      <c r="O1112" s="3"/>
      <c r="P1112" s="3"/>
      <c r="Q1112" s="3"/>
      <c r="R1112" s="3"/>
      <c r="S1112" s="3"/>
      <c r="T1112" s="3"/>
      <c r="U1112" s="4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4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4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4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  <c r="DI1112" s="3"/>
      <c r="DJ1112" s="3"/>
      <c r="DK1112" s="3"/>
      <c r="DL1112" s="3"/>
      <c r="DM1112" s="3"/>
      <c r="DN1112" s="3"/>
      <c r="DO1112" s="3"/>
      <c r="DP1112" s="3"/>
      <c r="DQ1112" s="3"/>
      <c r="DR1112" s="3"/>
      <c r="DS1112" s="3"/>
      <c r="DT1112" s="3"/>
      <c r="DU1112" s="3"/>
      <c r="DV1112" s="3"/>
      <c r="DW1112" s="3"/>
      <c r="DX1112" s="3"/>
      <c r="DY1112" s="3"/>
      <c r="DZ1112" s="3"/>
      <c r="EA1112" s="3"/>
      <c r="EB1112" s="3"/>
      <c r="EC1112" s="3"/>
      <c r="ED1112" s="3"/>
      <c r="EE1112" s="3"/>
      <c r="EF1112" s="3"/>
      <c r="EG1112" s="3"/>
      <c r="EH1112" s="3"/>
      <c r="EI1112" s="3"/>
      <c r="EJ1112" s="3"/>
      <c r="EK1112" s="3"/>
      <c r="EL1112" s="3"/>
      <c r="EM1112" s="3"/>
      <c r="EN1112" s="3"/>
      <c r="EO1112" s="3"/>
      <c r="EP1112" s="3"/>
      <c r="EQ1112" s="3"/>
      <c r="ER1112" s="3"/>
      <c r="ES1112" s="3"/>
      <c r="ET1112" s="3"/>
      <c r="EU1112" s="3"/>
      <c r="EV1112" s="3"/>
      <c r="EW1112" s="3"/>
      <c r="EX1112" s="3"/>
      <c r="EY1112" s="3"/>
      <c r="EZ1112" s="3"/>
      <c r="FA1112" s="3"/>
      <c r="FB1112" s="3"/>
      <c r="FC1112" s="3"/>
      <c r="FD1112" s="3"/>
      <c r="FE1112" s="3"/>
      <c r="FF1112" s="3"/>
      <c r="FG1112" s="3"/>
      <c r="FH1112" s="3"/>
      <c r="FI1112" s="3"/>
      <c r="FJ1112" s="3"/>
      <c r="FK1112" s="3"/>
      <c r="FL1112" s="3"/>
      <c r="FM1112" s="3"/>
      <c r="FN1112" s="3"/>
      <c r="FO1112" s="3"/>
      <c r="FP1112" s="3"/>
      <c r="FQ1112" s="3"/>
      <c r="FR1112" s="3"/>
      <c r="FS1112" s="3"/>
      <c r="FT1112" s="3"/>
      <c r="FU1112" s="3"/>
      <c r="FV1112" s="3"/>
      <c r="FW1112" s="3"/>
      <c r="FX1112" s="3"/>
      <c r="FY1112" s="3"/>
    </row>
    <row r="1113" spans="7:181" ht="15" x14ac:dyDescent="0.25">
      <c r="G1113" s="2"/>
      <c r="H1113" s="2"/>
      <c r="I1113" s="2"/>
      <c r="J1113" s="2"/>
      <c r="K1113" s="2"/>
      <c r="L1113" s="3"/>
      <c r="M1113" s="3"/>
      <c r="N1113" s="3"/>
      <c r="O1113" s="3"/>
      <c r="P1113" s="3"/>
      <c r="Q1113" s="3"/>
      <c r="R1113" s="3"/>
      <c r="S1113" s="3"/>
      <c r="T1113" s="3"/>
      <c r="U1113" s="4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4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4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4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  <c r="DI1113" s="3"/>
      <c r="DJ1113" s="3"/>
      <c r="DK1113" s="3"/>
      <c r="DL1113" s="3"/>
      <c r="DM1113" s="3"/>
      <c r="DN1113" s="3"/>
      <c r="DO1113" s="3"/>
      <c r="DP1113" s="3"/>
      <c r="DQ1113" s="3"/>
      <c r="DR1113" s="3"/>
      <c r="DS1113" s="3"/>
      <c r="DT1113" s="3"/>
      <c r="DU1113" s="3"/>
      <c r="DV1113" s="3"/>
      <c r="DW1113" s="3"/>
      <c r="DX1113" s="3"/>
      <c r="DY1113" s="3"/>
      <c r="DZ1113" s="3"/>
      <c r="EA1113" s="3"/>
      <c r="EB1113" s="3"/>
      <c r="EC1113" s="3"/>
      <c r="ED1113" s="3"/>
      <c r="EE1113" s="3"/>
      <c r="EF1113" s="3"/>
      <c r="EG1113" s="3"/>
      <c r="EH1113" s="3"/>
      <c r="EI1113" s="3"/>
      <c r="EJ1113" s="3"/>
      <c r="EK1113" s="3"/>
      <c r="EL1113" s="3"/>
      <c r="EM1113" s="3"/>
      <c r="EN1113" s="3"/>
      <c r="EO1113" s="3"/>
      <c r="EP1113" s="3"/>
      <c r="EQ1113" s="3"/>
      <c r="ER1113" s="3"/>
      <c r="ES1113" s="3"/>
      <c r="ET1113" s="3"/>
      <c r="EU1113" s="3"/>
      <c r="EV1113" s="3"/>
      <c r="EW1113" s="3"/>
      <c r="EX1113" s="3"/>
      <c r="EY1113" s="3"/>
      <c r="EZ1113" s="3"/>
      <c r="FA1113" s="3"/>
      <c r="FB1113" s="3"/>
      <c r="FC1113" s="3"/>
      <c r="FD1113" s="3"/>
      <c r="FE1113" s="3"/>
      <c r="FF1113" s="3"/>
      <c r="FG1113" s="3"/>
      <c r="FH1113" s="3"/>
      <c r="FI1113" s="3"/>
      <c r="FJ1113" s="3"/>
      <c r="FK1113" s="3"/>
      <c r="FL1113" s="3"/>
      <c r="FM1113" s="3"/>
      <c r="FN1113" s="3"/>
      <c r="FO1113" s="3"/>
      <c r="FP1113" s="3"/>
      <c r="FQ1113" s="3"/>
      <c r="FR1113" s="3"/>
      <c r="FS1113" s="3"/>
      <c r="FT1113" s="3"/>
      <c r="FU1113" s="3"/>
      <c r="FV1113" s="3"/>
      <c r="FW1113" s="3"/>
      <c r="FX1113" s="3"/>
      <c r="FY1113" s="3"/>
    </row>
    <row r="1114" spans="7:181" ht="15" x14ac:dyDescent="0.25">
      <c r="G1114" s="2"/>
      <c r="H1114" s="2"/>
      <c r="I1114" s="2"/>
      <c r="J1114" s="2"/>
      <c r="K1114" s="2"/>
      <c r="L1114" s="3"/>
      <c r="M1114" s="3"/>
      <c r="N1114" s="3"/>
      <c r="O1114" s="3"/>
      <c r="P1114" s="3"/>
      <c r="Q1114" s="3"/>
      <c r="R1114" s="3"/>
      <c r="S1114" s="3"/>
      <c r="T1114" s="3"/>
      <c r="U1114" s="4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4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4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4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  <c r="DI1114" s="3"/>
      <c r="DJ1114" s="3"/>
      <c r="DK1114" s="3"/>
      <c r="DL1114" s="3"/>
      <c r="DM1114" s="3"/>
      <c r="DN1114" s="3"/>
      <c r="DO1114" s="3"/>
      <c r="DP1114" s="3"/>
      <c r="DQ1114" s="3"/>
      <c r="DR1114" s="3"/>
      <c r="DS1114" s="3"/>
      <c r="DT1114" s="3"/>
      <c r="DU1114" s="3"/>
      <c r="DV1114" s="3"/>
      <c r="DW1114" s="3"/>
      <c r="DX1114" s="3"/>
      <c r="DY1114" s="3"/>
      <c r="DZ1114" s="3"/>
      <c r="EA1114" s="3"/>
      <c r="EB1114" s="3"/>
      <c r="EC1114" s="3"/>
      <c r="ED1114" s="3"/>
      <c r="EE1114" s="3"/>
      <c r="EF1114" s="3"/>
      <c r="EG1114" s="3"/>
      <c r="EH1114" s="3"/>
      <c r="EI1114" s="3"/>
      <c r="EJ1114" s="3"/>
      <c r="EK1114" s="3"/>
      <c r="EL1114" s="3"/>
      <c r="EM1114" s="3"/>
      <c r="EN1114" s="3"/>
      <c r="EO1114" s="3"/>
      <c r="EP1114" s="3"/>
      <c r="EQ1114" s="3"/>
      <c r="ER1114" s="3"/>
      <c r="ES1114" s="3"/>
      <c r="ET1114" s="3"/>
      <c r="EU1114" s="3"/>
      <c r="EV1114" s="3"/>
      <c r="EW1114" s="3"/>
      <c r="EX1114" s="3"/>
      <c r="EY1114" s="3"/>
      <c r="EZ1114" s="3"/>
      <c r="FA1114" s="3"/>
      <c r="FB1114" s="3"/>
      <c r="FC1114" s="3"/>
      <c r="FD1114" s="3"/>
      <c r="FE1114" s="3"/>
      <c r="FF1114" s="3"/>
      <c r="FG1114" s="3"/>
      <c r="FH1114" s="3"/>
      <c r="FI1114" s="3"/>
      <c r="FJ1114" s="3"/>
      <c r="FK1114" s="3"/>
      <c r="FL1114" s="3"/>
      <c r="FM1114" s="3"/>
      <c r="FN1114" s="3"/>
      <c r="FO1114" s="3"/>
      <c r="FP1114" s="3"/>
      <c r="FQ1114" s="3"/>
      <c r="FR1114" s="3"/>
      <c r="FS1114" s="3"/>
      <c r="FT1114" s="3"/>
      <c r="FU1114" s="3"/>
      <c r="FV1114" s="3"/>
      <c r="FW1114" s="3"/>
      <c r="FX1114" s="3"/>
      <c r="FY1114" s="3"/>
    </row>
    <row r="1115" spans="7:181" ht="15" x14ac:dyDescent="0.25">
      <c r="G1115" s="2"/>
      <c r="H1115" s="2"/>
      <c r="I1115" s="2"/>
      <c r="J1115" s="2"/>
      <c r="K1115" s="2"/>
      <c r="L1115" s="3"/>
      <c r="M1115" s="3"/>
      <c r="N1115" s="3"/>
      <c r="O1115" s="3"/>
      <c r="P1115" s="3"/>
      <c r="Q1115" s="3"/>
      <c r="R1115" s="3"/>
      <c r="S1115" s="3"/>
      <c r="T1115" s="3"/>
      <c r="U1115" s="4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4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4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4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  <c r="DI1115" s="3"/>
      <c r="DJ1115" s="3"/>
      <c r="DK1115" s="3"/>
      <c r="DL1115" s="3"/>
      <c r="DM1115" s="3"/>
      <c r="DN1115" s="3"/>
      <c r="DO1115" s="3"/>
      <c r="DP1115" s="3"/>
      <c r="DQ1115" s="3"/>
      <c r="DR1115" s="3"/>
      <c r="DS1115" s="3"/>
      <c r="DT1115" s="3"/>
      <c r="DU1115" s="3"/>
      <c r="DV1115" s="3"/>
      <c r="DW1115" s="3"/>
      <c r="DX1115" s="3"/>
      <c r="DY1115" s="3"/>
      <c r="DZ1115" s="3"/>
      <c r="EA1115" s="3"/>
      <c r="EB1115" s="3"/>
      <c r="EC1115" s="3"/>
      <c r="ED1115" s="3"/>
      <c r="EE1115" s="3"/>
      <c r="EF1115" s="3"/>
      <c r="EG1115" s="3"/>
      <c r="EH1115" s="3"/>
      <c r="EI1115" s="3"/>
      <c r="EJ1115" s="3"/>
      <c r="EK1115" s="3"/>
      <c r="EL1115" s="3"/>
      <c r="EM1115" s="3"/>
      <c r="EN1115" s="3"/>
      <c r="EO1115" s="3"/>
      <c r="EP1115" s="3"/>
      <c r="EQ1115" s="3"/>
      <c r="ER1115" s="3"/>
      <c r="ES1115" s="3"/>
      <c r="ET1115" s="3"/>
      <c r="EU1115" s="3"/>
      <c r="EV1115" s="3"/>
      <c r="EW1115" s="3"/>
      <c r="EX1115" s="3"/>
      <c r="EY1115" s="3"/>
      <c r="EZ1115" s="3"/>
      <c r="FA1115" s="3"/>
      <c r="FB1115" s="3"/>
      <c r="FC1115" s="3"/>
      <c r="FD1115" s="3"/>
      <c r="FE1115" s="3"/>
      <c r="FF1115" s="3"/>
      <c r="FG1115" s="3"/>
      <c r="FH1115" s="3"/>
      <c r="FI1115" s="3"/>
      <c r="FJ1115" s="3"/>
      <c r="FK1115" s="3"/>
      <c r="FL1115" s="3"/>
      <c r="FM1115" s="3"/>
      <c r="FN1115" s="3"/>
      <c r="FO1115" s="3"/>
      <c r="FP1115" s="3"/>
      <c r="FQ1115" s="3"/>
      <c r="FR1115" s="3"/>
      <c r="FS1115" s="3"/>
      <c r="FT1115" s="3"/>
      <c r="FU1115" s="3"/>
      <c r="FV1115" s="3"/>
      <c r="FW1115" s="3"/>
      <c r="FX1115" s="3"/>
      <c r="FY1115" s="3"/>
    </row>
    <row r="1116" spans="7:181" ht="15" x14ac:dyDescent="0.25">
      <c r="G1116" s="2"/>
      <c r="H1116" s="2"/>
      <c r="I1116" s="2"/>
      <c r="J1116" s="2"/>
      <c r="K1116" s="2"/>
      <c r="L1116" s="3"/>
      <c r="M1116" s="3"/>
      <c r="N1116" s="3"/>
      <c r="O1116" s="3"/>
      <c r="P1116" s="3"/>
      <c r="Q1116" s="3"/>
      <c r="R1116" s="3"/>
      <c r="S1116" s="3"/>
      <c r="T1116" s="3"/>
      <c r="U1116" s="4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4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4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4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  <c r="DI1116" s="3"/>
      <c r="DJ1116" s="3"/>
      <c r="DK1116" s="3"/>
      <c r="DL1116" s="3"/>
      <c r="DM1116" s="3"/>
      <c r="DN1116" s="3"/>
      <c r="DO1116" s="3"/>
      <c r="DP1116" s="3"/>
      <c r="DQ1116" s="3"/>
      <c r="DR1116" s="3"/>
      <c r="DS1116" s="3"/>
      <c r="DT1116" s="3"/>
      <c r="DU1116" s="3"/>
      <c r="DV1116" s="3"/>
      <c r="DW1116" s="3"/>
      <c r="DX1116" s="3"/>
      <c r="DY1116" s="3"/>
      <c r="DZ1116" s="3"/>
      <c r="EA1116" s="3"/>
      <c r="EB1116" s="3"/>
      <c r="EC1116" s="3"/>
      <c r="ED1116" s="3"/>
      <c r="EE1116" s="3"/>
      <c r="EF1116" s="3"/>
      <c r="EG1116" s="3"/>
      <c r="EH1116" s="3"/>
      <c r="EI1116" s="3"/>
      <c r="EJ1116" s="3"/>
      <c r="EK1116" s="3"/>
      <c r="EL1116" s="3"/>
      <c r="EM1116" s="3"/>
      <c r="EN1116" s="3"/>
      <c r="EO1116" s="3"/>
      <c r="EP1116" s="3"/>
      <c r="EQ1116" s="3"/>
      <c r="ER1116" s="3"/>
      <c r="ES1116" s="3"/>
      <c r="ET1116" s="3"/>
      <c r="EU1116" s="3"/>
      <c r="EV1116" s="3"/>
      <c r="EW1116" s="3"/>
      <c r="EX1116" s="3"/>
      <c r="EY1116" s="3"/>
      <c r="EZ1116" s="3"/>
      <c r="FA1116" s="3"/>
      <c r="FB1116" s="3"/>
      <c r="FC1116" s="3"/>
      <c r="FD1116" s="3"/>
      <c r="FE1116" s="3"/>
      <c r="FF1116" s="3"/>
      <c r="FG1116" s="3"/>
      <c r="FH1116" s="3"/>
      <c r="FI1116" s="3"/>
      <c r="FJ1116" s="3"/>
      <c r="FK1116" s="3"/>
      <c r="FL1116" s="3"/>
      <c r="FM1116" s="3"/>
      <c r="FN1116" s="3"/>
      <c r="FO1116" s="3"/>
      <c r="FP1116" s="3"/>
      <c r="FQ1116" s="3"/>
      <c r="FR1116" s="3"/>
      <c r="FS1116" s="3"/>
      <c r="FT1116" s="3"/>
      <c r="FU1116" s="3"/>
      <c r="FV1116" s="3"/>
      <c r="FW1116" s="3"/>
      <c r="FX1116" s="3"/>
      <c r="FY1116" s="3"/>
    </row>
    <row r="1117" spans="7:181" ht="15" x14ac:dyDescent="0.25">
      <c r="G1117" s="2"/>
      <c r="H1117" s="2"/>
      <c r="I1117" s="2"/>
      <c r="J1117" s="2"/>
      <c r="K1117" s="2"/>
      <c r="L1117" s="3"/>
      <c r="M1117" s="3"/>
      <c r="N1117" s="3"/>
      <c r="O1117" s="3"/>
      <c r="P1117" s="3"/>
      <c r="Q1117" s="3"/>
      <c r="R1117" s="3"/>
      <c r="S1117" s="3"/>
      <c r="T1117" s="3"/>
      <c r="U1117" s="4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4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4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4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  <c r="DI1117" s="3"/>
      <c r="DJ1117" s="3"/>
      <c r="DK1117" s="3"/>
      <c r="DL1117" s="3"/>
      <c r="DM1117" s="3"/>
      <c r="DN1117" s="3"/>
      <c r="DO1117" s="3"/>
      <c r="DP1117" s="3"/>
      <c r="DQ1117" s="3"/>
      <c r="DR1117" s="3"/>
      <c r="DS1117" s="3"/>
      <c r="DT1117" s="3"/>
      <c r="DU1117" s="3"/>
      <c r="DV1117" s="3"/>
      <c r="DW1117" s="3"/>
      <c r="DX1117" s="3"/>
      <c r="DY1117" s="3"/>
      <c r="DZ1117" s="3"/>
      <c r="EA1117" s="3"/>
      <c r="EB1117" s="3"/>
      <c r="EC1117" s="3"/>
      <c r="ED1117" s="3"/>
      <c r="EE1117" s="3"/>
      <c r="EF1117" s="3"/>
      <c r="EG1117" s="3"/>
      <c r="EH1117" s="3"/>
      <c r="EI1117" s="3"/>
      <c r="EJ1117" s="3"/>
      <c r="EK1117" s="3"/>
      <c r="EL1117" s="3"/>
      <c r="EM1117" s="3"/>
      <c r="EN1117" s="3"/>
      <c r="EO1117" s="3"/>
      <c r="EP1117" s="3"/>
      <c r="EQ1117" s="3"/>
      <c r="ER1117" s="3"/>
      <c r="ES1117" s="3"/>
      <c r="ET1117" s="3"/>
      <c r="EU1117" s="3"/>
      <c r="EV1117" s="3"/>
      <c r="EW1117" s="3"/>
      <c r="EX1117" s="3"/>
      <c r="EY1117" s="3"/>
      <c r="EZ1117" s="3"/>
      <c r="FA1117" s="3"/>
      <c r="FB1117" s="3"/>
      <c r="FC1117" s="3"/>
      <c r="FD1117" s="3"/>
      <c r="FE1117" s="3"/>
      <c r="FF1117" s="3"/>
      <c r="FG1117" s="3"/>
      <c r="FH1117" s="3"/>
      <c r="FI1117" s="3"/>
      <c r="FJ1117" s="3"/>
      <c r="FK1117" s="3"/>
      <c r="FL1117" s="3"/>
      <c r="FM1117" s="3"/>
      <c r="FN1117" s="3"/>
      <c r="FO1117" s="3"/>
      <c r="FP1117" s="3"/>
      <c r="FQ1117" s="3"/>
      <c r="FR1117" s="3"/>
      <c r="FS1117" s="3"/>
      <c r="FT1117" s="3"/>
      <c r="FU1117" s="3"/>
      <c r="FV1117" s="3"/>
      <c r="FW1117" s="3"/>
      <c r="FX1117" s="3"/>
      <c r="FY1117" s="3"/>
    </row>
    <row r="1118" spans="7:181" ht="15" x14ac:dyDescent="0.25">
      <c r="G1118" s="2"/>
      <c r="H1118" s="2"/>
      <c r="I1118" s="2"/>
      <c r="J1118" s="2"/>
      <c r="K1118" s="2"/>
      <c r="L1118" s="3"/>
      <c r="M1118" s="3"/>
      <c r="N1118" s="3"/>
      <c r="O1118" s="3"/>
      <c r="P1118" s="3"/>
      <c r="Q1118" s="3"/>
      <c r="R1118" s="3"/>
      <c r="S1118" s="3"/>
      <c r="T1118" s="3"/>
      <c r="U1118" s="4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4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4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4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  <c r="DP1118" s="3"/>
      <c r="DQ1118" s="3"/>
      <c r="DR1118" s="3"/>
      <c r="DS1118" s="3"/>
      <c r="DT1118" s="3"/>
      <c r="DU1118" s="3"/>
      <c r="DV1118" s="3"/>
      <c r="DW1118" s="3"/>
      <c r="DX1118" s="3"/>
      <c r="DY1118" s="3"/>
      <c r="DZ1118" s="3"/>
      <c r="EA1118" s="3"/>
      <c r="EB1118" s="3"/>
      <c r="EC1118" s="3"/>
      <c r="ED1118" s="3"/>
      <c r="EE1118" s="3"/>
      <c r="EF1118" s="3"/>
      <c r="EG1118" s="3"/>
      <c r="EH1118" s="3"/>
      <c r="EI1118" s="3"/>
      <c r="EJ1118" s="3"/>
      <c r="EK1118" s="3"/>
      <c r="EL1118" s="3"/>
      <c r="EM1118" s="3"/>
      <c r="EN1118" s="3"/>
      <c r="EO1118" s="3"/>
      <c r="EP1118" s="3"/>
      <c r="EQ1118" s="3"/>
      <c r="ER1118" s="3"/>
      <c r="ES1118" s="3"/>
      <c r="ET1118" s="3"/>
      <c r="EU1118" s="3"/>
      <c r="EV1118" s="3"/>
      <c r="EW1118" s="3"/>
      <c r="EX1118" s="3"/>
      <c r="EY1118" s="3"/>
      <c r="EZ1118" s="3"/>
      <c r="FA1118" s="3"/>
      <c r="FB1118" s="3"/>
      <c r="FC1118" s="3"/>
      <c r="FD1118" s="3"/>
      <c r="FE1118" s="3"/>
      <c r="FF1118" s="3"/>
      <c r="FG1118" s="3"/>
      <c r="FH1118" s="3"/>
      <c r="FI1118" s="3"/>
      <c r="FJ1118" s="3"/>
      <c r="FK1118" s="3"/>
      <c r="FL1118" s="3"/>
      <c r="FM1118" s="3"/>
      <c r="FN1118" s="3"/>
      <c r="FO1118" s="3"/>
      <c r="FP1118" s="3"/>
      <c r="FQ1118" s="3"/>
      <c r="FR1118" s="3"/>
      <c r="FS1118" s="3"/>
      <c r="FT1118" s="3"/>
      <c r="FU1118" s="3"/>
      <c r="FV1118" s="3"/>
      <c r="FW1118" s="3"/>
      <c r="FX1118" s="3"/>
      <c r="FY1118" s="3"/>
    </row>
    <row r="1119" spans="7:181" ht="15" x14ac:dyDescent="0.25">
      <c r="G1119" s="2"/>
      <c r="H1119" s="2"/>
      <c r="I1119" s="2"/>
      <c r="J1119" s="2"/>
      <c r="K1119" s="2"/>
      <c r="L1119" s="3"/>
      <c r="M1119" s="3"/>
      <c r="N1119" s="3"/>
      <c r="O1119" s="3"/>
      <c r="P1119" s="3"/>
      <c r="Q1119" s="3"/>
      <c r="R1119" s="3"/>
      <c r="S1119" s="3"/>
      <c r="T1119" s="3"/>
      <c r="U1119" s="4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4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4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4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  <c r="DP1119" s="3"/>
      <c r="DQ1119" s="3"/>
      <c r="DR1119" s="3"/>
      <c r="DS1119" s="3"/>
      <c r="DT1119" s="3"/>
      <c r="DU1119" s="3"/>
      <c r="DV1119" s="3"/>
      <c r="DW1119" s="3"/>
      <c r="DX1119" s="3"/>
      <c r="DY1119" s="3"/>
      <c r="DZ1119" s="3"/>
      <c r="EA1119" s="3"/>
      <c r="EB1119" s="3"/>
      <c r="EC1119" s="3"/>
      <c r="ED1119" s="3"/>
      <c r="EE1119" s="3"/>
      <c r="EF1119" s="3"/>
      <c r="EG1119" s="3"/>
      <c r="EH1119" s="3"/>
      <c r="EI1119" s="3"/>
      <c r="EJ1119" s="3"/>
      <c r="EK1119" s="3"/>
      <c r="EL1119" s="3"/>
      <c r="EM1119" s="3"/>
      <c r="EN1119" s="3"/>
      <c r="EO1119" s="3"/>
      <c r="EP1119" s="3"/>
      <c r="EQ1119" s="3"/>
      <c r="ER1119" s="3"/>
      <c r="ES1119" s="3"/>
      <c r="ET1119" s="3"/>
      <c r="EU1119" s="3"/>
      <c r="EV1119" s="3"/>
      <c r="EW1119" s="3"/>
      <c r="EX1119" s="3"/>
      <c r="EY1119" s="3"/>
      <c r="EZ1119" s="3"/>
      <c r="FA1119" s="3"/>
      <c r="FB1119" s="3"/>
      <c r="FC1119" s="3"/>
      <c r="FD1119" s="3"/>
      <c r="FE1119" s="3"/>
      <c r="FF1119" s="3"/>
      <c r="FG1119" s="3"/>
      <c r="FH1119" s="3"/>
      <c r="FI1119" s="3"/>
      <c r="FJ1119" s="3"/>
      <c r="FK1119" s="3"/>
      <c r="FL1119" s="3"/>
      <c r="FM1119" s="3"/>
      <c r="FN1119" s="3"/>
      <c r="FO1119" s="3"/>
      <c r="FP1119" s="3"/>
      <c r="FQ1119" s="3"/>
      <c r="FR1119" s="3"/>
      <c r="FS1119" s="3"/>
      <c r="FT1119" s="3"/>
      <c r="FU1119" s="3"/>
      <c r="FV1119" s="3"/>
      <c r="FW1119" s="3"/>
      <c r="FX1119" s="3"/>
      <c r="FY1119" s="3"/>
    </row>
    <row r="1120" spans="7:181" ht="15" x14ac:dyDescent="0.25">
      <c r="G1120" s="2"/>
      <c r="H1120" s="2"/>
      <c r="I1120" s="2"/>
      <c r="J1120" s="2"/>
      <c r="K1120" s="2"/>
      <c r="L1120" s="3"/>
      <c r="M1120" s="3"/>
      <c r="N1120" s="3"/>
      <c r="O1120" s="3"/>
      <c r="P1120" s="3"/>
      <c r="Q1120" s="3"/>
      <c r="R1120" s="3"/>
      <c r="S1120" s="3"/>
      <c r="T1120" s="3"/>
      <c r="U1120" s="4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4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4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4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  <c r="DP1120" s="3"/>
      <c r="DQ1120" s="3"/>
      <c r="DR1120" s="3"/>
      <c r="DS1120" s="3"/>
      <c r="DT1120" s="3"/>
      <c r="DU1120" s="3"/>
      <c r="DV1120" s="3"/>
      <c r="DW1120" s="3"/>
      <c r="DX1120" s="3"/>
      <c r="DY1120" s="3"/>
      <c r="DZ1120" s="3"/>
      <c r="EA1120" s="3"/>
      <c r="EB1120" s="3"/>
      <c r="EC1120" s="3"/>
      <c r="ED1120" s="3"/>
      <c r="EE1120" s="3"/>
      <c r="EF1120" s="3"/>
      <c r="EG1120" s="3"/>
      <c r="EH1120" s="3"/>
      <c r="EI1120" s="3"/>
      <c r="EJ1120" s="3"/>
      <c r="EK1120" s="3"/>
      <c r="EL1120" s="3"/>
      <c r="EM1120" s="3"/>
      <c r="EN1120" s="3"/>
      <c r="EO1120" s="3"/>
      <c r="EP1120" s="3"/>
      <c r="EQ1120" s="3"/>
      <c r="ER1120" s="3"/>
      <c r="ES1120" s="3"/>
      <c r="ET1120" s="3"/>
      <c r="EU1120" s="3"/>
      <c r="EV1120" s="3"/>
      <c r="EW1120" s="3"/>
      <c r="EX1120" s="3"/>
      <c r="EY1120" s="3"/>
      <c r="EZ1120" s="3"/>
      <c r="FA1120" s="3"/>
      <c r="FB1120" s="3"/>
      <c r="FC1120" s="3"/>
      <c r="FD1120" s="3"/>
      <c r="FE1120" s="3"/>
      <c r="FF1120" s="3"/>
      <c r="FG1120" s="3"/>
      <c r="FH1120" s="3"/>
      <c r="FI1120" s="3"/>
      <c r="FJ1120" s="3"/>
      <c r="FK1120" s="3"/>
      <c r="FL1120" s="3"/>
      <c r="FM1120" s="3"/>
      <c r="FN1120" s="3"/>
      <c r="FO1120" s="3"/>
      <c r="FP1120" s="3"/>
      <c r="FQ1120" s="3"/>
      <c r="FR1120" s="3"/>
      <c r="FS1120" s="3"/>
      <c r="FT1120" s="3"/>
      <c r="FU1120" s="3"/>
      <c r="FV1120" s="3"/>
      <c r="FW1120" s="3"/>
      <c r="FX1120" s="3"/>
      <c r="FY1120" s="3"/>
    </row>
    <row r="1121" spans="7:181" ht="15" x14ac:dyDescent="0.25">
      <c r="G1121" s="2"/>
      <c r="H1121" s="2"/>
      <c r="I1121" s="2"/>
      <c r="J1121" s="2"/>
      <c r="K1121" s="2"/>
      <c r="L1121" s="3"/>
      <c r="M1121" s="3"/>
      <c r="N1121" s="3"/>
      <c r="O1121" s="3"/>
      <c r="P1121" s="3"/>
      <c r="Q1121" s="3"/>
      <c r="R1121" s="3"/>
      <c r="S1121" s="3"/>
      <c r="T1121" s="3"/>
      <c r="U1121" s="4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4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4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4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  <c r="DP1121" s="3"/>
      <c r="DQ1121" s="3"/>
      <c r="DR1121" s="3"/>
      <c r="DS1121" s="3"/>
      <c r="DT1121" s="3"/>
      <c r="DU1121" s="3"/>
      <c r="DV1121" s="3"/>
      <c r="DW1121" s="3"/>
      <c r="DX1121" s="3"/>
      <c r="DY1121" s="3"/>
      <c r="DZ1121" s="3"/>
      <c r="EA1121" s="3"/>
      <c r="EB1121" s="3"/>
      <c r="EC1121" s="3"/>
      <c r="ED1121" s="3"/>
      <c r="EE1121" s="3"/>
      <c r="EF1121" s="3"/>
      <c r="EG1121" s="3"/>
      <c r="EH1121" s="3"/>
      <c r="EI1121" s="3"/>
      <c r="EJ1121" s="3"/>
      <c r="EK1121" s="3"/>
      <c r="EL1121" s="3"/>
      <c r="EM1121" s="3"/>
      <c r="EN1121" s="3"/>
      <c r="EO1121" s="3"/>
      <c r="EP1121" s="3"/>
      <c r="EQ1121" s="3"/>
      <c r="ER1121" s="3"/>
      <c r="ES1121" s="3"/>
      <c r="ET1121" s="3"/>
      <c r="EU1121" s="3"/>
      <c r="EV1121" s="3"/>
      <c r="EW1121" s="3"/>
      <c r="EX1121" s="3"/>
      <c r="EY1121" s="3"/>
      <c r="EZ1121" s="3"/>
      <c r="FA1121" s="3"/>
      <c r="FB1121" s="3"/>
      <c r="FC1121" s="3"/>
      <c r="FD1121" s="3"/>
      <c r="FE1121" s="3"/>
      <c r="FF1121" s="3"/>
      <c r="FG1121" s="3"/>
      <c r="FH1121" s="3"/>
      <c r="FI1121" s="3"/>
      <c r="FJ1121" s="3"/>
      <c r="FK1121" s="3"/>
      <c r="FL1121" s="3"/>
      <c r="FM1121" s="3"/>
      <c r="FN1121" s="3"/>
      <c r="FO1121" s="3"/>
      <c r="FP1121" s="3"/>
      <c r="FQ1121" s="3"/>
      <c r="FR1121" s="3"/>
      <c r="FS1121" s="3"/>
      <c r="FT1121" s="3"/>
      <c r="FU1121" s="3"/>
      <c r="FV1121" s="3"/>
      <c r="FW1121" s="3"/>
      <c r="FX1121" s="3"/>
      <c r="FY1121" s="3"/>
    </row>
    <row r="1122" spans="7:181" ht="15" x14ac:dyDescent="0.25">
      <c r="G1122" s="2"/>
      <c r="H1122" s="2"/>
      <c r="I1122" s="2"/>
      <c r="J1122" s="2"/>
      <c r="K1122" s="2"/>
      <c r="L1122" s="3"/>
      <c r="M1122" s="3"/>
      <c r="N1122" s="3"/>
      <c r="O1122" s="3"/>
      <c r="P1122" s="3"/>
      <c r="Q1122" s="3"/>
      <c r="R1122" s="3"/>
      <c r="S1122" s="3"/>
      <c r="T1122" s="3"/>
      <c r="U1122" s="4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4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4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4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  <c r="DI1122" s="3"/>
      <c r="DJ1122" s="3"/>
      <c r="DK1122" s="3"/>
      <c r="DL1122" s="3"/>
      <c r="DM1122" s="3"/>
      <c r="DN1122" s="3"/>
      <c r="DO1122" s="3"/>
      <c r="DP1122" s="3"/>
      <c r="DQ1122" s="3"/>
      <c r="DR1122" s="3"/>
      <c r="DS1122" s="3"/>
      <c r="DT1122" s="3"/>
      <c r="DU1122" s="3"/>
      <c r="DV1122" s="3"/>
      <c r="DW1122" s="3"/>
      <c r="DX1122" s="3"/>
      <c r="DY1122" s="3"/>
      <c r="DZ1122" s="3"/>
      <c r="EA1122" s="3"/>
      <c r="EB1122" s="3"/>
      <c r="EC1122" s="3"/>
      <c r="ED1122" s="3"/>
      <c r="EE1122" s="3"/>
      <c r="EF1122" s="3"/>
      <c r="EG1122" s="3"/>
      <c r="EH1122" s="3"/>
      <c r="EI1122" s="3"/>
      <c r="EJ1122" s="3"/>
      <c r="EK1122" s="3"/>
      <c r="EL1122" s="3"/>
      <c r="EM1122" s="3"/>
      <c r="EN1122" s="3"/>
      <c r="EO1122" s="3"/>
      <c r="EP1122" s="3"/>
      <c r="EQ1122" s="3"/>
      <c r="ER1122" s="3"/>
      <c r="ES1122" s="3"/>
      <c r="ET1122" s="3"/>
      <c r="EU1122" s="3"/>
      <c r="EV1122" s="3"/>
      <c r="EW1122" s="3"/>
      <c r="EX1122" s="3"/>
      <c r="EY1122" s="3"/>
      <c r="EZ1122" s="3"/>
      <c r="FA1122" s="3"/>
      <c r="FB1122" s="3"/>
      <c r="FC1122" s="3"/>
      <c r="FD1122" s="3"/>
      <c r="FE1122" s="3"/>
      <c r="FF1122" s="3"/>
      <c r="FG1122" s="3"/>
      <c r="FH1122" s="3"/>
      <c r="FI1122" s="3"/>
      <c r="FJ1122" s="3"/>
      <c r="FK1122" s="3"/>
      <c r="FL1122" s="3"/>
      <c r="FM1122" s="3"/>
      <c r="FN1122" s="3"/>
      <c r="FO1122" s="3"/>
      <c r="FP1122" s="3"/>
      <c r="FQ1122" s="3"/>
      <c r="FR1122" s="3"/>
      <c r="FS1122" s="3"/>
      <c r="FT1122" s="3"/>
      <c r="FU1122" s="3"/>
      <c r="FV1122" s="3"/>
      <c r="FW1122" s="3"/>
      <c r="FX1122" s="3"/>
      <c r="FY1122" s="3"/>
    </row>
    <row r="1123" spans="7:181" ht="15" x14ac:dyDescent="0.25">
      <c r="G1123" s="2"/>
      <c r="H1123" s="2"/>
      <c r="I1123" s="2"/>
      <c r="J1123" s="2"/>
      <c r="K1123" s="2"/>
      <c r="L1123" s="3"/>
      <c r="M1123" s="3"/>
      <c r="N1123" s="3"/>
      <c r="O1123" s="3"/>
      <c r="P1123" s="3"/>
      <c r="Q1123" s="3"/>
      <c r="R1123" s="3"/>
      <c r="S1123" s="3"/>
      <c r="T1123" s="3"/>
      <c r="U1123" s="4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4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4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4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  <c r="DI1123" s="3"/>
      <c r="DJ1123" s="3"/>
      <c r="DK1123" s="3"/>
      <c r="DL1123" s="3"/>
      <c r="DM1123" s="3"/>
      <c r="DN1123" s="3"/>
      <c r="DO1123" s="3"/>
      <c r="DP1123" s="3"/>
      <c r="DQ1123" s="3"/>
      <c r="DR1123" s="3"/>
      <c r="DS1123" s="3"/>
      <c r="DT1123" s="3"/>
      <c r="DU1123" s="3"/>
      <c r="DV1123" s="3"/>
      <c r="DW1123" s="3"/>
      <c r="DX1123" s="3"/>
      <c r="DY1123" s="3"/>
      <c r="DZ1123" s="3"/>
      <c r="EA1123" s="3"/>
      <c r="EB1123" s="3"/>
      <c r="EC1123" s="3"/>
      <c r="ED1123" s="3"/>
      <c r="EE1123" s="3"/>
      <c r="EF1123" s="3"/>
      <c r="EG1123" s="3"/>
      <c r="EH1123" s="3"/>
      <c r="EI1123" s="3"/>
      <c r="EJ1123" s="3"/>
      <c r="EK1123" s="3"/>
      <c r="EL1123" s="3"/>
      <c r="EM1123" s="3"/>
      <c r="EN1123" s="3"/>
      <c r="EO1123" s="3"/>
      <c r="EP1123" s="3"/>
      <c r="EQ1123" s="3"/>
      <c r="ER1123" s="3"/>
      <c r="ES1123" s="3"/>
      <c r="ET1123" s="3"/>
      <c r="EU1123" s="3"/>
      <c r="EV1123" s="3"/>
      <c r="EW1123" s="3"/>
      <c r="EX1123" s="3"/>
      <c r="EY1123" s="3"/>
      <c r="EZ1123" s="3"/>
      <c r="FA1123" s="3"/>
      <c r="FB1123" s="3"/>
      <c r="FC1123" s="3"/>
      <c r="FD1123" s="3"/>
      <c r="FE1123" s="3"/>
      <c r="FF1123" s="3"/>
      <c r="FG1123" s="3"/>
      <c r="FH1123" s="3"/>
      <c r="FI1123" s="3"/>
      <c r="FJ1123" s="3"/>
      <c r="FK1123" s="3"/>
      <c r="FL1123" s="3"/>
      <c r="FM1123" s="3"/>
      <c r="FN1123" s="3"/>
      <c r="FO1123" s="3"/>
      <c r="FP1123" s="3"/>
      <c r="FQ1123" s="3"/>
      <c r="FR1123" s="3"/>
      <c r="FS1123" s="3"/>
      <c r="FT1123" s="3"/>
      <c r="FU1123" s="3"/>
      <c r="FV1123" s="3"/>
      <c r="FW1123" s="3"/>
      <c r="FX1123" s="3"/>
      <c r="FY1123" s="3"/>
    </row>
    <row r="1124" spans="7:181" ht="15" x14ac:dyDescent="0.25">
      <c r="G1124" s="2"/>
      <c r="H1124" s="2"/>
      <c r="I1124" s="2"/>
      <c r="J1124" s="2"/>
      <c r="K1124" s="2"/>
      <c r="L1124" s="3"/>
      <c r="M1124" s="3"/>
      <c r="N1124" s="3"/>
      <c r="O1124" s="3"/>
      <c r="P1124" s="3"/>
      <c r="Q1124" s="3"/>
      <c r="R1124" s="3"/>
      <c r="S1124" s="3"/>
      <c r="T1124" s="3"/>
      <c r="U1124" s="4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4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4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4"/>
      <c r="BI1124" s="3"/>
      <c r="BJ1124" s="3"/>
      <c r="BK1124" s="3"/>
      <c r="BL1124" s="3"/>
      <c r="BM1124" s="3"/>
      <c r="BN1124" s="3"/>
      <c r="BO1124" s="3"/>
      <c r="BP1124" s="3"/>
      <c r="BQ1124" s="3"/>
      <c r="BR1124" s="3"/>
      <c r="BS1124" s="3"/>
      <c r="BT1124" s="3"/>
      <c r="BU1124" s="3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  <c r="DI1124" s="3"/>
      <c r="DJ1124" s="3"/>
      <c r="DK1124" s="3"/>
      <c r="DL1124" s="3"/>
      <c r="DM1124" s="3"/>
      <c r="DN1124" s="3"/>
      <c r="DO1124" s="3"/>
      <c r="DP1124" s="3"/>
      <c r="DQ1124" s="3"/>
      <c r="DR1124" s="3"/>
      <c r="DS1124" s="3"/>
      <c r="DT1124" s="3"/>
      <c r="DU1124" s="3"/>
      <c r="DV1124" s="3"/>
      <c r="DW1124" s="3"/>
      <c r="DX1124" s="3"/>
      <c r="DY1124" s="3"/>
      <c r="DZ1124" s="3"/>
      <c r="EA1124" s="3"/>
      <c r="EB1124" s="3"/>
      <c r="EC1124" s="3"/>
      <c r="ED1124" s="3"/>
      <c r="EE1124" s="3"/>
      <c r="EF1124" s="3"/>
      <c r="EG1124" s="3"/>
      <c r="EH1124" s="3"/>
      <c r="EI1124" s="3"/>
      <c r="EJ1124" s="3"/>
      <c r="EK1124" s="3"/>
      <c r="EL1124" s="3"/>
      <c r="EM1124" s="3"/>
      <c r="EN1124" s="3"/>
      <c r="EO1124" s="3"/>
      <c r="EP1124" s="3"/>
      <c r="EQ1124" s="3"/>
      <c r="ER1124" s="3"/>
      <c r="ES1124" s="3"/>
      <c r="ET1124" s="3"/>
      <c r="EU1124" s="3"/>
      <c r="EV1124" s="3"/>
      <c r="EW1124" s="3"/>
      <c r="EX1124" s="3"/>
      <c r="EY1124" s="3"/>
      <c r="EZ1124" s="3"/>
      <c r="FA1124" s="3"/>
      <c r="FB1124" s="3"/>
      <c r="FC1124" s="3"/>
      <c r="FD1124" s="3"/>
      <c r="FE1124" s="3"/>
      <c r="FF1124" s="3"/>
      <c r="FG1124" s="3"/>
      <c r="FH1124" s="3"/>
      <c r="FI1124" s="3"/>
      <c r="FJ1124" s="3"/>
      <c r="FK1124" s="3"/>
      <c r="FL1124" s="3"/>
      <c r="FM1124" s="3"/>
      <c r="FN1124" s="3"/>
      <c r="FO1124" s="3"/>
      <c r="FP1124" s="3"/>
      <c r="FQ1124" s="3"/>
      <c r="FR1124" s="3"/>
      <c r="FS1124" s="3"/>
      <c r="FT1124" s="3"/>
      <c r="FU1124" s="3"/>
      <c r="FV1124" s="3"/>
      <c r="FW1124" s="3"/>
      <c r="FX1124" s="3"/>
      <c r="FY1124" s="3"/>
    </row>
    <row r="1125" spans="7:181" ht="15" x14ac:dyDescent="0.25">
      <c r="G1125" s="2"/>
      <c r="H1125" s="2"/>
      <c r="I1125" s="2"/>
      <c r="J1125" s="2"/>
      <c r="K1125" s="2"/>
      <c r="L1125" s="3"/>
      <c r="M1125" s="3"/>
      <c r="N1125" s="3"/>
      <c r="O1125" s="3"/>
      <c r="P1125" s="3"/>
      <c r="Q1125" s="3"/>
      <c r="R1125" s="3"/>
      <c r="S1125" s="3"/>
      <c r="T1125" s="3"/>
      <c r="U1125" s="4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4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4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4"/>
      <c r="BI1125" s="3"/>
      <c r="BJ1125" s="3"/>
      <c r="BK1125" s="3"/>
      <c r="BL1125" s="3"/>
      <c r="BM1125" s="3"/>
      <c r="BN1125" s="3"/>
      <c r="BO1125" s="3"/>
      <c r="BP1125" s="3"/>
      <c r="BQ1125" s="3"/>
      <c r="BR1125" s="3"/>
      <c r="BS1125" s="3"/>
      <c r="BT1125" s="3"/>
      <c r="BU1125" s="3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  <c r="DI1125" s="3"/>
      <c r="DJ1125" s="3"/>
      <c r="DK1125" s="3"/>
      <c r="DL1125" s="3"/>
      <c r="DM1125" s="3"/>
      <c r="DN1125" s="3"/>
      <c r="DO1125" s="3"/>
      <c r="DP1125" s="3"/>
      <c r="DQ1125" s="3"/>
      <c r="DR1125" s="3"/>
      <c r="DS1125" s="3"/>
      <c r="DT1125" s="3"/>
      <c r="DU1125" s="3"/>
      <c r="DV1125" s="3"/>
      <c r="DW1125" s="3"/>
      <c r="DX1125" s="3"/>
      <c r="DY1125" s="3"/>
      <c r="DZ1125" s="3"/>
      <c r="EA1125" s="3"/>
      <c r="EB1125" s="3"/>
      <c r="EC1125" s="3"/>
      <c r="ED1125" s="3"/>
      <c r="EE1125" s="3"/>
      <c r="EF1125" s="3"/>
      <c r="EG1125" s="3"/>
      <c r="EH1125" s="3"/>
      <c r="EI1125" s="3"/>
      <c r="EJ1125" s="3"/>
      <c r="EK1125" s="3"/>
      <c r="EL1125" s="3"/>
      <c r="EM1125" s="3"/>
      <c r="EN1125" s="3"/>
      <c r="EO1125" s="3"/>
      <c r="EP1125" s="3"/>
      <c r="EQ1125" s="3"/>
      <c r="ER1125" s="3"/>
      <c r="ES1125" s="3"/>
      <c r="ET1125" s="3"/>
      <c r="EU1125" s="3"/>
      <c r="EV1125" s="3"/>
      <c r="EW1125" s="3"/>
      <c r="EX1125" s="3"/>
      <c r="EY1125" s="3"/>
      <c r="EZ1125" s="3"/>
      <c r="FA1125" s="3"/>
      <c r="FB1125" s="3"/>
      <c r="FC1125" s="3"/>
      <c r="FD1125" s="3"/>
      <c r="FE1125" s="3"/>
      <c r="FF1125" s="3"/>
      <c r="FG1125" s="3"/>
      <c r="FH1125" s="3"/>
      <c r="FI1125" s="3"/>
      <c r="FJ1125" s="3"/>
      <c r="FK1125" s="3"/>
      <c r="FL1125" s="3"/>
      <c r="FM1125" s="3"/>
      <c r="FN1125" s="3"/>
      <c r="FO1125" s="3"/>
      <c r="FP1125" s="3"/>
      <c r="FQ1125" s="3"/>
      <c r="FR1125" s="3"/>
      <c r="FS1125" s="3"/>
      <c r="FT1125" s="3"/>
      <c r="FU1125" s="3"/>
      <c r="FV1125" s="3"/>
      <c r="FW1125" s="3"/>
      <c r="FX1125" s="3"/>
      <c r="FY1125" s="3"/>
    </row>
    <row r="1126" spans="7:181" ht="15" x14ac:dyDescent="0.25">
      <c r="G1126" s="2"/>
      <c r="H1126" s="2"/>
      <c r="I1126" s="2"/>
      <c r="J1126" s="2"/>
      <c r="K1126" s="2"/>
      <c r="L1126" s="3"/>
      <c r="M1126" s="3"/>
      <c r="N1126" s="3"/>
      <c r="O1126" s="3"/>
      <c r="P1126" s="3"/>
      <c r="Q1126" s="3"/>
      <c r="R1126" s="3"/>
      <c r="S1126" s="3"/>
      <c r="T1126" s="3"/>
      <c r="U1126" s="4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4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4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4"/>
      <c r="BI1126" s="3"/>
      <c r="BJ1126" s="3"/>
      <c r="BK1126" s="3"/>
      <c r="BL1126" s="3"/>
      <c r="BM1126" s="3"/>
      <c r="BN1126" s="3"/>
      <c r="BO1126" s="3"/>
      <c r="BP1126" s="3"/>
      <c r="BQ1126" s="3"/>
      <c r="BR1126" s="3"/>
      <c r="BS1126" s="3"/>
      <c r="BT1126" s="3"/>
      <c r="BU1126" s="3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  <c r="DI1126" s="3"/>
      <c r="DJ1126" s="3"/>
      <c r="DK1126" s="3"/>
      <c r="DL1126" s="3"/>
      <c r="DM1126" s="3"/>
      <c r="DN1126" s="3"/>
      <c r="DO1126" s="3"/>
      <c r="DP1126" s="3"/>
      <c r="DQ1126" s="3"/>
      <c r="DR1126" s="3"/>
      <c r="DS1126" s="3"/>
      <c r="DT1126" s="3"/>
      <c r="DU1126" s="3"/>
      <c r="DV1126" s="3"/>
      <c r="DW1126" s="3"/>
      <c r="DX1126" s="3"/>
      <c r="DY1126" s="3"/>
      <c r="DZ1126" s="3"/>
      <c r="EA1126" s="3"/>
      <c r="EB1126" s="3"/>
      <c r="EC1126" s="3"/>
      <c r="ED1126" s="3"/>
      <c r="EE1126" s="3"/>
      <c r="EF1126" s="3"/>
      <c r="EG1126" s="3"/>
      <c r="EH1126" s="3"/>
      <c r="EI1126" s="3"/>
      <c r="EJ1126" s="3"/>
      <c r="EK1126" s="3"/>
      <c r="EL1126" s="3"/>
      <c r="EM1126" s="3"/>
      <c r="EN1126" s="3"/>
      <c r="EO1126" s="3"/>
      <c r="EP1126" s="3"/>
      <c r="EQ1126" s="3"/>
      <c r="ER1126" s="3"/>
      <c r="ES1126" s="3"/>
      <c r="ET1126" s="3"/>
      <c r="EU1126" s="3"/>
      <c r="EV1126" s="3"/>
      <c r="EW1126" s="3"/>
      <c r="EX1126" s="3"/>
      <c r="EY1126" s="3"/>
      <c r="EZ1126" s="3"/>
      <c r="FA1126" s="3"/>
      <c r="FB1126" s="3"/>
      <c r="FC1126" s="3"/>
      <c r="FD1126" s="3"/>
      <c r="FE1126" s="3"/>
      <c r="FF1126" s="3"/>
      <c r="FG1126" s="3"/>
      <c r="FH1126" s="3"/>
      <c r="FI1126" s="3"/>
      <c r="FJ1126" s="3"/>
      <c r="FK1126" s="3"/>
      <c r="FL1126" s="3"/>
      <c r="FM1126" s="3"/>
      <c r="FN1126" s="3"/>
      <c r="FO1126" s="3"/>
      <c r="FP1126" s="3"/>
      <c r="FQ1126" s="3"/>
      <c r="FR1126" s="3"/>
      <c r="FS1126" s="3"/>
      <c r="FT1126" s="3"/>
      <c r="FU1126" s="3"/>
      <c r="FV1126" s="3"/>
      <c r="FW1126" s="3"/>
      <c r="FX1126" s="3"/>
      <c r="FY1126" s="3"/>
    </row>
    <row r="1127" spans="7:181" ht="15" x14ac:dyDescent="0.25">
      <c r="G1127" s="2"/>
      <c r="H1127" s="2"/>
      <c r="I1127" s="2"/>
      <c r="J1127" s="2"/>
      <c r="K1127" s="2"/>
      <c r="L1127" s="3"/>
      <c r="M1127" s="3"/>
      <c r="N1127" s="3"/>
      <c r="O1127" s="3"/>
      <c r="P1127" s="3"/>
      <c r="Q1127" s="3"/>
      <c r="R1127" s="3"/>
      <c r="S1127" s="3"/>
      <c r="T1127" s="3"/>
      <c r="U1127" s="4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4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4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4"/>
      <c r="BI1127" s="3"/>
      <c r="BJ1127" s="3"/>
      <c r="BK1127" s="3"/>
      <c r="BL1127" s="3"/>
      <c r="BM1127" s="3"/>
      <c r="BN1127" s="3"/>
      <c r="BO1127" s="3"/>
      <c r="BP1127" s="3"/>
      <c r="BQ1127" s="3"/>
      <c r="BR1127" s="3"/>
      <c r="BS1127" s="3"/>
      <c r="BT1127" s="3"/>
      <c r="BU1127" s="3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  <c r="DI1127" s="3"/>
      <c r="DJ1127" s="3"/>
      <c r="DK1127" s="3"/>
      <c r="DL1127" s="3"/>
      <c r="DM1127" s="3"/>
      <c r="DN1127" s="3"/>
      <c r="DO1127" s="3"/>
      <c r="DP1127" s="3"/>
      <c r="DQ1127" s="3"/>
      <c r="DR1127" s="3"/>
      <c r="DS1127" s="3"/>
      <c r="DT1127" s="3"/>
      <c r="DU1127" s="3"/>
      <c r="DV1127" s="3"/>
      <c r="DW1127" s="3"/>
      <c r="DX1127" s="3"/>
      <c r="DY1127" s="3"/>
      <c r="DZ1127" s="3"/>
      <c r="EA1127" s="3"/>
      <c r="EB1127" s="3"/>
      <c r="EC1127" s="3"/>
      <c r="ED1127" s="3"/>
      <c r="EE1127" s="3"/>
      <c r="EF1127" s="3"/>
      <c r="EG1127" s="3"/>
      <c r="EH1127" s="3"/>
      <c r="EI1127" s="3"/>
      <c r="EJ1127" s="3"/>
      <c r="EK1127" s="3"/>
      <c r="EL1127" s="3"/>
      <c r="EM1127" s="3"/>
      <c r="EN1127" s="3"/>
      <c r="EO1127" s="3"/>
      <c r="EP1127" s="3"/>
      <c r="EQ1127" s="3"/>
      <c r="ER1127" s="3"/>
      <c r="ES1127" s="3"/>
      <c r="ET1127" s="3"/>
      <c r="EU1127" s="3"/>
      <c r="EV1127" s="3"/>
      <c r="EW1127" s="3"/>
      <c r="EX1127" s="3"/>
      <c r="EY1127" s="3"/>
      <c r="EZ1127" s="3"/>
      <c r="FA1127" s="3"/>
      <c r="FB1127" s="3"/>
      <c r="FC1127" s="3"/>
      <c r="FD1127" s="3"/>
      <c r="FE1127" s="3"/>
      <c r="FF1127" s="3"/>
      <c r="FG1127" s="3"/>
      <c r="FH1127" s="3"/>
      <c r="FI1127" s="3"/>
      <c r="FJ1127" s="3"/>
      <c r="FK1127" s="3"/>
      <c r="FL1127" s="3"/>
      <c r="FM1127" s="3"/>
      <c r="FN1127" s="3"/>
      <c r="FO1127" s="3"/>
      <c r="FP1127" s="3"/>
      <c r="FQ1127" s="3"/>
      <c r="FR1127" s="3"/>
      <c r="FS1127" s="3"/>
      <c r="FT1127" s="3"/>
      <c r="FU1127" s="3"/>
      <c r="FV1127" s="3"/>
      <c r="FW1127" s="3"/>
      <c r="FX1127" s="3"/>
      <c r="FY1127" s="3"/>
    </row>
    <row r="1128" spans="7:181" ht="15" x14ac:dyDescent="0.25">
      <c r="G1128" s="2"/>
      <c r="H1128" s="2"/>
      <c r="I1128" s="2"/>
      <c r="J1128" s="2"/>
      <c r="K1128" s="2"/>
      <c r="L1128" s="3"/>
      <c r="M1128" s="3"/>
      <c r="N1128" s="3"/>
      <c r="O1128" s="3"/>
      <c r="P1128" s="3"/>
      <c r="Q1128" s="3"/>
      <c r="R1128" s="3"/>
      <c r="S1128" s="3"/>
      <c r="T1128" s="3"/>
      <c r="U1128" s="4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4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4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4"/>
      <c r="BI1128" s="3"/>
      <c r="BJ1128" s="3"/>
      <c r="BK1128" s="3"/>
      <c r="BL1128" s="3"/>
      <c r="BM1128" s="3"/>
      <c r="BN1128" s="3"/>
      <c r="BO1128" s="3"/>
      <c r="BP1128" s="3"/>
      <c r="BQ1128" s="3"/>
      <c r="BR1128" s="3"/>
      <c r="BS1128" s="3"/>
      <c r="BT1128" s="3"/>
      <c r="BU1128" s="3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  <c r="DI1128" s="3"/>
      <c r="DJ1128" s="3"/>
      <c r="DK1128" s="3"/>
      <c r="DL1128" s="3"/>
      <c r="DM1128" s="3"/>
      <c r="DN1128" s="3"/>
      <c r="DO1128" s="3"/>
      <c r="DP1128" s="3"/>
      <c r="DQ1128" s="3"/>
      <c r="DR1128" s="3"/>
      <c r="DS1128" s="3"/>
      <c r="DT1128" s="3"/>
      <c r="DU1128" s="3"/>
      <c r="DV1128" s="3"/>
      <c r="DW1128" s="3"/>
      <c r="DX1128" s="3"/>
      <c r="DY1128" s="3"/>
      <c r="DZ1128" s="3"/>
      <c r="EA1128" s="3"/>
      <c r="EB1128" s="3"/>
      <c r="EC1128" s="3"/>
      <c r="ED1128" s="3"/>
      <c r="EE1128" s="3"/>
      <c r="EF1128" s="3"/>
      <c r="EG1128" s="3"/>
      <c r="EH1128" s="3"/>
      <c r="EI1128" s="3"/>
      <c r="EJ1128" s="3"/>
      <c r="EK1128" s="3"/>
      <c r="EL1128" s="3"/>
      <c r="EM1128" s="3"/>
      <c r="EN1128" s="3"/>
      <c r="EO1128" s="3"/>
      <c r="EP1128" s="3"/>
      <c r="EQ1128" s="3"/>
      <c r="ER1128" s="3"/>
      <c r="ES1128" s="3"/>
      <c r="ET1128" s="3"/>
      <c r="EU1128" s="3"/>
      <c r="EV1128" s="3"/>
      <c r="EW1128" s="3"/>
      <c r="EX1128" s="3"/>
      <c r="EY1128" s="3"/>
      <c r="EZ1128" s="3"/>
      <c r="FA1128" s="3"/>
      <c r="FB1128" s="3"/>
      <c r="FC1128" s="3"/>
      <c r="FD1128" s="3"/>
      <c r="FE1128" s="3"/>
      <c r="FF1128" s="3"/>
      <c r="FG1128" s="3"/>
      <c r="FH1128" s="3"/>
      <c r="FI1128" s="3"/>
      <c r="FJ1128" s="3"/>
      <c r="FK1128" s="3"/>
      <c r="FL1128" s="3"/>
      <c r="FM1128" s="3"/>
      <c r="FN1128" s="3"/>
      <c r="FO1128" s="3"/>
      <c r="FP1128" s="3"/>
      <c r="FQ1128" s="3"/>
      <c r="FR1128" s="3"/>
      <c r="FS1128" s="3"/>
      <c r="FT1128" s="3"/>
      <c r="FU1128" s="3"/>
      <c r="FV1128" s="3"/>
      <c r="FW1128" s="3"/>
      <c r="FX1128" s="3"/>
      <c r="FY1128" s="3"/>
    </row>
    <row r="1129" spans="7:181" ht="15" x14ac:dyDescent="0.25">
      <c r="G1129" s="2"/>
      <c r="H1129" s="2"/>
      <c r="I1129" s="2"/>
      <c r="J1129" s="2"/>
      <c r="K1129" s="2"/>
      <c r="L1129" s="3"/>
      <c r="M1129" s="3"/>
      <c r="N1129" s="3"/>
      <c r="O1129" s="3"/>
      <c r="P1129" s="3"/>
      <c r="Q1129" s="3"/>
      <c r="R1129" s="3"/>
      <c r="S1129" s="3"/>
      <c r="T1129" s="3"/>
      <c r="U1129" s="4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4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4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4"/>
      <c r="BI1129" s="3"/>
      <c r="BJ1129" s="3"/>
      <c r="BK1129" s="3"/>
      <c r="BL1129" s="3"/>
      <c r="BM1129" s="3"/>
      <c r="BN1129" s="3"/>
      <c r="BO1129" s="3"/>
      <c r="BP1129" s="3"/>
      <c r="BQ1129" s="3"/>
      <c r="BR1129" s="3"/>
      <c r="BS1129" s="3"/>
      <c r="BT1129" s="3"/>
      <c r="BU1129" s="3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  <c r="DI1129" s="3"/>
      <c r="DJ1129" s="3"/>
      <c r="DK1129" s="3"/>
      <c r="DL1129" s="3"/>
      <c r="DM1129" s="3"/>
      <c r="DN1129" s="3"/>
      <c r="DO1129" s="3"/>
      <c r="DP1129" s="3"/>
      <c r="DQ1129" s="3"/>
      <c r="DR1129" s="3"/>
      <c r="DS1129" s="3"/>
      <c r="DT1129" s="3"/>
      <c r="DU1129" s="3"/>
      <c r="DV1129" s="3"/>
      <c r="DW1129" s="3"/>
      <c r="DX1129" s="3"/>
      <c r="DY1129" s="3"/>
      <c r="DZ1129" s="3"/>
      <c r="EA1129" s="3"/>
      <c r="EB1129" s="3"/>
      <c r="EC1129" s="3"/>
      <c r="ED1129" s="3"/>
      <c r="EE1129" s="3"/>
      <c r="EF1129" s="3"/>
      <c r="EG1129" s="3"/>
      <c r="EH1129" s="3"/>
      <c r="EI1129" s="3"/>
      <c r="EJ1129" s="3"/>
      <c r="EK1129" s="3"/>
      <c r="EL1129" s="3"/>
      <c r="EM1129" s="3"/>
      <c r="EN1129" s="3"/>
      <c r="EO1129" s="3"/>
      <c r="EP1129" s="3"/>
      <c r="EQ1129" s="3"/>
      <c r="ER1129" s="3"/>
      <c r="ES1129" s="3"/>
      <c r="ET1129" s="3"/>
      <c r="EU1129" s="3"/>
      <c r="EV1129" s="3"/>
      <c r="EW1129" s="3"/>
      <c r="EX1129" s="3"/>
      <c r="EY1129" s="3"/>
      <c r="EZ1129" s="3"/>
      <c r="FA1129" s="3"/>
      <c r="FB1129" s="3"/>
      <c r="FC1129" s="3"/>
      <c r="FD1129" s="3"/>
      <c r="FE1129" s="3"/>
      <c r="FF1129" s="3"/>
      <c r="FG1129" s="3"/>
      <c r="FH1129" s="3"/>
      <c r="FI1129" s="3"/>
      <c r="FJ1129" s="3"/>
      <c r="FK1129" s="3"/>
      <c r="FL1129" s="3"/>
      <c r="FM1129" s="3"/>
      <c r="FN1129" s="3"/>
      <c r="FO1129" s="3"/>
      <c r="FP1129" s="3"/>
      <c r="FQ1129" s="3"/>
      <c r="FR1129" s="3"/>
      <c r="FS1129" s="3"/>
      <c r="FT1129" s="3"/>
      <c r="FU1129" s="3"/>
      <c r="FV1129" s="3"/>
      <c r="FW1129" s="3"/>
      <c r="FX1129" s="3"/>
      <c r="FY1129" s="3"/>
    </row>
    <row r="1130" spans="7:181" ht="15" x14ac:dyDescent="0.25">
      <c r="G1130" s="2"/>
      <c r="H1130" s="2"/>
      <c r="I1130" s="2"/>
      <c r="J1130" s="2"/>
      <c r="K1130" s="2"/>
      <c r="L1130" s="3"/>
      <c r="M1130" s="3"/>
      <c r="N1130" s="3"/>
      <c r="O1130" s="3"/>
      <c r="P1130" s="3"/>
      <c r="Q1130" s="3"/>
      <c r="R1130" s="3"/>
      <c r="S1130" s="3"/>
      <c r="T1130" s="3"/>
      <c r="U1130" s="4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4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4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4"/>
      <c r="BI1130" s="3"/>
      <c r="BJ1130" s="3"/>
      <c r="BK1130" s="3"/>
      <c r="BL1130" s="3"/>
      <c r="BM1130" s="3"/>
      <c r="BN1130" s="3"/>
      <c r="BO1130" s="3"/>
      <c r="BP1130" s="3"/>
      <c r="BQ1130" s="3"/>
      <c r="BR1130" s="3"/>
      <c r="BS1130" s="3"/>
      <c r="BT1130" s="3"/>
      <c r="BU1130" s="3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  <c r="DI1130" s="3"/>
      <c r="DJ1130" s="3"/>
      <c r="DK1130" s="3"/>
      <c r="DL1130" s="3"/>
      <c r="DM1130" s="3"/>
      <c r="DN1130" s="3"/>
      <c r="DO1130" s="3"/>
      <c r="DP1130" s="3"/>
      <c r="DQ1130" s="3"/>
      <c r="DR1130" s="3"/>
      <c r="DS1130" s="3"/>
      <c r="DT1130" s="3"/>
      <c r="DU1130" s="3"/>
      <c r="DV1130" s="3"/>
      <c r="DW1130" s="3"/>
      <c r="DX1130" s="3"/>
      <c r="DY1130" s="3"/>
      <c r="DZ1130" s="3"/>
      <c r="EA1130" s="3"/>
      <c r="EB1130" s="3"/>
      <c r="EC1130" s="3"/>
      <c r="ED1130" s="3"/>
      <c r="EE1130" s="3"/>
      <c r="EF1130" s="3"/>
      <c r="EG1130" s="3"/>
      <c r="EH1130" s="3"/>
      <c r="EI1130" s="3"/>
      <c r="EJ1130" s="3"/>
      <c r="EK1130" s="3"/>
      <c r="EL1130" s="3"/>
      <c r="EM1130" s="3"/>
      <c r="EN1130" s="3"/>
      <c r="EO1130" s="3"/>
      <c r="EP1130" s="3"/>
      <c r="EQ1130" s="3"/>
      <c r="ER1130" s="3"/>
      <c r="ES1130" s="3"/>
      <c r="ET1130" s="3"/>
      <c r="EU1130" s="3"/>
      <c r="EV1130" s="3"/>
      <c r="EW1130" s="3"/>
      <c r="EX1130" s="3"/>
      <c r="EY1130" s="3"/>
      <c r="EZ1130" s="3"/>
      <c r="FA1130" s="3"/>
      <c r="FB1130" s="3"/>
      <c r="FC1130" s="3"/>
      <c r="FD1130" s="3"/>
      <c r="FE1130" s="3"/>
      <c r="FF1130" s="3"/>
      <c r="FG1130" s="3"/>
      <c r="FH1130" s="3"/>
      <c r="FI1130" s="3"/>
      <c r="FJ1130" s="3"/>
      <c r="FK1130" s="3"/>
      <c r="FL1130" s="3"/>
      <c r="FM1130" s="3"/>
      <c r="FN1130" s="3"/>
      <c r="FO1130" s="3"/>
      <c r="FP1130" s="3"/>
      <c r="FQ1130" s="3"/>
      <c r="FR1130" s="3"/>
      <c r="FS1130" s="3"/>
      <c r="FT1130" s="3"/>
      <c r="FU1130" s="3"/>
      <c r="FV1130" s="3"/>
      <c r="FW1130" s="3"/>
      <c r="FX1130" s="3"/>
      <c r="FY1130" s="3"/>
    </row>
    <row r="1131" spans="7:181" ht="15" x14ac:dyDescent="0.25">
      <c r="G1131" s="2"/>
      <c r="H1131" s="2"/>
      <c r="I1131" s="2"/>
      <c r="J1131" s="2"/>
      <c r="K1131" s="2"/>
      <c r="L1131" s="3"/>
      <c r="M1131" s="3"/>
      <c r="N1131" s="3"/>
      <c r="O1131" s="3"/>
      <c r="P1131" s="3"/>
      <c r="Q1131" s="3"/>
      <c r="R1131" s="3"/>
      <c r="S1131" s="3"/>
      <c r="T1131" s="3"/>
      <c r="U1131" s="4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4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4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4"/>
      <c r="BI1131" s="3"/>
      <c r="BJ1131" s="3"/>
      <c r="BK1131" s="3"/>
      <c r="BL1131" s="3"/>
      <c r="BM1131" s="3"/>
      <c r="BN1131" s="3"/>
      <c r="BO1131" s="3"/>
      <c r="BP1131" s="3"/>
      <c r="BQ1131" s="3"/>
      <c r="BR1131" s="3"/>
      <c r="BS1131" s="3"/>
      <c r="BT1131" s="3"/>
      <c r="BU1131" s="3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  <c r="DI1131" s="3"/>
      <c r="DJ1131" s="3"/>
      <c r="DK1131" s="3"/>
      <c r="DL1131" s="3"/>
      <c r="DM1131" s="3"/>
      <c r="DN1131" s="3"/>
      <c r="DO1131" s="3"/>
      <c r="DP1131" s="3"/>
      <c r="DQ1131" s="3"/>
      <c r="DR1131" s="3"/>
      <c r="DS1131" s="3"/>
      <c r="DT1131" s="3"/>
      <c r="DU1131" s="3"/>
      <c r="DV1131" s="3"/>
      <c r="DW1131" s="3"/>
      <c r="DX1131" s="3"/>
      <c r="DY1131" s="3"/>
      <c r="DZ1131" s="3"/>
      <c r="EA1131" s="3"/>
      <c r="EB1131" s="3"/>
      <c r="EC1131" s="3"/>
      <c r="ED1131" s="3"/>
      <c r="EE1131" s="3"/>
      <c r="EF1131" s="3"/>
      <c r="EG1131" s="3"/>
      <c r="EH1131" s="3"/>
      <c r="EI1131" s="3"/>
      <c r="EJ1131" s="3"/>
      <c r="EK1131" s="3"/>
      <c r="EL1131" s="3"/>
      <c r="EM1131" s="3"/>
      <c r="EN1131" s="3"/>
      <c r="EO1131" s="3"/>
      <c r="EP1131" s="3"/>
      <c r="EQ1131" s="3"/>
      <c r="ER1131" s="3"/>
      <c r="ES1131" s="3"/>
      <c r="ET1131" s="3"/>
      <c r="EU1131" s="3"/>
      <c r="EV1131" s="3"/>
      <c r="EW1131" s="3"/>
      <c r="EX1131" s="3"/>
      <c r="EY1131" s="3"/>
      <c r="EZ1131" s="3"/>
      <c r="FA1131" s="3"/>
      <c r="FB1131" s="3"/>
      <c r="FC1131" s="3"/>
      <c r="FD1131" s="3"/>
      <c r="FE1131" s="3"/>
      <c r="FF1131" s="3"/>
      <c r="FG1131" s="3"/>
      <c r="FH1131" s="3"/>
      <c r="FI1131" s="3"/>
      <c r="FJ1131" s="3"/>
      <c r="FK1131" s="3"/>
      <c r="FL1131" s="3"/>
      <c r="FM1131" s="3"/>
      <c r="FN1131" s="3"/>
      <c r="FO1131" s="3"/>
      <c r="FP1131" s="3"/>
      <c r="FQ1131" s="3"/>
      <c r="FR1131" s="3"/>
      <c r="FS1131" s="3"/>
      <c r="FT1131" s="3"/>
      <c r="FU1131" s="3"/>
      <c r="FV1131" s="3"/>
      <c r="FW1131" s="3"/>
      <c r="FX1131" s="3"/>
      <c r="FY1131" s="3"/>
    </row>
    <row r="1132" spans="7:181" ht="15" x14ac:dyDescent="0.25">
      <c r="G1132" s="2"/>
      <c r="H1132" s="2"/>
      <c r="I1132" s="2"/>
      <c r="J1132" s="2"/>
      <c r="K1132" s="2"/>
      <c r="L1132" s="3"/>
      <c r="M1132" s="3"/>
      <c r="N1132" s="3"/>
      <c r="O1132" s="3"/>
      <c r="P1132" s="3"/>
      <c r="Q1132" s="3"/>
      <c r="R1132" s="3"/>
      <c r="S1132" s="3"/>
      <c r="T1132" s="3"/>
      <c r="U1132" s="4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4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4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4"/>
      <c r="BI1132" s="3"/>
      <c r="BJ1132" s="3"/>
      <c r="BK1132" s="3"/>
      <c r="BL1132" s="3"/>
      <c r="BM1132" s="3"/>
      <c r="BN1132" s="3"/>
      <c r="BO1132" s="3"/>
      <c r="BP1132" s="3"/>
      <c r="BQ1132" s="3"/>
      <c r="BR1132" s="3"/>
      <c r="BS1132" s="3"/>
      <c r="BT1132" s="3"/>
      <c r="BU1132" s="3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  <c r="DI1132" s="3"/>
      <c r="DJ1132" s="3"/>
      <c r="DK1132" s="3"/>
      <c r="DL1132" s="3"/>
      <c r="DM1132" s="3"/>
      <c r="DN1132" s="3"/>
      <c r="DO1132" s="3"/>
      <c r="DP1132" s="3"/>
      <c r="DQ1132" s="3"/>
      <c r="DR1132" s="3"/>
      <c r="DS1132" s="3"/>
      <c r="DT1132" s="3"/>
      <c r="DU1132" s="3"/>
      <c r="DV1132" s="3"/>
      <c r="DW1132" s="3"/>
      <c r="DX1132" s="3"/>
      <c r="DY1132" s="3"/>
      <c r="DZ1132" s="3"/>
      <c r="EA1132" s="3"/>
      <c r="EB1132" s="3"/>
      <c r="EC1132" s="3"/>
      <c r="ED1132" s="3"/>
      <c r="EE1132" s="3"/>
      <c r="EF1132" s="3"/>
      <c r="EG1132" s="3"/>
      <c r="EH1132" s="3"/>
      <c r="EI1132" s="3"/>
      <c r="EJ1132" s="3"/>
      <c r="EK1132" s="3"/>
      <c r="EL1132" s="3"/>
      <c r="EM1132" s="3"/>
      <c r="EN1132" s="3"/>
      <c r="EO1132" s="3"/>
      <c r="EP1132" s="3"/>
      <c r="EQ1132" s="3"/>
      <c r="ER1132" s="3"/>
      <c r="ES1132" s="3"/>
      <c r="ET1132" s="3"/>
      <c r="EU1132" s="3"/>
      <c r="EV1132" s="3"/>
      <c r="EW1132" s="3"/>
      <c r="EX1132" s="3"/>
      <c r="EY1132" s="3"/>
      <c r="EZ1132" s="3"/>
      <c r="FA1132" s="3"/>
      <c r="FB1132" s="3"/>
      <c r="FC1132" s="3"/>
      <c r="FD1132" s="3"/>
      <c r="FE1132" s="3"/>
      <c r="FF1132" s="3"/>
      <c r="FG1132" s="3"/>
      <c r="FH1132" s="3"/>
      <c r="FI1132" s="3"/>
      <c r="FJ1132" s="3"/>
      <c r="FK1132" s="3"/>
      <c r="FL1132" s="3"/>
      <c r="FM1132" s="3"/>
      <c r="FN1132" s="3"/>
      <c r="FO1132" s="3"/>
      <c r="FP1132" s="3"/>
      <c r="FQ1132" s="3"/>
      <c r="FR1132" s="3"/>
      <c r="FS1132" s="3"/>
      <c r="FT1132" s="3"/>
      <c r="FU1132" s="3"/>
      <c r="FV1132" s="3"/>
      <c r="FW1132" s="3"/>
      <c r="FX1132" s="3"/>
      <c r="FY1132" s="3"/>
    </row>
    <row r="1133" spans="7:181" ht="15" x14ac:dyDescent="0.25">
      <c r="G1133" s="2"/>
      <c r="H1133" s="2"/>
      <c r="I1133" s="2"/>
      <c r="J1133" s="2"/>
      <c r="K1133" s="2"/>
      <c r="L1133" s="3"/>
      <c r="M1133" s="3"/>
      <c r="N1133" s="3"/>
      <c r="O1133" s="3"/>
      <c r="P1133" s="3"/>
      <c r="Q1133" s="3"/>
      <c r="R1133" s="3"/>
      <c r="S1133" s="3"/>
      <c r="T1133" s="3"/>
      <c r="U1133" s="4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4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4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4"/>
      <c r="BI1133" s="3"/>
      <c r="BJ1133" s="3"/>
      <c r="BK1133" s="3"/>
      <c r="BL1133" s="3"/>
      <c r="BM1133" s="3"/>
      <c r="BN1133" s="3"/>
      <c r="BO1133" s="3"/>
      <c r="BP1133" s="3"/>
      <c r="BQ1133" s="3"/>
      <c r="BR1133" s="3"/>
      <c r="BS1133" s="3"/>
      <c r="BT1133" s="3"/>
      <c r="BU1133" s="3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  <c r="DI1133" s="3"/>
      <c r="DJ1133" s="3"/>
      <c r="DK1133" s="3"/>
      <c r="DL1133" s="3"/>
      <c r="DM1133" s="3"/>
      <c r="DN1133" s="3"/>
      <c r="DO1133" s="3"/>
      <c r="DP1133" s="3"/>
      <c r="DQ1133" s="3"/>
      <c r="DR1133" s="3"/>
      <c r="DS1133" s="3"/>
      <c r="DT1133" s="3"/>
      <c r="DU1133" s="3"/>
      <c r="DV1133" s="3"/>
      <c r="DW1133" s="3"/>
      <c r="DX1133" s="3"/>
      <c r="DY1133" s="3"/>
      <c r="DZ1133" s="3"/>
      <c r="EA1133" s="3"/>
      <c r="EB1133" s="3"/>
      <c r="EC1133" s="3"/>
      <c r="ED1133" s="3"/>
      <c r="EE1133" s="3"/>
      <c r="EF1133" s="3"/>
      <c r="EG1133" s="3"/>
      <c r="EH1133" s="3"/>
      <c r="EI1133" s="3"/>
      <c r="EJ1133" s="3"/>
      <c r="EK1133" s="3"/>
      <c r="EL1133" s="3"/>
      <c r="EM1133" s="3"/>
      <c r="EN1133" s="3"/>
      <c r="EO1133" s="3"/>
      <c r="EP1133" s="3"/>
      <c r="EQ1133" s="3"/>
      <c r="ER1133" s="3"/>
      <c r="ES1133" s="3"/>
      <c r="ET1133" s="3"/>
      <c r="EU1133" s="3"/>
      <c r="EV1133" s="3"/>
      <c r="EW1133" s="3"/>
      <c r="EX1133" s="3"/>
      <c r="EY1133" s="3"/>
      <c r="EZ1133" s="3"/>
      <c r="FA1133" s="3"/>
      <c r="FB1133" s="3"/>
      <c r="FC1133" s="3"/>
      <c r="FD1133" s="3"/>
      <c r="FE1133" s="3"/>
      <c r="FF1133" s="3"/>
      <c r="FG1133" s="3"/>
      <c r="FH1133" s="3"/>
      <c r="FI1133" s="3"/>
      <c r="FJ1133" s="3"/>
      <c r="FK1133" s="3"/>
      <c r="FL1133" s="3"/>
      <c r="FM1133" s="3"/>
      <c r="FN1133" s="3"/>
      <c r="FO1133" s="3"/>
      <c r="FP1133" s="3"/>
      <c r="FQ1133" s="3"/>
      <c r="FR1133" s="3"/>
      <c r="FS1133" s="3"/>
      <c r="FT1133" s="3"/>
      <c r="FU1133" s="3"/>
      <c r="FV1133" s="3"/>
      <c r="FW1133" s="3"/>
      <c r="FX1133" s="3"/>
      <c r="FY1133" s="3"/>
    </row>
    <row r="1134" spans="7:181" ht="15" x14ac:dyDescent="0.25">
      <c r="G1134" s="2"/>
      <c r="H1134" s="2"/>
      <c r="I1134" s="2"/>
      <c r="J1134" s="2"/>
      <c r="K1134" s="2"/>
      <c r="L1134" s="3"/>
      <c r="M1134" s="3"/>
      <c r="N1134" s="3"/>
      <c r="O1134" s="3"/>
      <c r="P1134" s="3"/>
      <c r="Q1134" s="3"/>
      <c r="R1134" s="3"/>
      <c r="S1134" s="3"/>
      <c r="T1134" s="3"/>
      <c r="U1134" s="4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4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4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4"/>
      <c r="BI1134" s="3"/>
      <c r="BJ1134" s="3"/>
      <c r="BK1134" s="3"/>
      <c r="BL1134" s="3"/>
      <c r="BM1134" s="3"/>
      <c r="BN1134" s="3"/>
      <c r="BO1134" s="3"/>
      <c r="BP1134" s="3"/>
      <c r="BQ1134" s="3"/>
      <c r="BR1134" s="3"/>
      <c r="BS1134" s="3"/>
      <c r="BT1134" s="3"/>
      <c r="BU1134" s="3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  <c r="DI1134" s="3"/>
      <c r="DJ1134" s="3"/>
      <c r="DK1134" s="3"/>
      <c r="DL1134" s="3"/>
      <c r="DM1134" s="3"/>
      <c r="DN1134" s="3"/>
      <c r="DO1134" s="3"/>
      <c r="DP1134" s="3"/>
      <c r="DQ1134" s="3"/>
      <c r="DR1134" s="3"/>
      <c r="DS1134" s="3"/>
      <c r="DT1134" s="3"/>
      <c r="DU1134" s="3"/>
      <c r="DV1134" s="3"/>
      <c r="DW1134" s="3"/>
      <c r="DX1134" s="3"/>
      <c r="DY1134" s="3"/>
      <c r="DZ1134" s="3"/>
      <c r="EA1134" s="3"/>
      <c r="EB1134" s="3"/>
      <c r="EC1134" s="3"/>
      <c r="ED1134" s="3"/>
      <c r="EE1134" s="3"/>
      <c r="EF1134" s="3"/>
      <c r="EG1134" s="3"/>
      <c r="EH1134" s="3"/>
      <c r="EI1134" s="3"/>
      <c r="EJ1134" s="3"/>
      <c r="EK1134" s="3"/>
      <c r="EL1134" s="3"/>
      <c r="EM1134" s="3"/>
      <c r="EN1134" s="3"/>
      <c r="EO1134" s="3"/>
      <c r="EP1134" s="3"/>
      <c r="EQ1134" s="3"/>
      <c r="ER1134" s="3"/>
      <c r="ES1134" s="3"/>
      <c r="ET1134" s="3"/>
      <c r="EU1134" s="3"/>
      <c r="EV1134" s="3"/>
      <c r="EW1134" s="3"/>
      <c r="EX1134" s="3"/>
      <c r="EY1134" s="3"/>
      <c r="EZ1134" s="3"/>
      <c r="FA1134" s="3"/>
      <c r="FB1134" s="3"/>
      <c r="FC1134" s="3"/>
      <c r="FD1134" s="3"/>
      <c r="FE1134" s="3"/>
      <c r="FF1134" s="3"/>
      <c r="FG1134" s="3"/>
      <c r="FH1134" s="3"/>
      <c r="FI1134" s="3"/>
      <c r="FJ1134" s="3"/>
      <c r="FK1134" s="3"/>
      <c r="FL1134" s="3"/>
      <c r="FM1134" s="3"/>
      <c r="FN1134" s="3"/>
      <c r="FO1134" s="3"/>
      <c r="FP1134" s="3"/>
      <c r="FQ1134" s="3"/>
      <c r="FR1134" s="3"/>
      <c r="FS1134" s="3"/>
      <c r="FT1134" s="3"/>
      <c r="FU1134" s="3"/>
      <c r="FV1134" s="3"/>
      <c r="FW1134" s="3"/>
      <c r="FX1134" s="3"/>
      <c r="FY1134" s="3"/>
    </row>
    <row r="1135" spans="7:181" ht="15" x14ac:dyDescent="0.25">
      <c r="G1135" s="2"/>
      <c r="H1135" s="2"/>
      <c r="I1135" s="2"/>
      <c r="J1135" s="2"/>
      <c r="K1135" s="2"/>
      <c r="L1135" s="3"/>
      <c r="M1135" s="3"/>
      <c r="N1135" s="3"/>
      <c r="O1135" s="3"/>
      <c r="P1135" s="3"/>
      <c r="Q1135" s="3"/>
      <c r="R1135" s="3"/>
      <c r="S1135" s="3"/>
      <c r="T1135" s="3"/>
      <c r="U1135" s="4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4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4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4"/>
      <c r="BI1135" s="3"/>
      <c r="BJ1135" s="3"/>
      <c r="BK1135" s="3"/>
      <c r="BL1135" s="3"/>
      <c r="BM1135" s="3"/>
      <c r="BN1135" s="3"/>
      <c r="BO1135" s="3"/>
      <c r="BP1135" s="3"/>
      <c r="BQ1135" s="3"/>
      <c r="BR1135" s="3"/>
      <c r="BS1135" s="3"/>
      <c r="BT1135" s="3"/>
      <c r="BU1135" s="3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  <c r="DI1135" s="3"/>
      <c r="DJ1135" s="3"/>
      <c r="DK1135" s="3"/>
      <c r="DL1135" s="3"/>
      <c r="DM1135" s="3"/>
      <c r="DN1135" s="3"/>
      <c r="DO1135" s="3"/>
      <c r="DP1135" s="3"/>
      <c r="DQ1135" s="3"/>
      <c r="DR1135" s="3"/>
      <c r="DS1135" s="3"/>
      <c r="DT1135" s="3"/>
      <c r="DU1135" s="3"/>
      <c r="DV1135" s="3"/>
      <c r="DW1135" s="3"/>
      <c r="DX1135" s="3"/>
      <c r="DY1135" s="3"/>
      <c r="DZ1135" s="3"/>
      <c r="EA1135" s="3"/>
      <c r="EB1135" s="3"/>
      <c r="EC1135" s="3"/>
      <c r="ED1135" s="3"/>
      <c r="EE1135" s="3"/>
      <c r="EF1135" s="3"/>
      <c r="EG1135" s="3"/>
      <c r="EH1135" s="3"/>
      <c r="EI1135" s="3"/>
      <c r="EJ1135" s="3"/>
      <c r="EK1135" s="3"/>
      <c r="EL1135" s="3"/>
      <c r="EM1135" s="3"/>
      <c r="EN1135" s="3"/>
      <c r="EO1135" s="3"/>
      <c r="EP1135" s="3"/>
      <c r="EQ1135" s="3"/>
      <c r="ER1135" s="3"/>
      <c r="ES1135" s="3"/>
      <c r="ET1135" s="3"/>
      <c r="EU1135" s="3"/>
      <c r="EV1135" s="3"/>
      <c r="EW1135" s="3"/>
      <c r="EX1135" s="3"/>
      <c r="EY1135" s="3"/>
      <c r="EZ1135" s="3"/>
      <c r="FA1135" s="3"/>
      <c r="FB1135" s="3"/>
      <c r="FC1135" s="3"/>
      <c r="FD1135" s="3"/>
      <c r="FE1135" s="3"/>
      <c r="FF1135" s="3"/>
      <c r="FG1135" s="3"/>
      <c r="FH1135" s="3"/>
      <c r="FI1135" s="3"/>
      <c r="FJ1135" s="3"/>
      <c r="FK1135" s="3"/>
      <c r="FL1135" s="3"/>
      <c r="FM1135" s="3"/>
      <c r="FN1135" s="3"/>
      <c r="FO1135" s="3"/>
      <c r="FP1135" s="3"/>
      <c r="FQ1135" s="3"/>
      <c r="FR1135" s="3"/>
      <c r="FS1135" s="3"/>
      <c r="FT1135" s="3"/>
      <c r="FU1135" s="3"/>
      <c r="FV1135" s="3"/>
      <c r="FW1135" s="3"/>
      <c r="FX1135" s="3"/>
      <c r="FY1135" s="3"/>
    </row>
    <row r="1136" spans="7:181" ht="15" x14ac:dyDescent="0.25">
      <c r="G1136" s="2"/>
      <c r="H1136" s="2"/>
      <c r="I1136" s="2"/>
      <c r="J1136" s="2"/>
      <c r="K1136" s="2"/>
      <c r="L1136" s="3"/>
      <c r="M1136" s="3"/>
      <c r="N1136" s="3"/>
      <c r="O1136" s="3"/>
      <c r="P1136" s="3"/>
      <c r="Q1136" s="3"/>
      <c r="R1136" s="3"/>
      <c r="S1136" s="3"/>
      <c r="T1136" s="3"/>
      <c r="U1136" s="4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4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4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4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  <c r="DI1136" s="3"/>
      <c r="DJ1136" s="3"/>
      <c r="DK1136" s="3"/>
      <c r="DL1136" s="3"/>
      <c r="DM1136" s="3"/>
      <c r="DN1136" s="3"/>
      <c r="DO1136" s="3"/>
      <c r="DP1136" s="3"/>
      <c r="DQ1136" s="3"/>
      <c r="DR1136" s="3"/>
      <c r="DS1136" s="3"/>
      <c r="DT1136" s="3"/>
      <c r="DU1136" s="3"/>
      <c r="DV1136" s="3"/>
      <c r="DW1136" s="3"/>
      <c r="DX1136" s="3"/>
      <c r="DY1136" s="3"/>
      <c r="DZ1136" s="3"/>
      <c r="EA1136" s="3"/>
      <c r="EB1136" s="3"/>
      <c r="EC1136" s="3"/>
      <c r="ED1136" s="3"/>
      <c r="EE1136" s="3"/>
      <c r="EF1136" s="3"/>
      <c r="EG1136" s="3"/>
      <c r="EH1136" s="3"/>
      <c r="EI1136" s="3"/>
      <c r="EJ1136" s="3"/>
      <c r="EK1136" s="3"/>
      <c r="EL1136" s="3"/>
      <c r="EM1136" s="3"/>
      <c r="EN1136" s="3"/>
      <c r="EO1136" s="3"/>
      <c r="EP1136" s="3"/>
      <c r="EQ1136" s="3"/>
      <c r="ER1136" s="3"/>
      <c r="ES1136" s="3"/>
      <c r="ET1136" s="3"/>
      <c r="EU1136" s="3"/>
      <c r="EV1136" s="3"/>
      <c r="EW1136" s="3"/>
      <c r="EX1136" s="3"/>
      <c r="EY1136" s="3"/>
      <c r="EZ1136" s="3"/>
      <c r="FA1136" s="3"/>
      <c r="FB1136" s="3"/>
      <c r="FC1136" s="3"/>
      <c r="FD1136" s="3"/>
      <c r="FE1136" s="3"/>
      <c r="FF1136" s="3"/>
      <c r="FG1136" s="3"/>
      <c r="FH1136" s="3"/>
      <c r="FI1136" s="3"/>
      <c r="FJ1136" s="3"/>
      <c r="FK1136" s="3"/>
      <c r="FL1136" s="3"/>
      <c r="FM1136" s="3"/>
      <c r="FN1136" s="3"/>
      <c r="FO1136" s="3"/>
      <c r="FP1136" s="3"/>
      <c r="FQ1136" s="3"/>
      <c r="FR1136" s="3"/>
      <c r="FS1136" s="3"/>
      <c r="FT1136" s="3"/>
      <c r="FU1136" s="3"/>
      <c r="FV1136" s="3"/>
      <c r="FW1136" s="3"/>
      <c r="FX1136" s="3"/>
      <c r="FY1136" s="3"/>
    </row>
    <row r="1137" spans="7:181" ht="15" x14ac:dyDescent="0.25">
      <c r="G1137" s="2"/>
      <c r="H1137" s="2"/>
      <c r="I1137" s="2"/>
      <c r="J1137" s="2"/>
      <c r="K1137" s="2"/>
      <c r="L1137" s="3"/>
      <c r="M1137" s="3"/>
      <c r="N1137" s="3"/>
      <c r="O1137" s="3"/>
      <c r="P1137" s="3"/>
      <c r="Q1137" s="3"/>
      <c r="R1137" s="3"/>
      <c r="S1137" s="3"/>
      <c r="T1137" s="3"/>
      <c r="U1137" s="4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4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4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4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  <c r="DI1137" s="3"/>
      <c r="DJ1137" s="3"/>
      <c r="DK1137" s="3"/>
      <c r="DL1137" s="3"/>
      <c r="DM1137" s="3"/>
      <c r="DN1137" s="3"/>
      <c r="DO1137" s="3"/>
      <c r="DP1137" s="3"/>
      <c r="DQ1137" s="3"/>
      <c r="DR1137" s="3"/>
      <c r="DS1137" s="3"/>
      <c r="DT1137" s="3"/>
      <c r="DU1137" s="3"/>
      <c r="DV1137" s="3"/>
      <c r="DW1137" s="3"/>
      <c r="DX1137" s="3"/>
      <c r="DY1137" s="3"/>
      <c r="DZ1137" s="3"/>
      <c r="EA1137" s="3"/>
      <c r="EB1137" s="3"/>
      <c r="EC1137" s="3"/>
      <c r="ED1137" s="3"/>
      <c r="EE1137" s="3"/>
      <c r="EF1137" s="3"/>
      <c r="EG1137" s="3"/>
      <c r="EH1137" s="3"/>
      <c r="EI1137" s="3"/>
      <c r="EJ1137" s="3"/>
      <c r="EK1137" s="3"/>
      <c r="EL1137" s="3"/>
      <c r="EM1137" s="3"/>
      <c r="EN1137" s="3"/>
      <c r="EO1137" s="3"/>
      <c r="EP1137" s="3"/>
      <c r="EQ1137" s="3"/>
      <c r="ER1137" s="3"/>
      <c r="ES1137" s="3"/>
      <c r="ET1137" s="3"/>
      <c r="EU1137" s="3"/>
      <c r="EV1137" s="3"/>
      <c r="EW1137" s="3"/>
      <c r="EX1137" s="3"/>
      <c r="EY1137" s="3"/>
      <c r="EZ1137" s="3"/>
      <c r="FA1137" s="3"/>
      <c r="FB1137" s="3"/>
      <c r="FC1137" s="3"/>
      <c r="FD1137" s="3"/>
      <c r="FE1137" s="3"/>
      <c r="FF1137" s="3"/>
      <c r="FG1137" s="3"/>
      <c r="FH1137" s="3"/>
      <c r="FI1137" s="3"/>
      <c r="FJ1137" s="3"/>
      <c r="FK1137" s="3"/>
      <c r="FL1137" s="3"/>
      <c r="FM1137" s="3"/>
      <c r="FN1137" s="3"/>
      <c r="FO1137" s="3"/>
      <c r="FP1137" s="3"/>
      <c r="FQ1137" s="3"/>
      <c r="FR1137" s="3"/>
      <c r="FS1137" s="3"/>
      <c r="FT1137" s="3"/>
      <c r="FU1137" s="3"/>
      <c r="FV1137" s="3"/>
      <c r="FW1137" s="3"/>
      <c r="FX1137" s="3"/>
      <c r="FY1137" s="3"/>
    </row>
    <row r="1138" spans="7:181" ht="15" x14ac:dyDescent="0.25">
      <c r="G1138" s="2"/>
      <c r="H1138" s="2"/>
      <c r="I1138" s="2"/>
      <c r="J1138" s="2"/>
      <c r="K1138" s="2"/>
      <c r="L1138" s="3"/>
      <c r="M1138" s="3"/>
      <c r="N1138" s="3"/>
      <c r="O1138" s="3"/>
      <c r="P1138" s="3"/>
      <c r="Q1138" s="3"/>
      <c r="R1138" s="3"/>
      <c r="S1138" s="3"/>
      <c r="T1138" s="3"/>
      <c r="U1138" s="4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4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4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4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  <c r="DI1138" s="3"/>
      <c r="DJ1138" s="3"/>
      <c r="DK1138" s="3"/>
      <c r="DL1138" s="3"/>
      <c r="DM1138" s="3"/>
      <c r="DN1138" s="3"/>
      <c r="DO1138" s="3"/>
      <c r="DP1138" s="3"/>
      <c r="DQ1138" s="3"/>
      <c r="DR1138" s="3"/>
      <c r="DS1138" s="3"/>
      <c r="DT1138" s="3"/>
      <c r="DU1138" s="3"/>
      <c r="DV1138" s="3"/>
      <c r="DW1138" s="3"/>
      <c r="DX1138" s="3"/>
      <c r="DY1138" s="3"/>
      <c r="DZ1138" s="3"/>
      <c r="EA1138" s="3"/>
      <c r="EB1138" s="3"/>
      <c r="EC1138" s="3"/>
      <c r="ED1138" s="3"/>
      <c r="EE1138" s="3"/>
      <c r="EF1138" s="3"/>
      <c r="EG1138" s="3"/>
      <c r="EH1138" s="3"/>
      <c r="EI1138" s="3"/>
      <c r="EJ1138" s="3"/>
      <c r="EK1138" s="3"/>
      <c r="EL1138" s="3"/>
      <c r="EM1138" s="3"/>
      <c r="EN1138" s="3"/>
      <c r="EO1138" s="3"/>
      <c r="EP1138" s="3"/>
      <c r="EQ1138" s="3"/>
      <c r="ER1138" s="3"/>
      <c r="ES1138" s="3"/>
      <c r="ET1138" s="3"/>
      <c r="EU1138" s="3"/>
      <c r="EV1138" s="3"/>
      <c r="EW1138" s="3"/>
      <c r="EX1138" s="3"/>
      <c r="EY1138" s="3"/>
      <c r="EZ1138" s="3"/>
      <c r="FA1138" s="3"/>
      <c r="FB1138" s="3"/>
      <c r="FC1138" s="3"/>
      <c r="FD1138" s="3"/>
      <c r="FE1138" s="3"/>
      <c r="FF1138" s="3"/>
      <c r="FG1138" s="3"/>
      <c r="FH1138" s="3"/>
      <c r="FI1138" s="3"/>
      <c r="FJ1138" s="3"/>
      <c r="FK1138" s="3"/>
      <c r="FL1138" s="3"/>
      <c r="FM1138" s="3"/>
      <c r="FN1138" s="3"/>
      <c r="FO1138" s="3"/>
      <c r="FP1138" s="3"/>
      <c r="FQ1138" s="3"/>
      <c r="FR1138" s="3"/>
      <c r="FS1138" s="3"/>
      <c r="FT1138" s="3"/>
      <c r="FU1138" s="3"/>
      <c r="FV1138" s="3"/>
      <c r="FW1138" s="3"/>
      <c r="FX1138" s="3"/>
      <c r="FY1138" s="3"/>
    </row>
    <row r="1139" spans="7:181" ht="15" x14ac:dyDescent="0.25">
      <c r="G1139" s="2"/>
      <c r="H1139" s="2"/>
      <c r="I1139" s="2"/>
      <c r="J1139" s="2"/>
      <c r="K1139" s="2"/>
      <c r="L1139" s="3"/>
      <c r="M1139" s="3"/>
      <c r="N1139" s="3"/>
      <c r="O1139" s="3"/>
      <c r="P1139" s="3"/>
      <c r="Q1139" s="3"/>
      <c r="R1139" s="3"/>
      <c r="S1139" s="3"/>
      <c r="T1139" s="3"/>
      <c r="U1139" s="4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4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4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4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  <c r="DI1139" s="3"/>
      <c r="DJ1139" s="3"/>
      <c r="DK1139" s="3"/>
      <c r="DL1139" s="3"/>
      <c r="DM1139" s="3"/>
      <c r="DN1139" s="3"/>
      <c r="DO1139" s="3"/>
      <c r="DP1139" s="3"/>
      <c r="DQ1139" s="3"/>
      <c r="DR1139" s="3"/>
      <c r="DS1139" s="3"/>
      <c r="DT1139" s="3"/>
      <c r="DU1139" s="3"/>
      <c r="DV1139" s="3"/>
      <c r="DW1139" s="3"/>
      <c r="DX1139" s="3"/>
      <c r="DY1139" s="3"/>
      <c r="DZ1139" s="3"/>
      <c r="EA1139" s="3"/>
      <c r="EB1139" s="3"/>
      <c r="EC1139" s="3"/>
      <c r="ED1139" s="3"/>
      <c r="EE1139" s="3"/>
      <c r="EF1139" s="3"/>
      <c r="EG1139" s="3"/>
      <c r="EH1139" s="3"/>
      <c r="EI1139" s="3"/>
      <c r="EJ1139" s="3"/>
      <c r="EK1139" s="3"/>
      <c r="EL1139" s="3"/>
      <c r="EM1139" s="3"/>
      <c r="EN1139" s="3"/>
      <c r="EO1139" s="3"/>
      <c r="EP1139" s="3"/>
      <c r="EQ1139" s="3"/>
      <c r="ER1139" s="3"/>
      <c r="ES1139" s="3"/>
      <c r="ET1139" s="3"/>
      <c r="EU1139" s="3"/>
      <c r="EV1139" s="3"/>
      <c r="EW1139" s="3"/>
      <c r="EX1139" s="3"/>
      <c r="EY1139" s="3"/>
      <c r="EZ1139" s="3"/>
      <c r="FA1139" s="3"/>
      <c r="FB1139" s="3"/>
      <c r="FC1139" s="3"/>
      <c r="FD1139" s="3"/>
      <c r="FE1139" s="3"/>
      <c r="FF1139" s="3"/>
      <c r="FG1139" s="3"/>
      <c r="FH1139" s="3"/>
      <c r="FI1139" s="3"/>
      <c r="FJ1139" s="3"/>
      <c r="FK1139" s="3"/>
      <c r="FL1139" s="3"/>
      <c r="FM1139" s="3"/>
      <c r="FN1139" s="3"/>
      <c r="FO1139" s="3"/>
      <c r="FP1139" s="3"/>
      <c r="FQ1139" s="3"/>
      <c r="FR1139" s="3"/>
      <c r="FS1139" s="3"/>
      <c r="FT1139" s="3"/>
      <c r="FU1139" s="3"/>
      <c r="FV1139" s="3"/>
      <c r="FW1139" s="3"/>
      <c r="FX1139" s="3"/>
      <c r="FY1139" s="3"/>
    </row>
    <row r="1140" spans="7:181" ht="15" x14ac:dyDescent="0.25">
      <c r="G1140" s="2"/>
      <c r="H1140" s="2"/>
      <c r="I1140" s="2"/>
      <c r="J1140" s="2"/>
      <c r="K1140" s="2"/>
      <c r="L1140" s="3"/>
      <c r="M1140" s="3"/>
      <c r="N1140" s="3"/>
      <c r="O1140" s="3"/>
      <c r="P1140" s="3"/>
      <c r="Q1140" s="3"/>
      <c r="R1140" s="3"/>
      <c r="S1140" s="3"/>
      <c r="T1140" s="3"/>
      <c r="U1140" s="4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4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4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4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  <c r="DI1140" s="3"/>
      <c r="DJ1140" s="3"/>
      <c r="DK1140" s="3"/>
      <c r="DL1140" s="3"/>
      <c r="DM1140" s="3"/>
      <c r="DN1140" s="3"/>
      <c r="DO1140" s="3"/>
      <c r="DP1140" s="3"/>
      <c r="DQ1140" s="3"/>
      <c r="DR1140" s="3"/>
      <c r="DS1140" s="3"/>
      <c r="DT1140" s="3"/>
      <c r="DU1140" s="3"/>
      <c r="DV1140" s="3"/>
      <c r="DW1140" s="3"/>
      <c r="DX1140" s="3"/>
      <c r="DY1140" s="3"/>
      <c r="DZ1140" s="3"/>
      <c r="EA1140" s="3"/>
      <c r="EB1140" s="3"/>
      <c r="EC1140" s="3"/>
      <c r="ED1140" s="3"/>
      <c r="EE1140" s="3"/>
      <c r="EF1140" s="3"/>
      <c r="EG1140" s="3"/>
      <c r="EH1140" s="3"/>
      <c r="EI1140" s="3"/>
      <c r="EJ1140" s="3"/>
      <c r="EK1140" s="3"/>
      <c r="EL1140" s="3"/>
      <c r="EM1140" s="3"/>
      <c r="EN1140" s="3"/>
      <c r="EO1140" s="3"/>
      <c r="EP1140" s="3"/>
      <c r="EQ1140" s="3"/>
      <c r="ER1140" s="3"/>
      <c r="ES1140" s="3"/>
      <c r="ET1140" s="3"/>
      <c r="EU1140" s="3"/>
      <c r="EV1140" s="3"/>
      <c r="EW1140" s="3"/>
      <c r="EX1140" s="3"/>
      <c r="EY1140" s="3"/>
      <c r="EZ1140" s="3"/>
      <c r="FA1140" s="3"/>
      <c r="FB1140" s="3"/>
      <c r="FC1140" s="3"/>
      <c r="FD1140" s="3"/>
      <c r="FE1140" s="3"/>
      <c r="FF1140" s="3"/>
      <c r="FG1140" s="3"/>
      <c r="FH1140" s="3"/>
      <c r="FI1140" s="3"/>
      <c r="FJ1140" s="3"/>
      <c r="FK1140" s="3"/>
      <c r="FL1140" s="3"/>
      <c r="FM1140" s="3"/>
      <c r="FN1140" s="3"/>
      <c r="FO1140" s="3"/>
      <c r="FP1140" s="3"/>
      <c r="FQ1140" s="3"/>
      <c r="FR1140" s="3"/>
      <c r="FS1140" s="3"/>
      <c r="FT1140" s="3"/>
      <c r="FU1140" s="3"/>
      <c r="FV1140" s="3"/>
      <c r="FW1140" s="3"/>
      <c r="FX1140" s="3"/>
      <c r="FY1140" s="3"/>
    </row>
    <row r="1141" spans="7:181" ht="15" x14ac:dyDescent="0.25">
      <c r="G1141" s="2"/>
      <c r="H1141" s="2"/>
      <c r="I1141" s="2"/>
      <c r="J1141" s="2"/>
      <c r="K1141" s="2"/>
      <c r="L1141" s="3"/>
      <c r="M1141" s="3"/>
      <c r="N1141" s="3"/>
      <c r="O1141" s="3"/>
      <c r="P1141" s="3"/>
      <c r="Q1141" s="3"/>
      <c r="R1141" s="3"/>
      <c r="S1141" s="3"/>
      <c r="T1141" s="3"/>
      <c r="U1141" s="4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4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4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4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  <c r="DI1141" s="3"/>
      <c r="DJ1141" s="3"/>
      <c r="DK1141" s="3"/>
      <c r="DL1141" s="3"/>
      <c r="DM1141" s="3"/>
      <c r="DN1141" s="3"/>
      <c r="DO1141" s="3"/>
      <c r="DP1141" s="3"/>
      <c r="DQ1141" s="3"/>
      <c r="DR1141" s="3"/>
      <c r="DS1141" s="3"/>
      <c r="DT1141" s="3"/>
      <c r="DU1141" s="3"/>
      <c r="DV1141" s="3"/>
      <c r="DW1141" s="3"/>
      <c r="DX1141" s="3"/>
      <c r="DY1141" s="3"/>
      <c r="DZ1141" s="3"/>
      <c r="EA1141" s="3"/>
      <c r="EB1141" s="3"/>
      <c r="EC1141" s="3"/>
      <c r="ED1141" s="3"/>
      <c r="EE1141" s="3"/>
      <c r="EF1141" s="3"/>
      <c r="EG1141" s="3"/>
      <c r="EH1141" s="3"/>
      <c r="EI1141" s="3"/>
      <c r="EJ1141" s="3"/>
      <c r="EK1141" s="3"/>
      <c r="EL1141" s="3"/>
      <c r="EM1141" s="3"/>
      <c r="EN1141" s="3"/>
      <c r="EO1141" s="3"/>
      <c r="EP1141" s="3"/>
      <c r="EQ1141" s="3"/>
      <c r="ER1141" s="3"/>
      <c r="ES1141" s="3"/>
      <c r="ET1141" s="3"/>
      <c r="EU1141" s="3"/>
      <c r="EV1141" s="3"/>
      <c r="EW1141" s="3"/>
      <c r="EX1141" s="3"/>
      <c r="EY1141" s="3"/>
      <c r="EZ1141" s="3"/>
      <c r="FA1141" s="3"/>
      <c r="FB1141" s="3"/>
      <c r="FC1141" s="3"/>
      <c r="FD1141" s="3"/>
      <c r="FE1141" s="3"/>
      <c r="FF1141" s="3"/>
      <c r="FG1141" s="3"/>
      <c r="FH1141" s="3"/>
      <c r="FI1141" s="3"/>
      <c r="FJ1141" s="3"/>
      <c r="FK1141" s="3"/>
      <c r="FL1141" s="3"/>
      <c r="FM1141" s="3"/>
      <c r="FN1141" s="3"/>
      <c r="FO1141" s="3"/>
      <c r="FP1141" s="3"/>
      <c r="FQ1141" s="3"/>
      <c r="FR1141" s="3"/>
      <c r="FS1141" s="3"/>
      <c r="FT1141" s="3"/>
      <c r="FU1141" s="3"/>
      <c r="FV1141" s="3"/>
      <c r="FW1141" s="3"/>
      <c r="FX1141" s="3"/>
      <c r="FY1141" s="3"/>
    </row>
    <row r="1142" spans="7:181" ht="15" x14ac:dyDescent="0.25">
      <c r="G1142" s="2"/>
      <c r="H1142" s="2"/>
      <c r="I1142" s="2"/>
      <c r="J1142" s="2"/>
      <c r="K1142" s="2"/>
      <c r="L1142" s="3"/>
      <c r="M1142" s="3"/>
      <c r="N1142" s="3"/>
      <c r="O1142" s="3"/>
      <c r="P1142" s="3"/>
      <c r="Q1142" s="3"/>
      <c r="R1142" s="3"/>
      <c r="S1142" s="3"/>
      <c r="T1142" s="3"/>
      <c r="U1142" s="4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4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4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4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  <c r="DP1142" s="3"/>
      <c r="DQ1142" s="3"/>
      <c r="DR1142" s="3"/>
      <c r="DS1142" s="3"/>
      <c r="DT1142" s="3"/>
      <c r="DU1142" s="3"/>
      <c r="DV1142" s="3"/>
      <c r="DW1142" s="3"/>
      <c r="DX1142" s="3"/>
      <c r="DY1142" s="3"/>
      <c r="DZ1142" s="3"/>
      <c r="EA1142" s="3"/>
      <c r="EB1142" s="3"/>
      <c r="EC1142" s="3"/>
      <c r="ED1142" s="3"/>
      <c r="EE1142" s="3"/>
      <c r="EF1142" s="3"/>
      <c r="EG1142" s="3"/>
      <c r="EH1142" s="3"/>
      <c r="EI1142" s="3"/>
      <c r="EJ1142" s="3"/>
      <c r="EK1142" s="3"/>
      <c r="EL1142" s="3"/>
      <c r="EM1142" s="3"/>
      <c r="EN1142" s="3"/>
      <c r="EO1142" s="3"/>
      <c r="EP1142" s="3"/>
      <c r="EQ1142" s="3"/>
      <c r="ER1142" s="3"/>
      <c r="ES1142" s="3"/>
      <c r="ET1142" s="3"/>
      <c r="EU1142" s="3"/>
      <c r="EV1142" s="3"/>
      <c r="EW1142" s="3"/>
      <c r="EX1142" s="3"/>
      <c r="EY1142" s="3"/>
      <c r="EZ1142" s="3"/>
      <c r="FA1142" s="3"/>
      <c r="FB1142" s="3"/>
      <c r="FC1142" s="3"/>
      <c r="FD1142" s="3"/>
      <c r="FE1142" s="3"/>
      <c r="FF1142" s="3"/>
      <c r="FG1142" s="3"/>
      <c r="FH1142" s="3"/>
      <c r="FI1142" s="3"/>
      <c r="FJ1142" s="3"/>
      <c r="FK1142" s="3"/>
      <c r="FL1142" s="3"/>
      <c r="FM1142" s="3"/>
      <c r="FN1142" s="3"/>
      <c r="FO1142" s="3"/>
      <c r="FP1142" s="3"/>
      <c r="FQ1142" s="3"/>
      <c r="FR1142" s="3"/>
      <c r="FS1142" s="3"/>
      <c r="FT1142" s="3"/>
      <c r="FU1142" s="3"/>
      <c r="FV1142" s="3"/>
      <c r="FW1142" s="3"/>
      <c r="FX1142" s="3"/>
      <c r="FY1142" s="3"/>
    </row>
    <row r="1143" spans="7:181" ht="15" x14ac:dyDescent="0.25">
      <c r="G1143" s="2"/>
      <c r="H1143" s="2"/>
      <c r="I1143" s="2"/>
      <c r="J1143" s="2"/>
      <c r="K1143" s="2"/>
      <c r="L1143" s="3"/>
      <c r="M1143" s="3"/>
      <c r="N1143" s="3"/>
      <c r="O1143" s="3"/>
      <c r="P1143" s="3"/>
      <c r="Q1143" s="3"/>
      <c r="R1143" s="3"/>
      <c r="S1143" s="3"/>
      <c r="T1143" s="3"/>
      <c r="U1143" s="4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4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4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4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  <c r="DP1143" s="3"/>
      <c r="DQ1143" s="3"/>
      <c r="DR1143" s="3"/>
      <c r="DS1143" s="3"/>
      <c r="DT1143" s="3"/>
      <c r="DU1143" s="3"/>
      <c r="DV1143" s="3"/>
      <c r="DW1143" s="3"/>
      <c r="DX1143" s="3"/>
      <c r="DY1143" s="3"/>
      <c r="DZ1143" s="3"/>
      <c r="EA1143" s="3"/>
      <c r="EB1143" s="3"/>
      <c r="EC1143" s="3"/>
      <c r="ED1143" s="3"/>
      <c r="EE1143" s="3"/>
      <c r="EF1143" s="3"/>
      <c r="EG1143" s="3"/>
      <c r="EH1143" s="3"/>
      <c r="EI1143" s="3"/>
      <c r="EJ1143" s="3"/>
      <c r="EK1143" s="3"/>
      <c r="EL1143" s="3"/>
      <c r="EM1143" s="3"/>
      <c r="EN1143" s="3"/>
      <c r="EO1143" s="3"/>
      <c r="EP1143" s="3"/>
      <c r="EQ1143" s="3"/>
      <c r="ER1143" s="3"/>
      <c r="ES1143" s="3"/>
      <c r="ET1143" s="3"/>
      <c r="EU1143" s="3"/>
      <c r="EV1143" s="3"/>
      <c r="EW1143" s="3"/>
      <c r="EX1143" s="3"/>
      <c r="EY1143" s="3"/>
      <c r="EZ1143" s="3"/>
      <c r="FA1143" s="3"/>
      <c r="FB1143" s="3"/>
      <c r="FC1143" s="3"/>
      <c r="FD1143" s="3"/>
      <c r="FE1143" s="3"/>
      <c r="FF1143" s="3"/>
      <c r="FG1143" s="3"/>
      <c r="FH1143" s="3"/>
      <c r="FI1143" s="3"/>
      <c r="FJ1143" s="3"/>
      <c r="FK1143" s="3"/>
      <c r="FL1143" s="3"/>
      <c r="FM1143" s="3"/>
      <c r="FN1143" s="3"/>
      <c r="FO1143" s="3"/>
      <c r="FP1143" s="3"/>
      <c r="FQ1143" s="3"/>
      <c r="FR1143" s="3"/>
      <c r="FS1143" s="3"/>
      <c r="FT1143" s="3"/>
      <c r="FU1143" s="3"/>
      <c r="FV1143" s="3"/>
      <c r="FW1143" s="3"/>
      <c r="FX1143" s="3"/>
      <c r="FY1143" s="3"/>
    </row>
    <row r="1144" spans="7:181" ht="15" x14ac:dyDescent="0.25">
      <c r="G1144" s="2"/>
      <c r="H1144" s="2"/>
      <c r="I1144" s="2"/>
      <c r="J1144" s="2"/>
      <c r="K1144" s="2"/>
      <c r="L1144" s="3"/>
      <c r="M1144" s="3"/>
      <c r="N1144" s="3"/>
      <c r="O1144" s="3"/>
      <c r="P1144" s="3"/>
      <c r="Q1144" s="3"/>
      <c r="R1144" s="3"/>
      <c r="S1144" s="3"/>
      <c r="T1144" s="3"/>
      <c r="U1144" s="4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4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4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4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  <c r="DP1144" s="3"/>
      <c r="DQ1144" s="3"/>
      <c r="DR1144" s="3"/>
      <c r="DS1144" s="3"/>
      <c r="DT1144" s="3"/>
      <c r="DU1144" s="3"/>
      <c r="DV1144" s="3"/>
      <c r="DW1144" s="3"/>
      <c r="DX1144" s="3"/>
      <c r="DY1144" s="3"/>
      <c r="DZ1144" s="3"/>
      <c r="EA1144" s="3"/>
      <c r="EB1144" s="3"/>
      <c r="EC1144" s="3"/>
      <c r="ED1144" s="3"/>
      <c r="EE1144" s="3"/>
      <c r="EF1144" s="3"/>
      <c r="EG1144" s="3"/>
      <c r="EH1144" s="3"/>
      <c r="EI1144" s="3"/>
      <c r="EJ1144" s="3"/>
      <c r="EK1144" s="3"/>
      <c r="EL1144" s="3"/>
      <c r="EM1144" s="3"/>
      <c r="EN1144" s="3"/>
      <c r="EO1144" s="3"/>
      <c r="EP1144" s="3"/>
      <c r="EQ1144" s="3"/>
      <c r="ER1144" s="3"/>
      <c r="ES1144" s="3"/>
      <c r="ET1144" s="3"/>
      <c r="EU1144" s="3"/>
      <c r="EV1144" s="3"/>
      <c r="EW1144" s="3"/>
      <c r="EX1144" s="3"/>
      <c r="EY1144" s="3"/>
      <c r="EZ1144" s="3"/>
      <c r="FA1144" s="3"/>
      <c r="FB1144" s="3"/>
      <c r="FC1144" s="3"/>
      <c r="FD1144" s="3"/>
      <c r="FE1144" s="3"/>
      <c r="FF1144" s="3"/>
      <c r="FG1144" s="3"/>
      <c r="FH1144" s="3"/>
      <c r="FI1144" s="3"/>
      <c r="FJ1144" s="3"/>
      <c r="FK1144" s="3"/>
      <c r="FL1144" s="3"/>
      <c r="FM1144" s="3"/>
      <c r="FN1144" s="3"/>
      <c r="FO1144" s="3"/>
      <c r="FP1144" s="3"/>
      <c r="FQ1144" s="3"/>
      <c r="FR1144" s="3"/>
      <c r="FS1144" s="3"/>
      <c r="FT1144" s="3"/>
      <c r="FU1144" s="3"/>
      <c r="FV1144" s="3"/>
      <c r="FW1144" s="3"/>
      <c r="FX1144" s="3"/>
      <c r="FY1144" s="3"/>
    </row>
    <row r="1145" spans="7:181" ht="15" x14ac:dyDescent="0.25">
      <c r="G1145" s="2"/>
      <c r="H1145" s="2"/>
      <c r="I1145" s="2"/>
      <c r="J1145" s="2"/>
      <c r="K1145" s="2"/>
      <c r="L1145" s="3"/>
      <c r="M1145" s="3"/>
      <c r="N1145" s="3"/>
      <c r="O1145" s="3"/>
      <c r="P1145" s="3"/>
      <c r="Q1145" s="3"/>
      <c r="R1145" s="3"/>
      <c r="S1145" s="3"/>
      <c r="T1145" s="3"/>
      <c r="U1145" s="4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4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4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4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  <c r="DP1145" s="3"/>
      <c r="DQ1145" s="3"/>
      <c r="DR1145" s="3"/>
      <c r="DS1145" s="3"/>
      <c r="DT1145" s="3"/>
      <c r="DU1145" s="3"/>
      <c r="DV1145" s="3"/>
      <c r="DW1145" s="3"/>
      <c r="DX1145" s="3"/>
      <c r="DY1145" s="3"/>
      <c r="DZ1145" s="3"/>
      <c r="EA1145" s="3"/>
      <c r="EB1145" s="3"/>
      <c r="EC1145" s="3"/>
      <c r="ED1145" s="3"/>
      <c r="EE1145" s="3"/>
      <c r="EF1145" s="3"/>
      <c r="EG1145" s="3"/>
      <c r="EH1145" s="3"/>
      <c r="EI1145" s="3"/>
      <c r="EJ1145" s="3"/>
      <c r="EK1145" s="3"/>
      <c r="EL1145" s="3"/>
      <c r="EM1145" s="3"/>
      <c r="EN1145" s="3"/>
      <c r="EO1145" s="3"/>
      <c r="EP1145" s="3"/>
      <c r="EQ1145" s="3"/>
      <c r="ER1145" s="3"/>
      <c r="ES1145" s="3"/>
      <c r="ET1145" s="3"/>
      <c r="EU1145" s="3"/>
      <c r="EV1145" s="3"/>
      <c r="EW1145" s="3"/>
      <c r="EX1145" s="3"/>
      <c r="EY1145" s="3"/>
      <c r="EZ1145" s="3"/>
      <c r="FA1145" s="3"/>
      <c r="FB1145" s="3"/>
      <c r="FC1145" s="3"/>
      <c r="FD1145" s="3"/>
      <c r="FE1145" s="3"/>
      <c r="FF1145" s="3"/>
      <c r="FG1145" s="3"/>
      <c r="FH1145" s="3"/>
      <c r="FI1145" s="3"/>
      <c r="FJ1145" s="3"/>
      <c r="FK1145" s="3"/>
      <c r="FL1145" s="3"/>
      <c r="FM1145" s="3"/>
      <c r="FN1145" s="3"/>
      <c r="FO1145" s="3"/>
      <c r="FP1145" s="3"/>
      <c r="FQ1145" s="3"/>
      <c r="FR1145" s="3"/>
      <c r="FS1145" s="3"/>
      <c r="FT1145" s="3"/>
      <c r="FU1145" s="3"/>
      <c r="FV1145" s="3"/>
      <c r="FW1145" s="3"/>
      <c r="FX1145" s="3"/>
      <c r="FY1145" s="3"/>
    </row>
    <row r="1146" spans="7:181" ht="15" x14ac:dyDescent="0.25">
      <c r="G1146" s="2"/>
      <c r="H1146" s="2"/>
      <c r="I1146" s="2"/>
      <c r="J1146" s="2"/>
      <c r="K1146" s="2"/>
      <c r="L1146" s="3"/>
      <c r="M1146" s="3"/>
      <c r="N1146" s="3"/>
      <c r="O1146" s="3"/>
      <c r="P1146" s="3"/>
      <c r="Q1146" s="3"/>
      <c r="R1146" s="3"/>
      <c r="S1146" s="3"/>
      <c r="T1146" s="3"/>
      <c r="U1146" s="4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4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4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4"/>
      <c r="BI1146" s="3"/>
      <c r="BJ1146" s="3"/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  <c r="DI1146" s="3"/>
      <c r="DJ1146" s="3"/>
      <c r="DK1146" s="3"/>
      <c r="DL1146" s="3"/>
      <c r="DM1146" s="3"/>
      <c r="DN1146" s="3"/>
      <c r="DO1146" s="3"/>
      <c r="DP1146" s="3"/>
      <c r="DQ1146" s="3"/>
      <c r="DR1146" s="3"/>
      <c r="DS1146" s="3"/>
      <c r="DT1146" s="3"/>
      <c r="DU1146" s="3"/>
      <c r="DV1146" s="3"/>
      <c r="DW1146" s="3"/>
      <c r="DX1146" s="3"/>
      <c r="DY1146" s="3"/>
      <c r="DZ1146" s="3"/>
      <c r="EA1146" s="3"/>
      <c r="EB1146" s="3"/>
      <c r="EC1146" s="3"/>
      <c r="ED1146" s="3"/>
      <c r="EE1146" s="3"/>
      <c r="EF1146" s="3"/>
      <c r="EG1146" s="3"/>
      <c r="EH1146" s="3"/>
      <c r="EI1146" s="3"/>
      <c r="EJ1146" s="3"/>
      <c r="EK1146" s="3"/>
      <c r="EL1146" s="3"/>
      <c r="EM1146" s="3"/>
      <c r="EN1146" s="3"/>
      <c r="EO1146" s="3"/>
      <c r="EP1146" s="3"/>
      <c r="EQ1146" s="3"/>
      <c r="ER1146" s="3"/>
      <c r="ES1146" s="3"/>
      <c r="ET1146" s="3"/>
      <c r="EU1146" s="3"/>
      <c r="EV1146" s="3"/>
      <c r="EW1146" s="3"/>
      <c r="EX1146" s="3"/>
      <c r="EY1146" s="3"/>
      <c r="EZ1146" s="3"/>
      <c r="FA1146" s="3"/>
      <c r="FB1146" s="3"/>
      <c r="FC1146" s="3"/>
      <c r="FD1146" s="3"/>
      <c r="FE1146" s="3"/>
      <c r="FF1146" s="3"/>
      <c r="FG1146" s="3"/>
      <c r="FH1146" s="3"/>
      <c r="FI1146" s="3"/>
      <c r="FJ1146" s="3"/>
      <c r="FK1146" s="3"/>
      <c r="FL1146" s="3"/>
      <c r="FM1146" s="3"/>
      <c r="FN1146" s="3"/>
      <c r="FO1146" s="3"/>
      <c r="FP1146" s="3"/>
      <c r="FQ1146" s="3"/>
      <c r="FR1146" s="3"/>
      <c r="FS1146" s="3"/>
      <c r="FT1146" s="3"/>
      <c r="FU1146" s="3"/>
      <c r="FV1146" s="3"/>
      <c r="FW1146" s="3"/>
      <c r="FX1146" s="3"/>
      <c r="FY1146" s="3"/>
    </row>
    <row r="1147" spans="7:181" ht="15" x14ac:dyDescent="0.25">
      <c r="G1147" s="2"/>
      <c r="H1147" s="2"/>
      <c r="I1147" s="2"/>
      <c r="J1147" s="2"/>
      <c r="K1147" s="2"/>
      <c r="L1147" s="3"/>
      <c r="M1147" s="3"/>
      <c r="N1147" s="3"/>
      <c r="O1147" s="3"/>
      <c r="P1147" s="3"/>
      <c r="Q1147" s="3"/>
      <c r="R1147" s="3"/>
      <c r="S1147" s="3"/>
      <c r="T1147" s="3"/>
      <c r="U1147" s="4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4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4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4"/>
      <c r="BI1147" s="3"/>
      <c r="BJ1147" s="3"/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  <c r="DI1147" s="3"/>
      <c r="DJ1147" s="3"/>
      <c r="DK1147" s="3"/>
      <c r="DL1147" s="3"/>
      <c r="DM1147" s="3"/>
      <c r="DN1147" s="3"/>
      <c r="DO1147" s="3"/>
      <c r="DP1147" s="3"/>
      <c r="DQ1147" s="3"/>
      <c r="DR1147" s="3"/>
      <c r="DS1147" s="3"/>
      <c r="DT1147" s="3"/>
      <c r="DU1147" s="3"/>
      <c r="DV1147" s="3"/>
      <c r="DW1147" s="3"/>
      <c r="DX1147" s="3"/>
      <c r="DY1147" s="3"/>
      <c r="DZ1147" s="3"/>
      <c r="EA1147" s="3"/>
      <c r="EB1147" s="3"/>
      <c r="EC1147" s="3"/>
      <c r="ED1147" s="3"/>
      <c r="EE1147" s="3"/>
      <c r="EF1147" s="3"/>
      <c r="EG1147" s="3"/>
      <c r="EH1147" s="3"/>
      <c r="EI1147" s="3"/>
      <c r="EJ1147" s="3"/>
      <c r="EK1147" s="3"/>
      <c r="EL1147" s="3"/>
      <c r="EM1147" s="3"/>
      <c r="EN1147" s="3"/>
      <c r="EO1147" s="3"/>
      <c r="EP1147" s="3"/>
      <c r="EQ1147" s="3"/>
      <c r="ER1147" s="3"/>
      <c r="ES1147" s="3"/>
      <c r="ET1147" s="3"/>
      <c r="EU1147" s="3"/>
      <c r="EV1147" s="3"/>
      <c r="EW1147" s="3"/>
      <c r="EX1147" s="3"/>
      <c r="EY1147" s="3"/>
      <c r="EZ1147" s="3"/>
      <c r="FA1147" s="3"/>
      <c r="FB1147" s="3"/>
      <c r="FC1147" s="3"/>
      <c r="FD1147" s="3"/>
      <c r="FE1147" s="3"/>
      <c r="FF1147" s="3"/>
      <c r="FG1147" s="3"/>
      <c r="FH1147" s="3"/>
      <c r="FI1147" s="3"/>
      <c r="FJ1147" s="3"/>
      <c r="FK1147" s="3"/>
      <c r="FL1147" s="3"/>
      <c r="FM1147" s="3"/>
      <c r="FN1147" s="3"/>
      <c r="FO1147" s="3"/>
      <c r="FP1147" s="3"/>
      <c r="FQ1147" s="3"/>
      <c r="FR1147" s="3"/>
      <c r="FS1147" s="3"/>
      <c r="FT1147" s="3"/>
      <c r="FU1147" s="3"/>
      <c r="FV1147" s="3"/>
      <c r="FW1147" s="3"/>
      <c r="FX1147" s="3"/>
      <c r="FY1147" s="3"/>
    </row>
    <row r="1148" spans="7:181" ht="15" x14ac:dyDescent="0.25">
      <c r="G1148" s="2"/>
      <c r="H1148" s="2"/>
      <c r="I1148" s="2"/>
      <c r="J1148" s="2"/>
      <c r="K1148" s="2"/>
      <c r="L1148" s="3"/>
      <c r="M1148" s="3"/>
      <c r="N1148" s="3"/>
      <c r="O1148" s="3"/>
      <c r="P1148" s="3"/>
      <c r="Q1148" s="3"/>
      <c r="R1148" s="3"/>
      <c r="S1148" s="3"/>
      <c r="T1148" s="3"/>
      <c r="U1148" s="4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4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4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4"/>
      <c r="BI1148" s="3"/>
      <c r="BJ1148" s="3"/>
      <c r="BK1148" s="3"/>
      <c r="BL1148" s="3"/>
      <c r="BM1148" s="3"/>
      <c r="BN1148" s="3"/>
      <c r="BO1148" s="3"/>
      <c r="BP1148" s="3"/>
      <c r="BQ1148" s="3"/>
      <c r="BR1148" s="3"/>
      <c r="BS1148" s="3"/>
      <c r="BT1148" s="3"/>
      <c r="BU1148" s="3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  <c r="DI1148" s="3"/>
      <c r="DJ1148" s="3"/>
      <c r="DK1148" s="3"/>
      <c r="DL1148" s="3"/>
      <c r="DM1148" s="3"/>
      <c r="DN1148" s="3"/>
      <c r="DO1148" s="3"/>
      <c r="DP1148" s="3"/>
      <c r="DQ1148" s="3"/>
      <c r="DR1148" s="3"/>
      <c r="DS1148" s="3"/>
      <c r="DT1148" s="3"/>
      <c r="DU1148" s="3"/>
      <c r="DV1148" s="3"/>
      <c r="DW1148" s="3"/>
      <c r="DX1148" s="3"/>
      <c r="DY1148" s="3"/>
      <c r="DZ1148" s="3"/>
      <c r="EA1148" s="3"/>
      <c r="EB1148" s="3"/>
      <c r="EC1148" s="3"/>
      <c r="ED1148" s="3"/>
      <c r="EE1148" s="3"/>
      <c r="EF1148" s="3"/>
      <c r="EG1148" s="3"/>
      <c r="EH1148" s="3"/>
      <c r="EI1148" s="3"/>
      <c r="EJ1148" s="3"/>
      <c r="EK1148" s="3"/>
      <c r="EL1148" s="3"/>
      <c r="EM1148" s="3"/>
      <c r="EN1148" s="3"/>
      <c r="EO1148" s="3"/>
      <c r="EP1148" s="3"/>
      <c r="EQ1148" s="3"/>
      <c r="ER1148" s="3"/>
      <c r="ES1148" s="3"/>
      <c r="ET1148" s="3"/>
      <c r="EU1148" s="3"/>
      <c r="EV1148" s="3"/>
      <c r="EW1148" s="3"/>
      <c r="EX1148" s="3"/>
      <c r="EY1148" s="3"/>
      <c r="EZ1148" s="3"/>
      <c r="FA1148" s="3"/>
      <c r="FB1148" s="3"/>
      <c r="FC1148" s="3"/>
      <c r="FD1148" s="3"/>
      <c r="FE1148" s="3"/>
      <c r="FF1148" s="3"/>
      <c r="FG1148" s="3"/>
      <c r="FH1148" s="3"/>
      <c r="FI1148" s="3"/>
      <c r="FJ1148" s="3"/>
      <c r="FK1148" s="3"/>
      <c r="FL1148" s="3"/>
      <c r="FM1148" s="3"/>
      <c r="FN1148" s="3"/>
      <c r="FO1148" s="3"/>
      <c r="FP1148" s="3"/>
      <c r="FQ1148" s="3"/>
      <c r="FR1148" s="3"/>
      <c r="FS1148" s="3"/>
      <c r="FT1148" s="3"/>
      <c r="FU1148" s="3"/>
      <c r="FV1148" s="3"/>
      <c r="FW1148" s="3"/>
      <c r="FX1148" s="3"/>
      <c r="FY1148" s="3"/>
    </row>
    <row r="1149" spans="7:181" ht="15" x14ac:dyDescent="0.25">
      <c r="G1149" s="2"/>
      <c r="H1149" s="2"/>
      <c r="I1149" s="2"/>
      <c r="J1149" s="2"/>
      <c r="K1149" s="2"/>
      <c r="L1149" s="3"/>
      <c r="M1149" s="3"/>
      <c r="N1149" s="3"/>
      <c r="O1149" s="3"/>
      <c r="P1149" s="3"/>
      <c r="Q1149" s="3"/>
      <c r="R1149" s="3"/>
      <c r="S1149" s="3"/>
      <c r="T1149" s="3"/>
      <c r="U1149" s="4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4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4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4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  <c r="DI1149" s="3"/>
      <c r="DJ1149" s="3"/>
      <c r="DK1149" s="3"/>
      <c r="DL1149" s="3"/>
      <c r="DM1149" s="3"/>
      <c r="DN1149" s="3"/>
      <c r="DO1149" s="3"/>
      <c r="DP1149" s="3"/>
      <c r="DQ1149" s="3"/>
      <c r="DR1149" s="3"/>
      <c r="DS1149" s="3"/>
      <c r="DT1149" s="3"/>
      <c r="DU1149" s="3"/>
      <c r="DV1149" s="3"/>
      <c r="DW1149" s="3"/>
      <c r="DX1149" s="3"/>
      <c r="DY1149" s="3"/>
      <c r="DZ1149" s="3"/>
      <c r="EA1149" s="3"/>
      <c r="EB1149" s="3"/>
      <c r="EC1149" s="3"/>
      <c r="ED1149" s="3"/>
      <c r="EE1149" s="3"/>
      <c r="EF1149" s="3"/>
      <c r="EG1149" s="3"/>
      <c r="EH1149" s="3"/>
      <c r="EI1149" s="3"/>
      <c r="EJ1149" s="3"/>
      <c r="EK1149" s="3"/>
      <c r="EL1149" s="3"/>
      <c r="EM1149" s="3"/>
      <c r="EN1149" s="3"/>
      <c r="EO1149" s="3"/>
      <c r="EP1149" s="3"/>
      <c r="EQ1149" s="3"/>
      <c r="ER1149" s="3"/>
      <c r="ES1149" s="3"/>
      <c r="ET1149" s="3"/>
      <c r="EU1149" s="3"/>
      <c r="EV1149" s="3"/>
      <c r="EW1149" s="3"/>
      <c r="EX1149" s="3"/>
      <c r="EY1149" s="3"/>
      <c r="EZ1149" s="3"/>
      <c r="FA1149" s="3"/>
      <c r="FB1149" s="3"/>
      <c r="FC1149" s="3"/>
      <c r="FD1149" s="3"/>
      <c r="FE1149" s="3"/>
      <c r="FF1149" s="3"/>
      <c r="FG1149" s="3"/>
      <c r="FH1149" s="3"/>
      <c r="FI1149" s="3"/>
      <c r="FJ1149" s="3"/>
      <c r="FK1149" s="3"/>
      <c r="FL1149" s="3"/>
      <c r="FM1149" s="3"/>
      <c r="FN1149" s="3"/>
      <c r="FO1149" s="3"/>
      <c r="FP1149" s="3"/>
      <c r="FQ1149" s="3"/>
      <c r="FR1149" s="3"/>
      <c r="FS1149" s="3"/>
      <c r="FT1149" s="3"/>
      <c r="FU1149" s="3"/>
      <c r="FV1149" s="3"/>
      <c r="FW1149" s="3"/>
      <c r="FX1149" s="3"/>
      <c r="FY1149" s="3"/>
    </row>
    <row r="1150" spans="7:181" ht="15" x14ac:dyDescent="0.25">
      <c r="G1150" s="2"/>
      <c r="H1150" s="2"/>
      <c r="I1150" s="2"/>
      <c r="J1150" s="2"/>
      <c r="K1150" s="2"/>
      <c r="L1150" s="3"/>
      <c r="M1150" s="3"/>
      <c r="N1150" s="3"/>
      <c r="O1150" s="3"/>
      <c r="P1150" s="3"/>
      <c r="Q1150" s="3"/>
      <c r="R1150" s="3"/>
      <c r="S1150" s="3"/>
      <c r="T1150" s="3"/>
      <c r="U1150" s="4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4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4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4"/>
      <c r="BI1150" s="3"/>
      <c r="BJ1150" s="3"/>
      <c r="BK1150" s="3"/>
      <c r="BL1150" s="3"/>
      <c r="BM1150" s="3"/>
      <c r="BN1150" s="3"/>
      <c r="BO1150" s="3"/>
      <c r="BP1150" s="3"/>
      <c r="BQ1150" s="3"/>
      <c r="BR1150" s="3"/>
      <c r="BS1150" s="3"/>
      <c r="BT1150" s="3"/>
      <c r="BU1150" s="3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  <c r="DI1150" s="3"/>
      <c r="DJ1150" s="3"/>
      <c r="DK1150" s="3"/>
      <c r="DL1150" s="3"/>
      <c r="DM1150" s="3"/>
      <c r="DN1150" s="3"/>
      <c r="DO1150" s="3"/>
      <c r="DP1150" s="3"/>
      <c r="DQ1150" s="3"/>
      <c r="DR1150" s="3"/>
      <c r="DS1150" s="3"/>
      <c r="DT1150" s="3"/>
      <c r="DU1150" s="3"/>
      <c r="DV1150" s="3"/>
      <c r="DW1150" s="3"/>
      <c r="DX1150" s="3"/>
      <c r="DY1150" s="3"/>
      <c r="DZ1150" s="3"/>
      <c r="EA1150" s="3"/>
      <c r="EB1150" s="3"/>
      <c r="EC1150" s="3"/>
      <c r="ED1150" s="3"/>
      <c r="EE1150" s="3"/>
      <c r="EF1150" s="3"/>
      <c r="EG1150" s="3"/>
      <c r="EH1150" s="3"/>
      <c r="EI1150" s="3"/>
      <c r="EJ1150" s="3"/>
      <c r="EK1150" s="3"/>
      <c r="EL1150" s="3"/>
      <c r="EM1150" s="3"/>
      <c r="EN1150" s="3"/>
      <c r="EO1150" s="3"/>
      <c r="EP1150" s="3"/>
      <c r="EQ1150" s="3"/>
      <c r="ER1150" s="3"/>
      <c r="ES1150" s="3"/>
      <c r="ET1150" s="3"/>
      <c r="EU1150" s="3"/>
      <c r="EV1150" s="3"/>
      <c r="EW1150" s="3"/>
      <c r="EX1150" s="3"/>
      <c r="EY1150" s="3"/>
      <c r="EZ1150" s="3"/>
      <c r="FA1150" s="3"/>
      <c r="FB1150" s="3"/>
      <c r="FC1150" s="3"/>
      <c r="FD1150" s="3"/>
      <c r="FE1150" s="3"/>
      <c r="FF1150" s="3"/>
      <c r="FG1150" s="3"/>
      <c r="FH1150" s="3"/>
      <c r="FI1150" s="3"/>
      <c r="FJ1150" s="3"/>
      <c r="FK1150" s="3"/>
      <c r="FL1150" s="3"/>
      <c r="FM1150" s="3"/>
      <c r="FN1150" s="3"/>
      <c r="FO1150" s="3"/>
      <c r="FP1150" s="3"/>
      <c r="FQ1150" s="3"/>
      <c r="FR1150" s="3"/>
      <c r="FS1150" s="3"/>
      <c r="FT1150" s="3"/>
      <c r="FU1150" s="3"/>
      <c r="FV1150" s="3"/>
      <c r="FW1150" s="3"/>
      <c r="FX1150" s="3"/>
      <c r="FY1150" s="3"/>
    </row>
    <row r="1151" spans="7:181" ht="15" x14ac:dyDescent="0.25">
      <c r="G1151" s="2"/>
      <c r="H1151" s="2"/>
      <c r="I1151" s="2"/>
      <c r="J1151" s="2"/>
      <c r="K1151" s="2"/>
      <c r="L1151" s="3"/>
      <c r="M1151" s="3"/>
      <c r="N1151" s="3"/>
      <c r="O1151" s="3"/>
      <c r="P1151" s="3"/>
      <c r="Q1151" s="3"/>
      <c r="R1151" s="3"/>
      <c r="S1151" s="3"/>
      <c r="T1151" s="3"/>
      <c r="U1151" s="4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4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4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4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  <c r="DI1151" s="3"/>
      <c r="DJ1151" s="3"/>
      <c r="DK1151" s="3"/>
      <c r="DL1151" s="3"/>
      <c r="DM1151" s="3"/>
      <c r="DN1151" s="3"/>
      <c r="DO1151" s="3"/>
      <c r="DP1151" s="3"/>
      <c r="DQ1151" s="3"/>
      <c r="DR1151" s="3"/>
      <c r="DS1151" s="3"/>
      <c r="DT1151" s="3"/>
      <c r="DU1151" s="3"/>
      <c r="DV1151" s="3"/>
      <c r="DW1151" s="3"/>
      <c r="DX1151" s="3"/>
      <c r="DY1151" s="3"/>
      <c r="DZ1151" s="3"/>
      <c r="EA1151" s="3"/>
      <c r="EB1151" s="3"/>
      <c r="EC1151" s="3"/>
      <c r="ED1151" s="3"/>
      <c r="EE1151" s="3"/>
      <c r="EF1151" s="3"/>
      <c r="EG1151" s="3"/>
      <c r="EH1151" s="3"/>
      <c r="EI1151" s="3"/>
      <c r="EJ1151" s="3"/>
      <c r="EK1151" s="3"/>
      <c r="EL1151" s="3"/>
      <c r="EM1151" s="3"/>
      <c r="EN1151" s="3"/>
      <c r="EO1151" s="3"/>
      <c r="EP1151" s="3"/>
      <c r="EQ1151" s="3"/>
      <c r="ER1151" s="3"/>
      <c r="ES1151" s="3"/>
      <c r="ET1151" s="3"/>
      <c r="EU1151" s="3"/>
      <c r="EV1151" s="3"/>
      <c r="EW1151" s="3"/>
      <c r="EX1151" s="3"/>
      <c r="EY1151" s="3"/>
      <c r="EZ1151" s="3"/>
      <c r="FA1151" s="3"/>
      <c r="FB1151" s="3"/>
      <c r="FC1151" s="3"/>
      <c r="FD1151" s="3"/>
      <c r="FE1151" s="3"/>
      <c r="FF1151" s="3"/>
      <c r="FG1151" s="3"/>
      <c r="FH1151" s="3"/>
      <c r="FI1151" s="3"/>
      <c r="FJ1151" s="3"/>
      <c r="FK1151" s="3"/>
      <c r="FL1151" s="3"/>
      <c r="FM1151" s="3"/>
      <c r="FN1151" s="3"/>
      <c r="FO1151" s="3"/>
      <c r="FP1151" s="3"/>
      <c r="FQ1151" s="3"/>
      <c r="FR1151" s="3"/>
      <c r="FS1151" s="3"/>
      <c r="FT1151" s="3"/>
      <c r="FU1151" s="3"/>
      <c r="FV1151" s="3"/>
      <c r="FW1151" s="3"/>
      <c r="FX1151" s="3"/>
      <c r="FY1151" s="3"/>
    </row>
    <row r="1152" spans="7:181" ht="15" x14ac:dyDescent="0.25">
      <c r="G1152" s="2"/>
      <c r="H1152" s="2"/>
      <c r="I1152" s="2"/>
      <c r="J1152" s="2"/>
      <c r="K1152" s="2"/>
      <c r="L1152" s="3"/>
      <c r="M1152" s="3"/>
      <c r="N1152" s="3"/>
      <c r="O1152" s="3"/>
      <c r="P1152" s="3"/>
      <c r="Q1152" s="3"/>
      <c r="R1152" s="3"/>
      <c r="S1152" s="3"/>
      <c r="T1152" s="3"/>
      <c r="U1152" s="4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4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4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4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  <c r="DI1152" s="3"/>
      <c r="DJ1152" s="3"/>
      <c r="DK1152" s="3"/>
      <c r="DL1152" s="3"/>
      <c r="DM1152" s="3"/>
      <c r="DN1152" s="3"/>
      <c r="DO1152" s="3"/>
      <c r="DP1152" s="3"/>
      <c r="DQ1152" s="3"/>
      <c r="DR1152" s="3"/>
      <c r="DS1152" s="3"/>
      <c r="DT1152" s="3"/>
      <c r="DU1152" s="3"/>
      <c r="DV1152" s="3"/>
      <c r="DW1152" s="3"/>
      <c r="DX1152" s="3"/>
      <c r="DY1152" s="3"/>
      <c r="DZ1152" s="3"/>
      <c r="EA1152" s="3"/>
      <c r="EB1152" s="3"/>
      <c r="EC1152" s="3"/>
      <c r="ED1152" s="3"/>
      <c r="EE1152" s="3"/>
      <c r="EF1152" s="3"/>
      <c r="EG1152" s="3"/>
      <c r="EH1152" s="3"/>
      <c r="EI1152" s="3"/>
      <c r="EJ1152" s="3"/>
      <c r="EK1152" s="3"/>
      <c r="EL1152" s="3"/>
      <c r="EM1152" s="3"/>
      <c r="EN1152" s="3"/>
      <c r="EO1152" s="3"/>
      <c r="EP1152" s="3"/>
      <c r="EQ1152" s="3"/>
      <c r="ER1152" s="3"/>
      <c r="ES1152" s="3"/>
      <c r="ET1152" s="3"/>
      <c r="EU1152" s="3"/>
      <c r="EV1152" s="3"/>
      <c r="EW1152" s="3"/>
      <c r="EX1152" s="3"/>
      <c r="EY1152" s="3"/>
      <c r="EZ1152" s="3"/>
      <c r="FA1152" s="3"/>
      <c r="FB1152" s="3"/>
      <c r="FC1152" s="3"/>
      <c r="FD1152" s="3"/>
      <c r="FE1152" s="3"/>
      <c r="FF1152" s="3"/>
      <c r="FG1152" s="3"/>
      <c r="FH1152" s="3"/>
      <c r="FI1152" s="3"/>
      <c r="FJ1152" s="3"/>
      <c r="FK1152" s="3"/>
      <c r="FL1152" s="3"/>
      <c r="FM1152" s="3"/>
      <c r="FN1152" s="3"/>
      <c r="FO1152" s="3"/>
      <c r="FP1152" s="3"/>
      <c r="FQ1152" s="3"/>
      <c r="FR1152" s="3"/>
      <c r="FS1152" s="3"/>
      <c r="FT1152" s="3"/>
      <c r="FU1152" s="3"/>
      <c r="FV1152" s="3"/>
      <c r="FW1152" s="3"/>
      <c r="FX1152" s="3"/>
      <c r="FY1152" s="3"/>
    </row>
    <row r="1153" spans="7:181" ht="15" x14ac:dyDescent="0.25">
      <c r="G1153" s="2"/>
      <c r="H1153" s="2"/>
      <c r="I1153" s="2"/>
      <c r="J1153" s="2"/>
      <c r="K1153" s="2"/>
      <c r="L1153" s="3"/>
      <c r="M1153" s="3"/>
      <c r="N1153" s="3"/>
      <c r="O1153" s="3"/>
      <c r="P1153" s="3"/>
      <c r="Q1153" s="3"/>
      <c r="R1153" s="3"/>
      <c r="S1153" s="3"/>
      <c r="T1153" s="3"/>
      <c r="U1153" s="4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4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4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4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  <c r="DI1153" s="3"/>
      <c r="DJ1153" s="3"/>
      <c r="DK1153" s="3"/>
      <c r="DL1153" s="3"/>
      <c r="DM1153" s="3"/>
      <c r="DN1153" s="3"/>
      <c r="DO1153" s="3"/>
      <c r="DP1153" s="3"/>
      <c r="DQ1153" s="3"/>
      <c r="DR1153" s="3"/>
      <c r="DS1153" s="3"/>
      <c r="DT1153" s="3"/>
      <c r="DU1153" s="3"/>
      <c r="DV1153" s="3"/>
      <c r="DW1153" s="3"/>
      <c r="DX1153" s="3"/>
      <c r="DY1153" s="3"/>
      <c r="DZ1153" s="3"/>
      <c r="EA1153" s="3"/>
      <c r="EB1153" s="3"/>
      <c r="EC1153" s="3"/>
      <c r="ED1153" s="3"/>
      <c r="EE1153" s="3"/>
      <c r="EF1153" s="3"/>
      <c r="EG1153" s="3"/>
      <c r="EH1153" s="3"/>
      <c r="EI1153" s="3"/>
      <c r="EJ1153" s="3"/>
      <c r="EK1153" s="3"/>
      <c r="EL1153" s="3"/>
      <c r="EM1153" s="3"/>
      <c r="EN1153" s="3"/>
      <c r="EO1153" s="3"/>
      <c r="EP1153" s="3"/>
      <c r="EQ1153" s="3"/>
      <c r="ER1153" s="3"/>
      <c r="ES1153" s="3"/>
      <c r="ET1153" s="3"/>
      <c r="EU1153" s="3"/>
      <c r="EV1153" s="3"/>
      <c r="EW1153" s="3"/>
      <c r="EX1153" s="3"/>
      <c r="EY1153" s="3"/>
      <c r="EZ1153" s="3"/>
      <c r="FA1153" s="3"/>
      <c r="FB1153" s="3"/>
      <c r="FC1153" s="3"/>
      <c r="FD1153" s="3"/>
      <c r="FE1153" s="3"/>
      <c r="FF1153" s="3"/>
      <c r="FG1153" s="3"/>
      <c r="FH1153" s="3"/>
      <c r="FI1153" s="3"/>
      <c r="FJ1153" s="3"/>
      <c r="FK1153" s="3"/>
      <c r="FL1153" s="3"/>
      <c r="FM1153" s="3"/>
      <c r="FN1153" s="3"/>
      <c r="FO1153" s="3"/>
      <c r="FP1153" s="3"/>
      <c r="FQ1153" s="3"/>
      <c r="FR1153" s="3"/>
      <c r="FS1153" s="3"/>
      <c r="FT1153" s="3"/>
      <c r="FU1153" s="3"/>
      <c r="FV1153" s="3"/>
      <c r="FW1153" s="3"/>
      <c r="FX1153" s="3"/>
      <c r="FY1153" s="3"/>
    </row>
    <row r="1154" spans="7:181" ht="15" x14ac:dyDescent="0.25">
      <c r="G1154" s="2"/>
      <c r="H1154" s="2"/>
      <c r="I1154" s="2"/>
      <c r="J1154" s="2"/>
      <c r="K1154" s="2"/>
      <c r="L1154" s="3"/>
      <c r="M1154" s="3"/>
      <c r="N1154" s="3"/>
      <c r="O1154" s="3"/>
      <c r="P1154" s="3"/>
      <c r="Q1154" s="3"/>
      <c r="R1154" s="3"/>
      <c r="S1154" s="3"/>
      <c r="T1154" s="3"/>
      <c r="U1154" s="4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4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4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4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  <c r="DI1154" s="3"/>
      <c r="DJ1154" s="3"/>
      <c r="DK1154" s="3"/>
      <c r="DL1154" s="3"/>
      <c r="DM1154" s="3"/>
      <c r="DN1154" s="3"/>
      <c r="DO1154" s="3"/>
      <c r="DP1154" s="3"/>
      <c r="DQ1154" s="3"/>
      <c r="DR1154" s="3"/>
      <c r="DS1154" s="3"/>
      <c r="DT1154" s="3"/>
      <c r="DU1154" s="3"/>
      <c r="DV1154" s="3"/>
      <c r="DW1154" s="3"/>
      <c r="DX1154" s="3"/>
      <c r="DY1154" s="3"/>
      <c r="DZ1154" s="3"/>
      <c r="EA1154" s="3"/>
      <c r="EB1154" s="3"/>
      <c r="EC1154" s="3"/>
      <c r="ED1154" s="3"/>
      <c r="EE1154" s="3"/>
      <c r="EF1154" s="3"/>
      <c r="EG1154" s="3"/>
      <c r="EH1154" s="3"/>
      <c r="EI1154" s="3"/>
      <c r="EJ1154" s="3"/>
      <c r="EK1154" s="3"/>
      <c r="EL1154" s="3"/>
      <c r="EM1154" s="3"/>
      <c r="EN1154" s="3"/>
      <c r="EO1154" s="3"/>
      <c r="EP1154" s="3"/>
      <c r="EQ1154" s="3"/>
      <c r="ER1154" s="3"/>
      <c r="ES1154" s="3"/>
      <c r="ET1154" s="3"/>
      <c r="EU1154" s="3"/>
      <c r="EV1154" s="3"/>
      <c r="EW1154" s="3"/>
      <c r="EX1154" s="3"/>
      <c r="EY1154" s="3"/>
      <c r="EZ1154" s="3"/>
      <c r="FA1154" s="3"/>
      <c r="FB1154" s="3"/>
      <c r="FC1154" s="3"/>
      <c r="FD1154" s="3"/>
      <c r="FE1154" s="3"/>
      <c r="FF1154" s="3"/>
      <c r="FG1154" s="3"/>
      <c r="FH1154" s="3"/>
      <c r="FI1154" s="3"/>
      <c r="FJ1154" s="3"/>
      <c r="FK1154" s="3"/>
      <c r="FL1154" s="3"/>
      <c r="FM1154" s="3"/>
      <c r="FN1154" s="3"/>
      <c r="FO1154" s="3"/>
      <c r="FP1154" s="3"/>
      <c r="FQ1154" s="3"/>
      <c r="FR1154" s="3"/>
      <c r="FS1154" s="3"/>
      <c r="FT1154" s="3"/>
      <c r="FU1154" s="3"/>
      <c r="FV1154" s="3"/>
      <c r="FW1154" s="3"/>
      <c r="FX1154" s="3"/>
      <c r="FY1154" s="3"/>
    </row>
    <row r="1155" spans="7:181" ht="15" x14ac:dyDescent="0.25">
      <c r="G1155" s="2"/>
      <c r="H1155" s="2"/>
      <c r="I1155" s="2"/>
      <c r="J1155" s="2"/>
      <c r="K1155" s="2"/>
      <c r="L1155" s="3"/>
      <c r="M1155" s="3"/>
      <c r="N1155" s="3"/>
      <c r="O1155" s="3"/>
      <c r="P1155" s="3"/>
      <c r="Q1155" s="3"/>
      <c r="R1155" s="3"/>
      <c r="S1155" s="3"/>
      <c r="T1155" s="3"/>
      <c r="U1155" s="4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4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4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4"/>
      <c r="BI1155" s="3"/>
      <c r="BJ1155" s="3"/>
      <c r="BK1155" s="3"/>
      <c r="BL1155" s="3"/>
      <c r="BM1155" s="3"/>
      <c r="BN1155" s="3"/>
      <c r="BO1155" s="3"/>
      <c r="BP1155" s="3"/>
      <c r="BQ1155" s="3"/>
      <c r="BR1155" s="3"/>
      <c r="BS1155" s="3"/>
      <c r="BT1155" s="3"/>
      <c r="BU1155" s="3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  <c r="DI1155" s="3"/>
      <c r="DJ1155" s="3"/>
      <c r="DK1155" s="3"/>
      <c r="DL1155" s="3"/>
      <c r="DM1155" s="3"/>
      <c r="DN1155" s="3"/>
      <c r="DO1155" s="3"/>
      <c r="DP1155" s="3"/>
      <c r="DQ1155" s="3"/>
      <c r="DR1155" s="3"/>
      <c r="DS1155" s="3"/>
      <c r="DT1155" s="3"/>
      <c r="DU1155" s="3"/>
      <c r="DV1155" s="3"/>
      <c r="DW1155" s="3"/>
      <c r="DX1155" s="3"/>
      <c r="DY1155" s="3"/>
      <c r="DZ1155" s="3"/>
      <c r="EA1155" s="3"/>
      <c r="EB1155" s="3"/>
      <c r="EC1155" s="3"/>
      <c r="ED1155" s="3"/>
      <c r="EE1155" s="3"/>
      <c r="EF1155" s="3"/>
      <c r="EG1155" s="3"/>
      <c r="EH1155" s="3"/>
      <c r="EI1155" s="3"/>
      <c r="EJ1155" s="3"/>
      <c r="EK1155" s="3"/>
      <c r="EL1155" s="3"/>
      <c r="EM1155" s="3"/>
      <c r="EN1155" s="3"/>
      <c r="EO1155" s="3"/>
      <c r="EP1155" s="3"/>
      <c r="EQ1155" s="3"/>
      <c r="ER1155" s="3"/>
      <c r="ES1155" s="3"/>
      <c r="ET1155" s="3"/>
      <c r="EU1155" s="3"/>
      <c r="EV1155" s="3"/>
      <c r="EW1155" s="3"/>
      <c r="EX1155" s="3"/>
      <c r="EY1155" s="3"/>
      <c r="EZ1155" s="3"/>
      <c r="FA1155" s="3"/>
      <c r="FB1155" s="3"/>
      <c r="FC1155" s="3"/>
      <c r="FD1155" s="3"/>
      <c r="FE1155" s="3"/>
      <c r="FF1155" s="3"/>
      <c r="FG1155" s="3"/>
      <c r="FH1155" s="3"/>
      <c r="FI1155" s="3"/>
      <c r="FJ1155" s="3"/>
      <c r="FK1155" s="3"/>
      <c r="FL1155" s="3"/>
      <c r="FM1155" s="3"/>
      <c r="FN1155" s="3"/>
      <c r="FO1155" s="3"/>
      <c r="FP1155" s="3"/>
      <c r="FQ1155" s="3"/>
      <c r="FR1155" s="3"/>
      <c r="FS1155" s="3"/>
      <c r="FT1155" s="3"/>
      <c r="FU1155" s="3"/>
      <c r="FV1155" s="3"/>
      <c r="FW1155" s="3"/>
      <c r="FX1155" s="3"/>
      <c r="FY1155" s="3"/>
    </row>
    <row r="1156" spans="7:181" ht="15" x14ac:dyDescent="0.25">
      <c r="G1156" s="2"/>
      <c r="H1156" s="2"/>
      <c r="I1156" s="2"/>
      <c r="J1156" s="2"/>
      <c r="K1156" s="2"/>
      <c r="L1156" s="3"/>
      <c r="M1156" s="3"/>
      <c r="N1156" s="3"/>
      <c r="O1156" s="3"/>
      <c r="P1156" s="3"/>
      <c r="Q1156" s="3"/>
      <c r="R1156" s="3"/>
      <c r="S1156" s="3"/>
      <c r="T1156" s="3"/>
      <c r="U1156" s="4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4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4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4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  <c r="DI1156" s="3"/>
      <c r="DJ1156" s="3"/>
      <c r="DK1156" s="3"/>
      <c r="DL1156" s="3"/>
      <c r="DM1156" s="3"/>
      <c r="DN1156" s="3"/>
      <c r="DO1156" s="3"/>
      <c r="DP1156" s="3"/>
      <c r="DQ1156" s="3"/>
      <c r="DR1156" s="3"/>
      <c r="DS1156" s="3"/>
      <c r="DT1156" s="3"/>
      <c r="DU1156" s="3"/>
      <c r="DV1156" s="3"/>
      <c r="DW1156" s="3"/>
      <c r="DX1156" s="3"/>
      <c r="DY1156" s="3"/>
      <c r="DZ1156" s="3"/>
      <c r="EA1156" s="3"/>
      <c r="EB1156" s="3"/>
      <c r="EC1156" s="3"/>
      <c r="ED1156" s="3"/>
      <c r="EE1156" s="3"/>
      <c r="EF1156" s="3"/>
      <c r="EG1156" s="3"/>
      <c r="EH1156" s="3"/>
      <c r="EI1156" s="3"/>
      <c r="EJ1156" s="3"/>
      <c r="EK1156" s="3"/>
      <c r="EL1156" s="3"/>
      <c r="EM1156" s="3"/>
      <c r="EN1156" s="3"/>
      <c r="EO1156" s="3"/>
      <c r="EP1156" s="3"/>
      <c r="EQ1156" s="3"/>
      <c r="ER1156" s="3"/>
      <c r="ES1156" s="3"/>
      <c r="ET1156" s="3"/>
      <c r="EU1156" s="3"/>
      <c r="EV1156" s="3"/>
      <c r="EW1156" s="3"/>
      <c r="EX1156" s="3"/>
      <c r="EY1156" s="3"/>
      <c r="EZ1156" s="3"/>
      <c r="FA1156" s="3"/>
      <c r="FB1156" s="3"/>
      <c r="FC1156" s="3"/>
      <c r="FD1156" s="3"/>
      <c r="FE1156" s="3"/>
      <c r="FF1156" s="3"/>
      <c r="FG1156" s="3"/>
      <c r="FH1156" s="3"/>
      <c r="FI1156" s="3"/>
      <c r="FJ1156" s="3"/>
      <c r="FK1156" s="3"/>
      <c r="FL1156" s="3"/>
      <c r="FM1156" s="3"/>
      <c r="FN1156" s="3"/>
      <c r="FO1156" s="3"/>
      <c r="FP1156" s="3"/>
      <c r="FQ1156" s="3"/>
      <c r="FR1156" s="3"/>
      <c r="FS1156" s="3"/>
      <c r="FT1156" s="3"/>
      <c r="FU1156" s="3"/>
      <c r="FV1156" s="3"/>
      <c r="FW1156" s="3"/>
      <c r="FX1156" s="3"/>
      <c r="FY1156" s="3"/>
    </row>
    <row r="1157" spans="7:181" ht="15" x14ac:dyDescent="0.25">
      <c r="G1157" s="2"/>
      <c r="H1157" s="2"/>
      <c r="I1157" s="2"/>
      <c r="J1157" s="2"/>
      <c r="K1157" s="2"/>
      <c r="L1157" s="3"/>
      <c r="M1157" s="3"/>
      <c r="N1157" s="3"/>
      <c r="O1157" s="3"/>
      <c r="P1157" s="3"/>
      <c r="Q1157" s="3"/>
      <c r="R1157" s="3"/>
      <c r="S1157" s="3"/>
      <c r="T1157" s="3"/>
      <c r="U1157" s="4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4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4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4"/>
      <c r="BI1157" s="3"/>
      <c r="BJ1157" s="3"/>
      <c r="BK1157" s="3"/>
      <c r="BL1157" s="3"/>
      <c r="BM1157" s="3"/>
      <c r="BN1157" s="3"/>
      <c r="BO1157" s="3"/>
      <c r="BP1157" s="3"/>
      <c r="BQ1157" s="3"/>
      <c r="BR1157" s="3"/>
      <c r="BS1157" s="3"/>
      <c r="BT1157" s="3"/>
      <c r="BU1157" s="3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  <c r="DI1157" s="3"/>
      <c r="DJ1157" s="3"/>
      <c r="DK1157" s="3"/>
      <c r="DL1157" s="3"/>
      <c r="DM1157" s="3"/>
      <c r="DN1157" s="3"/>
      <c r="DO1157" s="3"/>
      <c r="DP1157" s="3"/>
      <c r="DQ1157" s="3"/>
      <c r="DR1157" s="3"/>
      <c r="DS1157" s="3"/>
      <c r="DT1157" s="3"/>
      <c r="DU1157" s="3"/>
      <c r="DV1157" s="3"/>
      <c r="DW1157" s="3"/>
      <c r="DX1157" s="3"/>
      <c r="DY1157" s="3"/>
      <c r="DZ1157" s="3"/>
      <c r="EA1157" s="3"/>
      <c r="EB1157" s="3"/>
      <c r="EC1157" s="3"/>
      <c r="ED1157" s="3"/>
      <c r="EE1157" s="3"/>
      <c r="EF1157" s="3"/>
      <c r="EG1157" s="3"/>
      <c r="EH1157" s="3"/>
      <c r="EI1157" s="3"/>
      <c r="EJ1157" s="3"/>
      <c r="EK1157" s="3"/>
      <c r="EL1157" s="3"/>
      <c r="EM1157" s="3"/>
      <c r="EN1157" s="3"/>
      <c r="EO1157" s="3"/>
      <c r="EP1157" s="3"/>
      <c r="EQ1157" s="3"/>
      <c r="ER1157" s="3"/>
      <c r="ES1157" s="3"/>
      <c r="ET1157" s="3"/>
      <c r="EU1157" s="3"/>
      <c r="EV1157" s="3"/>
      <c r="EW1157" s="3"/>
      <c r="EX1157" s="3"/>
      <c r="EY1157" s="3"/>
      <c r="EZ1157" s="3"/>
      <c r="FA1157" s="3"/>
      <c r="FB1157" s="3"/>
      <c r="FC1157" s="3"/>
      <c r="FD1157" s="3"/>
      <c r="FE1157" s="3"/>
      <c r="FF1157" s="3"/>
      <c r="FG1157" s="3"/>
      <c r="FH1157" s="3"/>
      <c r="FI1157" s="3"/>
      <c r="FJ1157" s="3"/>
      <c r="FK1157" s="3"/>
      <c r="FL1157" s="3"/>
      <c r="FM1157" s="3"/>
      <c r="FN1157" s="3"/>
      <c r="FO1157" s="3"/>
      <c r="FP1157" s="3"/>
      <c r="FQ1157" s="3"/>
      <c r="FR1157" s="3"/>
      <c r="FS1157" s="3"/>
      <c r="FT1157" s="3"/>
      <c r="FU1157" s="3"/>
      <c r="FV1157" s="3"/>
      <c r="FW1157" s="3"/>
      <c r="FX1157" s="3"/>
      <c r="FY1157" s="3"/>
    </row>
    <row r="1158" spans="7:181" ht="15" x14ac:dyDescent="0.25">
      <c r="G1158" s="2"/>
      <c r="H1158" s="2"/>
      <c r="I1158" s="2"/>
      <c r="J1158" s="2"/>
      <c r="K1158" s="2"/>
      <c r="L1158" s="3"/>
      <c r="M1158" s="3"/>
      <c r="N1158" s="3"/>
      <c r="O1158" s="3"/>
      <c r="P1158" s="3"/>
      <c r="Q1158" s="3"/>
      <c r="R1158" s="3"/>
      <c r="S1158" s="3"/>
      <c r="T1158" s="3"/>
      <c r="U1158" s="4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4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4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4"/>
      <c r="BI1158" s="3"/>
      <c r="BJ1158" s="3"/>
      <c r="BK1158" s="3"/>
      <c r="BL1158" s="3"/>
      <c r="BM1158" s="3"/>
      <c r="BN1158" s="3"/>
      <c r="BO1158" s="3"/>
      <c r="BP1158" s="3"/>
      <c r="BQ1158" s="3"/>
      <c r="BR1158" s="3"/>
      <c r="BS1158" s="3"/>
      <c r="BT1158" s="3"/>
      <c r="BU1158" s="3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  <c r="DI1158" s="3"/>
      <c r="DJ1158" s="3"/>
      <c r="DK1158" s="3"/>
      <c r="DL1158" s="3"/>
      <c r="DM1158" s="3"/>
      <c r="DN1158" s="3"/>
      <c r="DO1158" s="3"/>
      <c r="DP1158" s="3"/>
      <c r="DQ1158" s="3"/>
      <c r="DR1158" s="3"/>
      <c r="DS1158" s="3"/>
      <c r="DT1158" s="3"/>
      <c r="DU1158" s="3"/>
      <c r="DV1158" s="3"/>
      <c r="DW1158" s="3"/>
      <c r="DX1158" s="3"/>
      <c r="DY1158" s="3"/>
      <c r="DZ1158" s="3"/>
      <c r="EA1158" s="3"/>
      <c r="EB1158" s="3"/>
      <c r="EC1158" s="3"/>
      <c r="ED1158" s="3"/>
      <c r="EE1158" s="3"/>
      <c r="EF1158" s="3"/>
      <c r="EG1158" s="3"/>
      <c r="EH1158" s="3"/>
      <c r="EI1158" s="3"/>
      <c r="EJ1158" s="3"/>
      <c r="EK1158" s="3"/>
      <c r="EL1158" s="3"/>
      <c r="EM1158" s="3"/>
      <c r="EN1158" s="3"/>
      <c r="EO1158" s="3"/>
      <c r="EP1158" s="3"/>
      <c r="EQ1158" s="3"/>
      <c r="ER1158" s="3"/>
      <c r="ES1158" s="3"/>
      <c r="ET1158" s="3"/>
      <c r="EU1158" s="3"/>
      <c r="EV1158" s="3"/>
      <c r="EW1158" s="3"/>
      <c r="EX1158" s="3"/>
      <c r="EY1158" s="3"/>
      <c r="EZ1158" s="3"/>
      <c r="FA1158" s="3"/>
      <c r="FB1158" s="3"/>
      <c r="FC1158" s="3"/>
      <c r="FD1158" s="3"/>
      <c r="FE1158" s="3"/>
      <c r="FF1158" s="3"/>
      <c r="FG1158" s="3"/>
      <c r="FH1158" s="3"/>
      <c r="FI1158" s="3"/>
      <c r="FJ1158" s="3"/>
      <c r="FK1158" s="3"/>
      <c r="FL1158" s="3"/>
      <c r="FM1158" s="3"/>
      <c r="FN1158" s="3"/>
      <c r="FO1158" s="3"/>
      <c r="FP1158" s="3"/>
      <c r="FQ1158" s="3"/>
      <c r="FR1158" s="3"/>
      <c r="FS1158" s="3"/>
      <c r="FT1158" s="3"/>
      <c r="FU1158" s="3"/>
      <c r="FV1158" s="3"/>
      <c r="FW1158" s="3"/>
      <c r="FX1158" s="3"/>
      <c r="FY1158" s="3"/>
    </row>
    <row r="1159" spans="7:181" ht="15" x14ac:dyDescent="0.25">
      <c r="G1159" s="2"/>
      <c r="H1159" s="2"/>
      <c r="I1159" s="2"/>
      <c r="J1159" s="2"/>
      <c r="K1159" s="2"/>
      <c r="L1159" s="3"/>
      <c r="M1159" s="3"/>
      <c r="N1159" s="3"/>
      <c r="O1159" s="3"/>
      <c r="P1159" s="3"/>
      <c r="Q1159" s="3"/>
      <c r="R1159" s="3"/>
      <c r="S1159" s="3"/>
      <c r="T1159" s="3"/>
      <c r="U1159" s="4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4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4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4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  <c r="DS1159" s="3"/>
      <c r="DT1159" s="3"/>
      <c r="DU1159" s="3"/>
      <c r="DV1159" s="3"/>
      <c r="DW1159" s="3"/>
      <c r="DX1159" s="3"/>
      <c r="DY1159" s="3"/>
      <c r="DZ1159" s="3"/>
      <c r="EA1159" s="3"/>
      <c r="EB1159" s="3"/>
      <c r="EC1159" s="3"/>
      <c r="ED1159" s="3"/>
      <c r="EE1159" s="3"/>
      <c r="EF1159" s="3"/>
      <c r="EG1159" s="3"/>
      <c r="EH1159" s="3"/>
      <c r="EI1159" s="3"/>
      <c r="EJ1159" s="3"/>
      <c r="EK1159" s="3"/>
      <c r="EL1159" s="3"/>
      <c r="EM1159" s="3"/>
      <c r="EN1159" s="3"/>
      <c r="EO1159" s="3"/>
      <c r="EP1159" s="3"/>
      <c r="EQ1159" s="3"/>
      <c r="ER1159" s="3"/>
      <c r="ES1159" s="3"/>
      <c r="ET1159" s="3"/>
      <c r="EU1159" s="3"/>
      <c r="EV1159" s="3"/>
      <c r="EW1159" s="3"/>
      <c r="EX1159" s="3"/>
      <c r="EY1159" s="3"/>
      <c r="EZ1159" s="3"/>
      <c r="FA1159" s="3"/>
      <c r="FB1159" s="3"/>
      <c r="FC1159" s="3"/>
      <c r="FD1159" s="3"/>
      <c r="FE1159" s="3"/>
      <c r="FF1159" s="3"/>
      <c r="FG1159" s="3"/>
      <c r="FH1159" s="3"/>
      <c r="FI1159" s="3"/>
      <c r="FJ1159" s="3"/>
      <c r="FK1159" s="3"/>
      <c r="FL1159" s="3"/>
      <c r="FM1159" s="3"/>
      <c r="FN1159" s="3"/>
      <c r="FO1159" s="3"/>
      <c r="FP1159" s="3"/>
      <c r="FQ1159" s="3"/>
      <c r="FR1159" s="3"/>
      <c r="FS1159" s="3"/>
      <c r="FT1159" s="3"/>
      <c r="FU1159" s="3"/>
      <c r="FV1159" s="3"/>
      <c r="FW1159" s="3"/>
      <c r="FX1159" s="3"/>
      <c r="FY1159" s="3"/>
    </row>
    <row r="1160" spans="7:181" ht="15" x14ac:dyDescent="0.25">
      <c r="G1160" s="2"/>
      <c r="H1160" s="2"/>
      <c r="I1160" s="2"/>
      <c r="J1160" s="2"/>
      <c r="K1160" s="2"/>
      <c r="L1160" s="3"/>
      <c r="M1160" s="3"/>
      <c r="N1160" s="3"/>
      <c r="O1160" s="3"/>
      <c r="P1160" s="3"/>
      <c r="Q1160" s="3"/>
      <c r="R1160" s="3"/>
      <c r="S1160" s="3"/>
      <c r="T1160" s="3"/>
      <c r="U1160" s="4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4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4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4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  <c r="DI1160" s="3"/>
      <c r="DJ1160" s="3"/>
      <c r="DK1160" s="3"/>
      <c r="DL1160" s="3"/>
      <c r="DM1160" s="3"/>
      <c r="DN1160" s="3"/>
      <c r="DO1160" s="3"/>
      <c r="DP1160" s="3"/>
      <c r="DQ1160" s="3"/>
      <c r="DR1160" s="3"/>
      <c r="DS1160" s="3"/>
      <c r="DT1160" s="3"/>
      <c r="DU1160" s="3"/>
      <c r="DV1160" s="3"/>
      <c r="DW1160" s="3"/>
      <c r="DX1160" s="3"/>
      <c r="DY1160" s="3"/>
      <c r="DZ1160" s="3"/>
      <c r="EA1160" s="3"/>
      <c r="EB1160" s="3"/>
      <c r="EC1160" s="3"/>
      <c r="ED1160" s="3"/>
      <c r="EE1160" s="3"/>
      <c r="EF1160" s="3"/>
      <c r="EG1160" s="3"/>
      <c r="EH1160" s="3"/>
      <c r="EI1160" s="3"/>
      <c r="EJ1160" s="3"/>
      <c r="EK1160" s="3"/>
      <c r="EL1160" s="3"/>
      <c r="EM1160" s="3"/>
      <c r="EN1160" s="3"/>
      <c r="EO1160" s="3"/>
      <c r="EP1160" s="3"/>
      <c r="EQ1160" s="3"/>
      <c r="ER1160" s="3"/>
      <c r="ES1160" s="3"/>
      <c r="ET1160" s="3"/>
      <c r="EU1160" s="3"/>
      <c r="EV1160" s="3"/>
      <c r="EW1160" s="3"/>
      <c r="EX1160" s="3"/>
      <c r="EY1160" s="3"/>
      <c r="EZ1160" s="3"/>
      <c r="FA1160" s="3"/>
      <c r="FB1160" s="3"/>
      <c r="FC1160" s="3"/>
      <c r="FD1160" s="3"/>
      <c r="FE1160" s="3"/>
      <c r="FF1160" s="3"/>
      <c r="FG1160" s="3"/>
      <c r="FH1160" s="3"/>
      <c r="FI1160" s="3"/>
      <c r="FJ1160" s="3"/>
      <c r="FK1160" s="3"/>
      <c r="FL1160" s="3"/>
      <c r="FM1160" s="3"/>
      <c r="FN1160" s="3"/>
      <c r="FO1160" s="3"/>
      <c r="FP1160" s="3"/>
      <c r="FQ1160" s="3"/>
      <c r="FR1160" s="3"/>
      <c r="FS1160" s="3"/>
      <c r="FT1160" s="3"/>
      <c r="FU1160" s="3"/>
      <c r="FV1160" s="3"/>
      <c r="FW1160" s="3"/>
      <c r="FX1160" s="3"/>
      <c r="FY1160" s="3"/>
    </row>
    <row r="1161" spans="7:181" ht="15" x14ac:dyDescent="0.25">
      <c r="G1161" s="2"/>
      <c r="H1161" s="2"/>
      <c r="I1161" s="2"/>
      <c r="J1161" s="2"/>
      <c r="K1161" s="2"/>
      <c r="L1161" s="3"/>
      <c r="M1161" s="3"/>
      <c r="N1161" s="3"/>
      <c r="O1161" s="3"/>
      <c r="P1161" s="3"/>
      <c r="Q1161" s="3"/>
      <c r="R1161" s="3"/>
      <c r="S1161" s="3"/>
      <c r="T1161" s="3"/>
      <c r="U1161" s="4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4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4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4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  <c r="DS1161" s="3"/>
      <c r="DT1161" s="3"/>
      <c r="DU1161" s="3"/>
      <c r="DV1161" s="3"/>
      <c r="DW1161" s="3"/>
      <c r="DX1161" s="3"/>
      <c r="DY1161" s="3"/>
      <c r="DZ1161" s="3"/>
      <c r="EA1161" s="3"/>
      <c r="EB1161" s="3"/>
      <c r="EC1161" s="3"/>
      <c r="ED1161" s="3"/>
      <c r="EE1161" s="3"/>
      <c r="EF1161" s="3"/>
      <c r="EG1161" s="3"/>
      <c r="EH1161" s="3"/>
      <c r="EI1161" s="3"/>
      <c r="EJ1161" s="3"/>
      <c r="EK1161" s="3"/>
      <c r="EL1161" s="3"/>
      <c r="EM1161" s="3"/>
      <c r="EN1161" s="3"/>
      <c r="EO1161" s="3"/>
      <c r="EP1161" s="3"/>
      <c r="EQ1161" s="3"/>
      <c r="ER1161" s="3"/>
      <c r="ES1161" s="3"/>
      <c r="ET1161" s="3"/>
      <c r="EU1161" s="3"/>
      <c r="EV1161" s="3"/>
      <c r="EW1161" s="3"/>
      <c r="EX1161" s="3"/>
      <c r="EY1161" s="3"/>
      <c r="EZ1161" s="3"/>
      <c r="FA1161" s="3"/>
      <c r="FB1161" s="3"/>
      <c r="FC1161" s="3"/>
      <c r="FD1161" s="3"/>
      <c r="FE1161" s="3"/>
      <c r="FF1161" s="3"/>
      <c r="FG1161" s="3"/>
      <c r="FH1161" s="3"/>
      <c r="FI1161" s="3"/>
      <c r="FJ1161" s="3"/>
      <c r="FK1161" s="3"/>
      <c r="FL1161" s="3"/>
      <c r="FM1161" s="3"/>
      <c r="FN1161" s="3"/>
      <c r="FO1161" s="3"/>
      <c r="FP1161" s="3"/>
      <c r="FQ1161" s="3"/>
      <c r="FR1161" s="3"/>
      <c r="FS1161" s="3"/>
      <c r="FT1161" s="3"/>
      <c r="FU1161" s="3"/>
      <c r="FV1161" s="3"/>
      <c r="FW1161" s="3"/>
      <c r="FX1161" s="3"/>
      <c r="FY1161" s="3"/>
    </row>
    <row r="1162" spans="7:181" ht="15" x14ac:dyDescent="0.25">
      <c r="G1162" s="2"/>
      <c r="H1162" s="2"/>
      <c r="I1162" s="2"/>
      <c r="J1162" s="2"/>
      <c r="K1162" s="2"/>
      <c r="L1162" s="3"/>
      <c r="M1162" s="3"/>
      <c r="N1162" s="3"/>
      <c r="O1162" s="3"/>
      <c r="P1162" s="3"/>
      <c r="Q1162" s="3"/>
      <c r="R1162" s="3"/>
      <c r="S1162" s="3"/>
      <c r="T1162" s="3"/>
      <c r="U1162" s="4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4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4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4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  <c r="DI1162" s="3"/>
      <c r="DJ1162" s="3"/>
      <c r="DK1162" s="3"/>
      <c r="DL1162" s="3"/>
      <c r="DM1162" s="3"/>
      <c r="DN1162" s="3"/>
      <c r="DO1162" s="3"/>
      <c r="DP1162" s="3"/>
      <c r="DQ1162" s="3"/>
      <c r="DR1162" s="3"/>
      <c r="DS1162" s="3"/>
      <c r="DT1162" s="3"/>
      <c r="DU1162" s="3"/>
      <c r="DV1162" s="3"/>
      <c r="DW1162" s="3"/>
      <c r="DX1162" s="3"/>
      <c r="DY1162" s="3"/>
      <c r="DZ1162" s="3"/>
      <c r="EA1162" s="3"/>
      <c r="EB1162" s="3"/>
      <c r="EC1162" s="3"/>
      <c r="ED1162" s="3"/>
      <c r="EE1162" s="3"/>
      <c r="EF1162" s="3"/>
      <c r="EG1162" s="3"/>
      <c r="EH1162" s="3"/>
      <c r="EI1162" s="3"/>
      <c r="EJ1162" s="3"/>
      <c r="EK1162" s="3"/>
      <c r="EL1162" s="3"/>
      <c r="EM1162" s="3"/>
      <c r="EN1162" s="3"/>
      <c r="EO1162" s="3"/>
      <c r="EP1162" s="3"/>
      <c r="EQ1162" s="3"/>
      <c r="ER1162" s="3"/>
      <c r="ES1162" s="3"/>
      <c r="ET1162" s="3"/>
      <c r="EU1162" s="3"/>
      <c r="EV1162" s="3"/>
      <c r="EW1162" s="3"/>
      <c r="EX1162" s="3"/>
      <c r="EY1162" s="3"/>
      <c r="EZ1162" s="3"/>
      <c r="FA1162" s="3"/>
      <c r="FB1162" s="3"/>
      <c r="FC1162" s="3"/>
      <c r="FD1162" s="3"/>
      <c r="FE1162" s="3"/>
      <c r="FF1162" s="3"/>
      <c r="FG1162" s="3"/>
      <c r="FH1162" s="3"/>
      <c r="FI1162" s="3"/>
      <c r="FJ1162" s="3"/>
      <c r="FK1162" s="3"/>
      <c r="FL1162" s="3"/>
      <c r="FM1162" s="3"/>
      <c r="FN1162" s="3"/>
      <c r="FO1162" s="3"/>
      <c r="FP1162" s="3"/>
      <c r="FQ1162" s="3"/>
      <c r="FR1162" s="3"/>
      <c r="FS1162" s="3"/>
      <c r="FT1162" s="3"/>
      <c r="FU1162" s="3"/>
      <c r="FV1162" s="3"/>
      <c r="FW1162" s="3"/>
      <c r="FX1162" s="3"/>
      <c r="FY1162" s="3"/>
    </row>
    <row r="1163" spans="7:181" ht="15" x14ac:dyDescent="0.25">
      <c r="G1163" s="2"/>
      <c r="H1163" s="2"/>
      <c r="I1163" s="2"/>
      <c r="J1163" s="2"/>
      <c r="K1163" s="2"/>
      <c r="L1163" s="3"/>
      <c r="M1163" s="3"/>
      <c r="N1163" s="3"/>
      <c r="O1163" s="3"/>
      <c r="P1163" s="3"/>
      <c r="Q1163" s="3"/>
      <c r="R1163" s="3"/>
      <c r="S1163" s="3"/>
      <c r="T1163" s="3"/>
      <c r="U1163" s="4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4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4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4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  <c r="DI1163" s="3"/>
      <c r="DJ1163" s="3"/>
      <c r="DK1163" s="3"/>
      <c r="DL1163" s="3"/>
      <c r="DM1163" s="3"/>
      <c r="DN1163" s="3"/>
      <c r="DO1163" s="3"/>
      <c r="DP1163" s="3"/>
      <c r="DQ1163" s="3"/>
      <c r="DR1163" s="3"/>
      <c r="DS1163" s="3"/>
      <c r="DT1163" s="3"/>
      <c r="DU1163" s="3"/>
      <c r="DV1163" s="3"/>
      <c r="DW1163" s="3"/>
      <c r="DX1163" s="3"/>
      <c r="DY1163" s="3"/>
      <c r="DZ1163" s="3"/>
      <c r="EA1163" s="3"/>
      <c r="EB1163" s="3"/>
      <c r="EC1163" s="3"/>
      <c r="ED1163" s="3"/>
      <c r="EE1163" s="3"/>
      <c r="EF1163" s="3"/>
      <c r="EG1163" s="3"/>
      <c r="EH1163" s="3"/>
      <c r="EI1163" s="3"/>
      <c r="EJ1163" s="3"/>
      <c r="EK1163" s="3"/>
      <c r="EL1163" s="3"/>
      <c r="EM1163" s="3"/>
      <c r="EN1163" s="3"/>
      <c r="EO1163" s="3"/>
      <c r="EP1163" s="3"/>
      <c r="EQ1163" s="3"/>
      <c r="ER1163" s="3"/>
      <c r="ES1163" s="3"/>
      <c r="ET1163" s="3"/>
      <c r="EU1163" s="3"/>
      <c r="EV1163" s="3"/>
      <c r="EW1163" s="3"/>
      <c r="EX1163" s="3"/>
      <c r="EY1163" s="3"/>
      <c r="EZ1163" s="3"/>
      <c r="FA1163" s="3"/>
      <c r="FB1163" s="3"/>
      <c r="FC1163" s="3"/>
      <c r="FD1163" s="3"/>
      <c r="FE1163" s="3"/>
      <c r="FF1163" s="3"/>
      <c r="FG1163" s="3"/>
      <c r="FH1163" s="3"/>
      <c r="FI1163" s="3"/>
      <c r="FJ1163" s="3"/>
      <c r="FK1163" s="3"/>
      <c r="FL1163" s="3"/>
      <c r="FM1163" s="3"/>
      <c r="FN1163" s="3"/>
      <c r="FO1163" s="3"/>
      <c r="FP1163" s="3"/>
      <c r="FQ1163" s="3"/>
      <c r="FR1163" s="3"/>
      <c r="FS1163" s="3"/>
      <c r="FT1163" s="3"/>
      <c r="FU1163" s="3"/>
      <c r="FV1163" s="3"/>
      <c r="FW1163" s="3"/>
      <c r="FX1163" s="3"/>
      <c r="FY1163" s="3"/>
    </row>
    <row r="1164" spans="7:181" ht="15" x14ac:dyDescent="0.25">
      <c r="G1164" s="2"/>
      <c r="H1164" s="2"/>
      <c r="I1164" s="2"/>
      <c r="J1164" s="2"/>
      <c r="K1164" s="2"/>
      <c r="L1164" s="3"/>
      <c r="M1164" s="3"/>
      <c r="N1164" s="3"/>
      <c r="O1164" s="3"/>
      <c r="P1164" s="3"/>
      <c r="Q1164" s="3"/>
      <c r="R1164" s="3"/>
      <c r="S1164" s="3"/>
      <c r="T1164" s="3"/>
      <c r="U1164" s="4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4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4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4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  <c r="DI1164" s="3"/>
      <c r="DJ1164" s="3"/>
      <c r="DK1164" s="3"/>
      <c r="DL1164" s="3"/>
      <c r="DM1164" s="3"/>
      <c r="DN1164" s="3"/>
      <c r="DO1164" s="3"/>
      <c r="DP1164" s="3"/>
      <c r="DQ1164" s="3"/>
      <c r="DR1164" s="3"/>
      <c r="DS1164" s="3"/>
      <c r="DT1164" s="3"/>
      <c r="DU1164" s="3"/>
      <c r="DV1164" s="3"/>
      <c r="DW1164" s="3"/>
      <c r="DX1164" s="3"/>
      <c r="DY1164" s="3"/>
      <c r="DZ1164" s="3"/>
      <c r="EA1164" s="3"/>
      <c r="EB1164" s="3"/>
      <c r="EC1164" s="3"/>
      <c r="ED1164" s="3"/>
      <c r="EE1164" s="3"/>
      <c r="EF1164" s="3"/>
      <c r="EG1164" s="3"/>
      <c r="EH1164" s="3"/>
      <c r="EI1164" s="3"/>
      <c r="EJ1164" s="3"/>
      <c r="EK1164" s="3"/>
      <c r="EL1164" s="3"/>
      <c r="EM1164" s="3"/>
      <c r="EN1164" s="3"/>
      <c r="EO1164" s="3"/>
      <c r="EP1164" s="3"/>
      <c r="EQ1164" s="3"/>
      <c r="ER1164" s="3"/>
      <c r="ES1164" s="3"/>
      <c r="ET1164" s="3"/>
      <c r="EU1164" s="3"/>
      <c r="EV1164" s="3"/>
      <c r="EW1164" s="3"/>
      <c r="EX1164" s="3"/>
      <c r="EY1164" s="3"/>
      <c r="EZ1164" s="3"/>
      <c r="FA1164" s="3"/>
      <c r="FB1164" s="3"/>
      <c r="FC1164" s="3"/>
      <c r="FD1164" s="3"/>
      <c r="FE1164" s="3"/>
      <c r="FF1164" s="3"/>
      <c r="FG1164" s="3"/>
      <c r="FH1164" s="3"/>
      <c r="FI1164" s="3"/>
      <c r="FJ1164" s="3"/>
      <c r="FK1164" s="3"/>
      <c r="FL1164" s="3"/>
      <c r="FM1164" s="3"/>
      <c r="FN1164" s="3"/>
      <c r="FO1164" s="3"/>
      <c r="FP1164" s="3"/>
      <c r="FQ1164" s="3"/>
      <c r="FR1164" s="3"/>
      <c r="FS1164" s="3"/>
      <c r="FT1164" s="3"/>
      <c r="FU1164" s="3"/>
      <c r="FV1164" s="3"/>
      <c r="FW1164" s="3"/>
      <c r="FX1164" s="3"/>
      <c r="FY1164" s="3"/>
    </row>
    <row r="1165" spans="7:181" ht="15" x14ac:dyDescent="0.25">
      <c r="G1165" s="2"/>
      <c r="H1165" s="2"/>
      <c r="I1165" s="2"/>
      <c r="J1165" s="2"/>
      <c r="K1165" s="2"/>
      <c r="L1165" s="3"/>
      <c r="M1165" s="3"/>
      <c r="N1165" s="3"/>
      <c r="O1165" s="3"/>
      <c r="P1165" s="3"/>
      <c r="Q1165" s="3"/>
      <c r="R1165" s="3"/>
      <c r="S1165" s="3"/>
      <c r="T1165" s="3"/>
      <c r="U1165" s="4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4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4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4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  <c r="DI1165" s="3"/>
      <c r="DJ1165" s="3"/>
      <c r="DK1165" s="3"/>
      <c r="DL1165" s="3"/>
      <c r="DM1165" s="3"/>
      <c r="DN1165" s="3"/>
      <c r="DO1165" s="3"/>
      <c r="DP1165" s="3"/>
      <c r="DQ1165" s="3"/>
      <c r="DR1165" s="3"/>
      <c r="DS1165" s="3"/>
      <c r="DT1165" s="3"/>
      <c r="DU1165" s="3"/>
      <c r="DV1165" s="3"/>
      <c r="DW1165" s="3"/>
      <c r="DX1165" s="3"/>
      <c r="DY1165" s="3"/>
      <c r="DZ1165" s="3"/>
      <c r="EA1165" s="3"/>
      <c r="EB1165" s="3"/>
      <c r="EC1165" s="3"/>
      <c r="ED1165" s="3"/>
      <c r="EE1165" s="3"/>
      <c r="EF1165" s="3"/>
      <c r="EG1165" s="3"/>
      <c r="EH1165" s="3"/>
      <c r="EI1165" s="3"/>
      <c r="EJ1165" s="3"/>
      <c r="EK1165" s="3"/>
      <c r="EL1165" s="3"/>
      <c r="EM1165" s="3"/>
      <c r="EN1165" s="3"/>
      <c r="EO1165" s="3"/>
      <c r="EP1165" s="3"/>
      <c r="EQ1165" s="3"/>
      <c r="ER1165" s="3"/>
      <c r="ES1165" s="3"/>
      <c r="ET1165" s="3"/>
      <c r="EU1165" s="3"/>
      <c r="EV1165" s="3"/>
      <c r="EW1165" s="3"/>
      <c r="EX1165" s="3"/>
      <c r="EY1165" s="3"/>
      <c r="EZ1165" s="3"/>
      <c r="FA1165" s="3"/>
      <c r="FB1165" s="3"/>
      <c r="FC1165" s="3"/>
      <c r="FD1165" s="3"/>
      <c r="FE1165" s="3"/>
      <c r="FF1165" s="3"/>
      <c r="FG1165" s="3"/>
      <c r="FH1165" s="3"/>
      <c r="FI1165" s="3"/>
      <c r="FJ1165" s="3"/>
      <c r="FK1165" s="3"/>
      <c r="FL1165" s="3"/>
      <c r="FM1165" s="3"/>
      <c r="FN1165" s="3"/>
      <c r="FO1165" s="3"/>
      <c r="FP1165" s="3"/>
      <c r="FQ1165" s="3"/>
      <c r="FR1165" s="3"/>
      <c r="FS1165" s="3"/>
      <c r="FT1165" s="3"/>
      <c r="FU1165" s="3"/>
      <c r="FV1165" s="3"/>
      <c r="FW1165" s="3"/>
      <c r="FX1165" s="3"/>
      <c r="FY1165" s="3"/>
    </row>
    <row r="1166" spans="7:181" ht="15" x14ac:dyDescent="0.25">
      <c r="G1166" s="2"/>
      <c r="H1166" s="2"/>
      <c r="I1166" s="2"/>
      <c r="J1166" s="2"/>
      <c r="K1166" s="2"/>
      <c r="L1166" s="3"/>
      <c r="M1166" s="3"/>
      <c r="N1166" s="3"/>
      <c r="O1166" s="3"/>
      <c r="P1166" s="3"/>
      <c r="Q1166" s="3"/>
      <c r="R1166" s="3"/>
      <c r="S1166" s="3"/>
      <c r="T1166" s="3"/>
      <c r="U1166" s="4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4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4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4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  <c r="DP1166" s="3"/>
      <c r="DQ1166" s="3"/>
      <c r="DR1166" s="3"/>
      <c r="DS1166" s="3"/>
      <c r="DT1166" s="3"/>
      <c r="DU1166" s="3"/>
      <c r="DV1166" s="3"/>
      <c r="DW1166" s="3"/>
      <c r="DX1166" s="3"/>
      <c r="DY1166" s="3"/>
      <c r="DZ1166" s="3"/>
      <c r="EA1166" s="3"/>
      <c r="EB1166" s="3"/>
      <c r="EC1166" s="3"/>
      <c r="ED1166" s="3"/>
      <c r="EE1166" s="3"/>
      <c r="EF1166" s="3"/>
      <c r="EG1166" s="3"/>
      <c r="EH1166" s="3"/>
      <c r="EI1166" s="3"/>
      <c r="EJ1166" s="3"/>
      <c r="EK1166" s="3"/>
      <c r="EL1166" s="3"/>
      <c r="EM1166" s="3"/>
      <c r="EN1166" s="3"/>
      <c r="EO1166" s="3"/>
      <c r="EP1166" s="3"/>
      <c r="EQ1166" s="3"/>
      <c r="ER1166" s="3"/>
      <c r="ES1166" s="3"/>
      <c r="ET1166" s="3"/>
      <c r="EU1166" s="3"/>
      <c r="EV1166" s="3"/>
      <c r="EW1166" s="3"/>
      <c r="EX1166" s="3"/>
      <c r="EY1166" s="3"/>
      <c r="EZ1166" s="3"/>
      <c r="FA1166" s="3"/>
      <c r="FB1166" s="3"/>
      <c r="FC1166" s="3"/>
      <c r="FD1166" s="3"/>
      <c r="FE1166" s="3"/>
      <c r="FF1166" s="3"/>
      <c r="FG1166" s="3"/>
      <c r="FH1166" s="3"/>
      <c r="FI1166" s="3"/>
      <c r="FJ1166" s="3"/>
      <c r="FK1166" s="3"/>
      <c r="FL1166" s="3"/>
      <c r="FM1166" s="3"/>
      <c r="FN1166" s="3"/>
      <c r="FO1166" s="3"/>
      <c r="FP1166" s="3"/>
      <c r="FQ1166" s="3"/>
      <c r="FR1166" s="3"/>
      <c r="FS1166" s="3"/>
      <c r="FT1166" s="3"/>
      <c r="FU1166" s="3"/>
      <c r="FV1166" s="3"/>
      <c r="FW1166" s="3"/>
      <c r="FX1166" s="3"/>
      <c r="FY1166" s="3"/>
    </row>
    <row r="1167" spans="7:181" ht="15" x14ac:dyDescent="0.25">
      <c r="G1167" s="2"/>
      <c r="H1167" s="2"/>
      <c r="I1167" s="2"/>
      <c r="J1167" s="2"/>
      <c r="K1167" s="2"/>
      <c r="L1167" s="3"/>
      <c r="M1167" s="3"/>
      <c r="N1167" s="3"/>
      <c r="O1167" s="3"/>
      <c r="P1167" s="3"/>
      <c r="Q1167" s="3"/>
      <c r="R1167" s="3"/>
      <c r="S1167" s="3"/>
      <c r="T1167" s="3"/>
      <c r="U1167" s="4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4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4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4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  <c r="DP1167" s="3"/>
      <c r="DQ1167" s="3"/>
      <c r="DR1167" s="3"/>
      <c r="DS1167" s="3"/>
      <c r="DT1167" s="3"/>
      <c r="DU1167" s="3"/>
      <c r="DV1167" s="3"/>
      <c r="DW1167" s="3"/>
      <c r="DX1167" s="3"/>
      <c r="DY1167" s="3"/>
      <c r="DZ1167" s="3"/>
      <c r="EA1167" s="3"/>
      <c r="EB1167" s="3"/>
      <c r="EC1167" s="3"/>
      <c r="ED1167" s="3"/>
      <c r="EE1167" s="3"/>
      <c r="EF1167" s="3"/>
      <c r="EG1167" s="3"/>
      <c r="EH1167" s="3"/>
      <c r="EI1167" s="3"/>
      <c r="EJ1167" s="3"/>
      <c r="EK1167" s="3"/>
      <c r="EL1167" s="3"/>
      <c r="EM1167" s="3"/>
      <c r="EN1167" s="3"/>
      <c r="EO1167" s="3"/>
      <c r="EP1167" s="3"/>
      <c r="EQ1167" s="3"/>
      <c r="ER1167" s="3"/>
      <c r="ES1167" s="3"/>
      <c r="ET1167" s="3"/>
      <c r="EU1167" s="3"/>
      <c r="EV1167" s="3"/>
      <c r="EW1167" s="3"/>
      <c r="EX1167" s="3"/>
      <c r="EY1167" s="3"/>
      <c r="EZ1167" s="3"/>
      <c r="FA1167" s="3"/>
      <c r="FB1167" s="3"/>
      <c r="FC1167" s="3"/>
      <c r="FD1167" s="3"/>
      <c r="FE1167" s="3"/>
      <c r="FF1167" s="3"/>
      <c r="FG1167" s="3"/>
      <c r="FH1167" s="3"/>
      <c r="FI1167" s="3"/>
      <c r="FJ1167" s="3"/>
      <c r="FK1167" s="3"/>
      <c r="FL1167" s="3"/>
      <c r="FM1167" s="3"/>
      <c r="FN1167" s="3"/>
      <c r="FO1167" s="3"/>
      <c r="FP1167" s="3"/>
      <c r="FQ1167" s="3"/>
      <c r="FR1167" s="3"/>
      <c r="FS1167" s="3"/>
      <c r="FT1167" s="3"/>
      <c r="FU1167" s="3"/>
      <c r="FV1167" s="3"/>
      <c r="FW1167" s="3"/>
      <c r="FX1167" s="3"/>
      <c r="FY1167" s="3"/>
    </row>
    <row r="1168" spans="7:181" ht="15" x14ac:dyDescent="0.25">
      <c r="G1168" s="2"/>
      <c r="H1168" s="2"/>
      <c r="I1168" s="2"/>
      <c r="J1168" s="2"/>
      <c r="K1168" s="2"/>
      <c r="L1168" s="3"/>
      <c r="M1168" s="3"/>
      <c r="N1168" s="3"/>
      <c r="O1168" s="3"/>
      <c r="P1168" s="3"/>
      <c r="Q1168" s="3"/>
      <c r="R1168" s="3"/>
      <c r="S1168" s="3"/>
      <c r="T1168" s="3"/>
      <c r="U1168" s="4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4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4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4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  <c r="DP1168" s="3"/>
      <c r="DQ1168" s="3"/>
      <c r="DR1168" s="3"/>
      <c r="DS1168" s="3"/>
      <c r="DT1168" s="3"/>
      <c r="DU1168" s="3"/>
      <c r="DV1168" s="3"/>
      <c r="DW1168" s="3"/>
      <c r="DX1168" s="3"/>
      <c r="DY1168" s="3"/>
      <c r="DZ1168" s="3"/>
      <c r="EA1168" s="3"/>
      <c r="EB1168" s="3"/>
      <c r="EC1168" s="3"/>
      <c r="ED1168" s="3"/>
      <c r="EE1168" s="3"/>
      <c r="EF1168" s="3"/>
      <c r="EG1168" s="3"/>
      <c r="EH1168" s="3"/>
      <c r="EI1168" s="3"/>
      <c r="EJ1168" s="3"/>
      <c r="EK1168" s="3"/>
      <c r="EL1168" s="3"/>
      <c r="EM1168" s="3"/>
      <c r="EN1168" s="3"/>
      <c r="EO1168" s="3"/>
      <c r="EP1168" s="3"/>
      <c r="EQ1168" s="3"/>
      <c r="ER1168" s="3"/>
      <c r="ES1168" s="3"/>
      <c r="ET1168" s="3"/>
      <c r="EU1168" s="3"/>
      <c r="EV1168" s="3"/>
      <c r="EW1168" s="3"/>
      <c r="EX1168" s="3"/>
      <c r="EY1168" s="3"/>
      <c r="EZ1168" s="3"/>
      <c r="FA1168" s="3"/>
      <c r="FB1168" s="3"/>
      <c r="FC1168" s="3"/>
      <c r="FD1168" s="3"/>
      <c r="FE1168" s="3"/>
      <c r="FF1168" s="3"/>
      <c r="FG1168" s="3"/>
      <c r="FH1168" s="3"/>
      <c r="FI1168" s="3"/>
      <c r="FJ1168" s="3"/>
      <c r="FK1168" s="3"/>
      <c r="FL1168" s="3"/>
      <c r="FM1168" s="3"/>
      <c r="FN1168" s="3"/>
      <c r="FO1168" s="3"/>
      <c r="FP1168" s="3"/>
      <c r="FQ1168" s="3"/>
      <c r="FR1168" s="3"/>
      <c r="FS1168" s="3"/>
      <c r="FT1168" s="3"/>
      <c r="FU1168" s="3"/>
      <c r="FV1168" s="3"/>
      <c r="FW1168" s="3"/>
      <c r="FX1168" s="3"/>
      <c r="FY1168" s="3"/>
    </row>
    <row r="1169" spans="7:181" ht="15" x14ac:dyDescent="0.25">
      <c r="G1169" s="2"/>
      <c r="H1169" s="2"/>
      <c r="I1169" s="2"/>
      <c r="J1169" s="2"/>
      <c r="K1169" s="2"/>
      <c r="L1169" s="3"/>
      <c r="M1169" s="3"/>
      <c r="N1169" s="3"/>
      <c r="O1169" s="3"/>
      <c r="P1169" s="3"/>
      <c r="Q1169" s="3"/>
      <c r="R1169" s="3"/>
      <c r="S1169" s="3"/>
      <c r="T1169" s="3"/>
      <c r="U1169" s="4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4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4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4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  <c r="DS1169" s="3"/>
      <c r="DT1169" s="3"/>
      <c r="DU1169" s="3"/>
      <c r="DV1169" s="3"/>
      <c r="DW1169" s="3"/>
      <c r="DX1169" s="3"/>
      <c r="DY1169" s="3"/>
      <c r="DZ1169" s="3"/>
      <c r="EA1169" s="3"/>
      <c r="EB1169" s="3"/>
      <c r="EC1169" s="3"/>
      <c r="ED1169" s="3"/>
      <c r="EE1169" s="3"/>
      <c r="EF1169" s="3"/>
      <c r="EG1169" s="3"/>
      <c r="EH1169" s="3"/>
      <c r="EI1169" s="3"/>
      <c r="EJ1169" s="3"/>
      <c r="EK1169" s="3"/>
      <c r="EL1169" s="3"/>
      <c r="EM1169" s="3"/>
      <c r="EN1169" s="3"/>
      <c r="EO1169" s="3"/>
      <c r="EP1169" s="3"/>
      <c r="EQ1169" s="3"/>
      <c r="ER1169" s="3"/>
      <c r="ES1169" s="3"/>
      <c r="ET1169" s="3"/>
      <c r="EU1169" s="3"/>
      <c r="EV1169" s="3"/>
      <c r="EW1169" s="3"/>
      <c r="EX1169" s="3"/>
      <c r="EY1169" s="3"/>
      <c r="EZ1169" s="3"/>
      <c r="FA1169" s="3"/>
      <c r="FB1169" s="3"/>
      <c r="FC1169" s="3"/>
      <c r="FD1169" s="3"/>
      <c r="FE1169" s="3"/>
      <c r="FF1169" s="3"/>
      <c r="FG1169" s="3"/>
      <c r="FH1169" s="3"/>
      <c r="FI1169" s="3"/>
      <c r="FJ1169" s="3"/>
      <c r="FK1169" s="3"/>
      <c r="FL1169" s="3"/>
      <c r="FM1169" s="3"/>
      <c r="FN1169" s="3"/>
      <c r="FO1169" s="3"/>
      <c r="FP1169" s="3"/>
      <c r="FQ1169" s="3"/>
      <c r="FR1169" s="3"/>
      <c r="FS1169" s="3"/>
      <c r="FT1169" s="3"/>
      <c r="FU1169" s="3"/>
      <c r="FV1169" s="3"/>
      <c r="FW1169" s="3"/>
      <c r="FX1169" s="3"/>
      <c r="FY1169" s="3"/>
    </row>
    <row r="1170" spans="7:181" ht="15" x14ac:dyDescent="0.25">
      <c r="G1170" s="2"/>
      <c r="H1170" s="2"/>
      <c r="I1170" s="2"/>
      <c r="J1170" s="2"/>
      <c r="K1170" s="2"/>
      <c r="L1170" s="3"/>
      <c r="M1170" s="3"/>
      <c r="N1170" s="3"/>
      <c r="O1170" s="3"/>
      <c r="P1170" s="3"/>
      <c r="Q1170" s="3"/>
      <c r="R1170" s="3"/>
      <c r="S1170" s="3"/>
      <c r="T1170" s="3"/>
      <c r="U1170" s="4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4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4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4"/>
      <c r="BI1170" s="3"/>
      <c r="BJ1170" s="3"/>
      <c r="BK1170" s="3"/>
      <c r="BL1170" s="3"/>
      <c r="BM1170" s="3"/>
      <c r="BN1170" s="3"/>
      <c r="BO1170" s="3"/>
      <c r="BP1170" s="3"/>
      <c r="BQ1170" s="3"/>
      <c r="BR1170" s="3"/>
      <c r="BS1170" s="3"/>
      <c r="BT1170" s="3"/>
      <c r="BU1170" s="3"/>
      <c r="BV1170" s="3"/>
      <c r="BW1170" s="3"/>
      <c r="BX1170" s="3"/>
      <c r="BY1170" s="3"/>
      <c r="BZ1170" s="3"/>
      <c r="CA1170" s="3"/>
      <c r="CB1170" s="3"/>
      <c r="CC1170" s="3"/>
      <c r="CD1170" s="3"/>
      <c r="CE1170" s="3"/>
      <c r="CF1170" s="3"/>
      <c r="CG1170" s="3"/>
      <c r="CH1170" s="3"/>
      <c r="CI1170" s="3"/>
      <c r="CJ1170" s="3"/>
      <c r="CK1170" s="3"/>
      <c r="CL1170" s="3"/>
      <c r="CM1170" s="3"/>
      <c r="CN1170" s="3"/>
      <c r="CO1170" s="3"/>
      <c r="CP1170" s="3"/>
      <c r="CQ1170" s="3"/>
      <c r="CR1170" s="3"/>
      <c r="CS1170" s="3"/>
      <c r="CT1170" s="3"/>
      <c r="CU1170" s="3"/>
      <c r="CV1170" s="3"/>
      <c r="CW1170" s="3"/>
      <c r="CX1170" s="3"/>
      <c r="CY1170" s="3"/>
      <c r="CZ1170" s="3"/>
      <c r="DA1170" s="3"/>
      <c r="DB1170" s="3"/>
      <c r="DC1170" s="3"/>
      <c r="DD1170" s="3"/>
      <c r="DE1170" s="3"/>
      <c r="DF1170" s="3"/>
      <c r="DG1170" s="3"/>
      <c r="DH1170" s="3"/>
      <c r="DI1170" s="3"/>
      <c r="DJ1170" s="3"/>
      <c r="DK1170" s="3"/>
      <c r="DL1170" s="3"/>
      <c r="DM1170" s="3"/>
      <c r="DN1170" s="3"/>
      <c r="DO1170" s="3"/>
      <c r="DP1170" s="3"/>
      <c r="DQ1170" s="3"/>
      <c r="DR1170" s="3"/>
      <c r="DS1170" s="3"/>
      <c r="DT1170" s="3"/>
      <c r="DU1170" s="3"/>
      <c r="DV1170" s="3"/>
      <c r="DW1170" s="3"/>
      <c r="DX1170" s="3"/>
      <c r="DY1170" s="3"/>
      <c r="DZ1170" s="3"/>
      <c r="EA1170" s="3"/>
      <c r="EB1170" s="3"/>
      <c r="EC1170" s="3"/>
      <c r="ED1170" s="3"/>
      <c r="EE1170" s="3"/>
      <c r="EF1170" s="3"/>
      <c r="EG1170" s="3"/>
      <c r="EH1170" s="3"/>
      <c r="EI1170" s="3"/>
      <c r="EJ1170" s="3"/>
      <c r="EK1170" s="3"/>
      <c r="EL1170" s="3"/>
      <c r="EM1170" s="3"/>
      <c r="EN1170" s="3"/>
      <c r="EO1170" s="3"/>
      <c r="EP1170" s="3"/>
      <c r="EQ1170" s="3"/>
      <c r="ER1170" s="3"/>
      <c r="ES1170" s="3"/>
      <c r="ET1170" s="3"/>
      <c r="EU1170" s="3"/>
      <c r="EV1170" s="3"/>
      <c r="EW1170" s="3"/>
      <c r="EX1170" s="3"/>
      <c r="EY1170" s="3"/>
      <c r="EZ1170" s="3"/>
      <c r="FA1170" s="3"/>
      <c r="FB1170" s="3"/>
      <c r="FC1170" s="3"/>
      <c r="FD1170" s="3"/>
      <c r="FE1170" s="3"/>
      <c r="FF1170" s="3"/>
      <c r="FG1170" s="3"/>
      <c r="FH1170" s="3"/>
      <c r="FI1170" s="3"/>
      <c r="FJ1170" s="3"/>
      <c r="FK1170" s="3"/>
      <c r="FL1170" s="3"/>
      <c r="FM1170" s="3"/>
      <c r="FN1170" s="3"/>
      <c r="FO1170" s="3"/>
      <c r="FP1170" s="3"/>
      <c r="FQ1170" s="3"/>
      <c r="FR1170" s="3"/>
      <c r="FS1170" s="3"/>
      <c r="FT1170" s="3"/>
      <c r="FU1170" s="3"/>
      <c r="FV1170" s="3"/>
      <c r="FW1170" s="3"/>
      <c r="FX1170" s="3"/>
      <c r="FY1170" s="3"/>
    </row>
    <row r="1171" spans="7:181" ht="15" x14ac:dyDescent="0.25">
      <c r="G1171" s="2"/>
      <c r="H1171" s="2"/>
      <c r="I1171" s="2"/>
      <c r="J1171" s="2"/>
      <c r="K1171" s="2"/>
      <c r="L1171" s="3"/>
      <c r="M1171" s="3"/>
      <c r="N1171" s="3"/>
      <c r="O1171" s="3"/>
      <c r="P1171" s="3"/>
      <c r="Q1171" s="3"/>
      <c r="R1171" s="3"/>
      <c r="S1171" s="3"/>
      <c r="T1171" s="3"/>
      <c r="U1171" s="4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4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4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4"/>
      <c r="BI1171" s="3"/>
      <c r="BJ1171" s="3"/>
      <c r="BK1171" s="3"/>
      <c r="BL1171" s="3"/>
      <c r="BM1171" s="3"/>
      <c r="BN1171" s="3"/>
      <c r="BO1171" s="3"/>
      <c r="BP1171" s="3"/>
      <c r="BQ1171" s="3"/>
      <c r="BR1171" s="3"/>
      <c r="BS1171" s="3"/>
      <c r="BT1171" s="3"/>
      <c r="BU1171" s="3"/>
      <c r="BV1171" s="3"/>
      <c r="BW1171" s="3"/>
      <c r="BX1171" s="3"/>
      <c r="BY1171" s="3"/>
      <c r="BZ1171" s="3"/>
      <c r="CA1171" s="3"/>
      <c r="CB1171" s="3"/>
      <c r="CC1171" s="3"/>
      <c r="CD1171" s="3"/>
      <c r="CE1171" s="3"/>
      <c r="CF1171" s="3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  <c r="DS1171" s="3"/>
      <c r="DT1171" s="3"/>
      <c r="DU1171" s="3"/>
      <c r="DV1171" s="3"/>
      <c r="DW1171" s="3"/>
      <c r="DX1171" s="3"/>
      <c r="DY1171" s="3"/>
      <c r="DZ1171" s="3"/>
      <c r="EA1171" s="3"/>
      <c r="EB1171" s="3"/>
      <c r="EC1171" s="3"/>
      <c r="ED1171" s="3"/>
      <c r="EE1171" s="3"/>
      <c r="EF1171" s="3"/>
      <c r="EG1171" s="3"/>
      <c r="EH1171" s="3"/>
      <c r="EI1171" s="3"/>
      <c r="EJ1171" s="3"/>
      <c r="EK1171" s="3"/>
      <c r="EL1171" s="3"/>
      <c r="EM1171" s="3"/>
      <c r="EN1171" s="3"/>
      <c r="EO1171" s="3"/>
      <c r="EP1171" s="3"/>
      <c r="EQ1171" s="3"/>
      <c r="ER1171" s="3"/>
      <c r="ES1171" s="3"/>
      <c r="ET1171" s="3"/>
      <c r="EU1171" s="3"/>
      <c r="EV1171" s="3"/>
      <c r="EW1171" s="3"/>
      <c r="EX1171" s="3"/>
      <c r="EY1171" s="3"/>
      <c r="EZ1171" s="3"/>
      <c r="FA1171" s="3"/>
      <c r="FB1171" s="3"/>
      <c r="FC1171" s="3"/>
      <c r="FD1171" s="3"/>
      <c r="FE1171" s="3"/>
      <c r="FF1171" s="3"/>
      <c r="FG1171" s="3"/>
      <c r="FH1171" s="3"/>
      <c r="FI1171" s="3"/>
      <c r="FJ1171" s="3"/>
      <c r="FK1171" s="3"/>
      <c r="FL1171" s="3"/>
      <c r="FM1171" s="3"/>
      <c r="FN1171" s="3"/>
      <c r="FO1171" s="3"/>
      <c r="FP1171" s="3"/>
      <c r="FQ1171" s="3"/>
      <c r="FR1171" s="3"/>
      <c r="FS1171" s="3"/>
      <c r="FT1171" s="3"/>
      <c r="FU1171" s="3"/>
      <c r="FV1171" s="3"/>
      <c r="FW1171" s="3"/>
      <c r="FX1171" s="3"/>
      <c r="FY1171" s="3"/>
    </row>
    <row r="1172" spans="7:181" ht="15" x14ac:dyDescent="0.25">
      <c r="G1172" s="2"/>
      <c r="H1172" s="2"/>
      <c r="I1172" s="2"/>
      <c r="J1172" s="2"/>
      <c r="K1172" s="2"/>
      <c r="L1172" s="3"/>
      <c r="M1172" s="3"/>
      <c r="N1172" s="3"/>
      <c r="O1172" s="3"/>
      <c r="P1172" s="3"/>
      <c r="Q1172" s="3"/>
      <c r="R1172" s="3"/>
      <c r="S1172" s="3"/>
      <c r="T1172" s="3"/>
      <c r="U1172" s="4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4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4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4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/>
      <c r="BZ1172" s="3"/>
      <c r="CA1172" s="3"/>
      <c r="CB1172" s="3"/>
      <c r="CC1172" s="3"/>
      <c r="CD1172" s="3"/>
      <c r="CE1172" s="3"/>
      <c r="CF1172" s="3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  <c r="DS1172" s="3"/>
      <c r="DT1172" s="3"/>
      <c r="DU1172" s="3"/>
      <c r="DV1172" s="3"/>
      <c r="DW1172" s="3"/>
      <c r="DX1172" s="3"/>
      <c r="DY1172" s="3"/>
      <c r="DZ1172" s="3"/>
      <c r="EA1172" s="3"/>
      <c r="EB1172" s="3"/>
      <c r="EC1172" s="3"/>
      <c r="ED1172" s="3"/>
      <c r="EE1172" s="3"/>
      <c r="EF1172" s="3"/>
      <c r="EG1172" s="3"/>
      <c r="EH1172" s="3"/>
      <c r="EI1172" s="3"/>
      <c r="EJ1172" s="3"/>
      <c r="EK1172" s="3"/>
      <c r="EL1172" s="3"/>
      <c r="EM1172" s="3"/>
      <c r="EN1172" s="3"/>
      <c r="EO1172" s="3"/>
      <c r="EP1172" s="3"/>
      <c r="EQ1172" s="3"/>
      <c r="ER1172" s="3"/>
      <c r="ES1172" s="3"/>
      <c r="ET1172" s="3"/>
      <c r="EU1172" s="3"/>
      <c r="EV1172" s="3"/>
      <c r="EW1172" s="3"/>
      <c r="EX1172" s="3"/>
      <c r="EY1172" s="3"/>
      <c r="EZ1172" s="3"/>
      <c r="FA1172" s="3"/>
      <c r="FB1172" s="3"/>
      <c r="FC1172" s="3"/>
      <c r="FD1172" s="3"/>
      <c r="FE1172" s="3"/>
      <c r="FF1172" s="3"/>
      <c r="FG1172" s="3"/>
      <c r="FH1172" s="3"/>
      <c r="FI1172" s="3"/>
      <c r="FJ1172" s="3"/>
      <c r="FK1172" s="3"/>
      <c r="FL1172" s="3"/>
      <c r="FM1172" s="3"/>
      <c r="FN1172" s="3"/>
      <c r="FO1172" s="3"/>
      <c r="FP1172" s="3"/>
      <c r="FQ1172" s="3"/>
      <c r="FR1172" s="3"/>
      <c r="FS1172" s="3"/>
      <c r="FT1172" s="3"/>
      <c r="FU1172" s="3"/>
      <c r="FV1172" s="3"/>
      <c r="FW1172" s="3"/>
      <c r="FX1172" s="3"/>
      <c r="FY1172" s="3"/>
    </row>
    <row r="1173" spans="7:181" ht="15" x14ac:dyDescent="0.25">
      <c r="G1173" s="2"/>
      <c r="H1173" s="2"/>
      <c r="I1173" s="2"/>
      <c r="J1173" s="2"/>
      <c r="K1173" s="2"/>
      <c r="L1173" s="3"/>
      <c r="M1173" s="3"/>
      <c r="N1173" s="3"/>
      <c r="O1173" s="3"/>
      <c r="P1173" s="3"/>
      <c r="Q1173" s="3"/>
      <c r="R1173" s="3"/>
      <c r="S1173" s="3"/>
      <c r="T1173" s="3"/>
      <c r="U1173" s="4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4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4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4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/>
      <c r="BZ1173" s="3"/>
      <c r="CA1173" s="3"/>
      <c r="CB1173" s="3"/>
      <c r="CC1173" s="3"/>
      <c r="CD1173" s="3"/>
      <c r="CE1173" s="3"/>
      <c r="CF1173" s="3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  <c r="DS1173" s="3"/>
      <c r="DT1173" s="3"/>
      <c r="DU1173" s="3"/>
      <c r="DV1173" s="3"/>
      <c r="DW1173" s="3"/>
      <c r="DX1173" s="3"/>
      <c r="DY1173" s="3"/>
      <c r="DZ1173" s="3"/>
      <c r="EA1173" s="3"/>
      <c r="EB1173" s="3"/>
      <c r="EC1173" s="3"/>
      <c r="ED1173" s="3"/>
      <c r="EE1173" s="3"/>
      <c r="EF1173" s="3"/>
      <c r="EG1173" s="3"/>
      <c r="EH1173" s="3"/>
      <c r="EI1173" s="3"/>
      <c r="EJ1173" s="3"/>
      <c r="EK1173" s="3"/>
      <c r="EL1173" s="3"/>
      <c r="EM1173" s="3"/>
      <c r="EN1173" s="3"/>
      <c r="EO1173" s="3"/>
      <c r="EP1173" s="3"/>
      <c r="EQ1173" s="3"/>
      <c r="ER1173" s="3"/>
      <c r="ES1173" s="3"/>
      <c r="ET1173" s="3"/>
      <c r="EU1173" s="3"/>
      <c r="EV1173" s="3"/>
      <c r="EW1173" s="3"/>
      <c r="EX1173" s="3"/>
      <c r="EY1173" s="3"/>
      <c r="EZ1173" s="3"/>
      <c r="FA1173" s="3"/>
      <c r="FB1173" s="3"/>
      <c r="FC1173" s="3"/>
      <c r="FD1173" s="3"/>
      <c r="FE1173" s="3"/>
      <c r="FF1173" s="3"/>
      <c r="FG1173" s="3"/>
      <c r="FH1173" s="3"/>
      <c r="FI1173" s="3"/>
      <c r="FJ1173" s="3"/>
      <c r="FK1173" s="3"/>
      <c r="FL1173" s="3"/>
      <c r="FM1173" s="3"/>
      <c r="FN1173" s="3"/>
      <c r="FO1173" s="3"/>
      <c r="FP1173" s="3"/>
      <c r="FQ1173" s="3"/>
      <c r="FR1173" s="3"/>
      <c r="FS1173" s="3"/>
      <c r="FT1173" s="3"/>
      <c r="FU1173" s="3"/>
      <c r="FV1173" s="3"/>
      <c r="FW1173" s="3"/>
      <c r="FX1173" s="3"/>
      <c r="FY1173" s="3"/>
    </row>
    <row r="1174" spans="7:181" ht="15" x14ac:dyDescent="0.25">
      <c r="G1174" s="2"/>
      <c r="H1174" s="2"/>
      <c r="I1174" s="2"/>
      <c r="J1174" s="2"/>
      <c r="K1174" s="2"/>
      <c r="L1174" s="3"/>
      <c r="M1174" s="3"/>
      <c r="N1174" s="3"/>
      <c r="O1174" s="3"/>
      <c r="P1174" s="3"/>
      <c r="Q1174" s="3"/>
      <c r="R1174" s="3"/>
      <c r="S1174" s="3"/>
      <c r="T1174" s="3"/>
      <c r="U1174" s="4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4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4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4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/>
      <c r="BZ1174" s="3"/>
      <c r="CA1174" s="3"/>
      <c r="CB1174" s="3"/>
      <c r="CC1174" s="3"/>
      <c r="CD1174" s="3"/>
      <c r="CE1174" s="3"/>
      <c r="CF1174" s="3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  <c r="DS1174" s="3"/>
      <c r="DT1174" s="3"/>
      <c r="DU1174" s="3"/>
      <c r="DV1174" s="3"/>
      <c r="DW1174" s="3"/>
      <c r="DX1174" s="3"/>
      <c r="DY1174" s="3"/>
      <c r="DZ1174" s="3"/>
      <c r="EA1174" s="3"/>
      <c r="EB1174" s="3"/>
      <c r="EC1174" s="3"/>
      <c r="ED1174" s="3"/>
      <c r="EE1174" s="3"/>
      <c r="EF1174" s="3"/>
      <c r="EG1174" s="3"/>
      <c r="EH1174" s="3"/>
      <c r="EI1174" s="3"/>
      <c r="EJ1174" s="3"/>
      <c r="EK1174" s="3"/>
      <c r="EL1174" s="3"/>
      <c r="EM1174" s="3"/>
      <c r="EN1174" s="3"/>
      <c r="EO1174" s="3"/>
      <c r="EP1174" s="3"/>
      <c r="EQ1174" s="3"/>
      <c r="ER1174" s="3"/>
      <c r="ES1174" s="3"/>
      <c r="ET1174" s="3"/>
      <c r="EU1174" s="3"/>
      <c r="EV1174" s="3"/>
      <c r="EW1174" s="3"/>
      <c r="EX1174" s="3"/>
      <c r="EY1174" s="3"/>
      <c r="EZ1174" s="3"/>
      <c r="FA1174" s="3"/>
      <c r="FB1174" s="3"/>
      <c r="FC1174" s="3"/>
      <c r="FD1174" s="3"/>
      <c r="FE1174" s="3"/>
      <c r="FF1174" s="3"/>
      <c r="FG1174" s="3"/>
      <c r="FH1174" s="3"/>
      <c r="FI1174" s="3"/>
      <c r="FJ1174" s="3"/>
      <c r="FK1174" s="3"/>
      <c r="FL1174" s="3"/>
      <c r="FM1174" s="3"/>
      <c r="FN1174" s="3"/>
      <c r="FO1174" s="3"/>
      <c r="FP1174" s="3"/>
      <c r="FQ1174" s="3"/>
      <c r="FR1174" s="3"/>
      <c r="FS1174" s="3"/>
      <c r="FT1174" s="3"/>
      <c r="FU1174" s="3"/>
      <c r="FV1174" s="3"/>
      <c r="FW1174" s="3"/>
      <c r="FX1174" s="3"/>
      <c r="FY1174" s="3"/>
    </row>
    <row r="1175" spans="7:181" ht="15" x14ac:dyDescent="0.25">
      <c r="G1175" s="2"/>
      <c r="H1175" s="2"/>
      <c r="I1175" s="2"/>
      <c r="J1175" s="2"/>
      <c r="K1175" s="2"/>
      <c r="L1175" s="3"/>
      <c r="M1175" s="3"/>
      <c r="N1175" s="3"/>
      <c r="O1175" s="3"/>
      <c r="P1175" s="3"/>
      <c r="Q1175" s="3"/>
      <c r="R1175" s="3"/>
      <c r="S1175" s="3"/>
      <c r="T1175" s="3"/>
      <c r="U1175" s="4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4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4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4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/>
      <c r="BZ1175" s="3"/>
      <c r="CA1175" s="3"/>
      <c r="CB1175" s="3"/>
      <c r="CC1175" s="3"/>
      <c r="CD1175" s="3"/>
      <c r="CE1175" s="3"/>
      <c r="CF1175" s="3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  <c r="DS1175" s="3"/>
      <c r="DT1175" s="3"/>
      <c r="DU1175" s="3"/>
      <c r="DV1175" s="3"/>
      <c r="DW1175" s="3"/>
      <c r="DX1175" s="3"/>
      <c r="DY1175" s="3"/>
      <c r="DZ1175" s="3"/>
      <c r="EA1175" s="3"/>
      <c r="EB1175" s="3"/>
      <c r="EC1175" s="3"/>
      <c r="ED1175" s="3"/>
      <c r="EE1175" s="3"/>
      <c r="EF1175" s="3"/>
      <c r="EG1175" s="3"/>
      <c r="EH1175" s="3"/>
      <c r="EI1175" s="3"/>
      <c r="EJ1175" s="3"/>
      <c r="EK1175" s="3"/>
      <c r="EL1175" s="3"/>
      <c r="EM1175" s="3"/>
      <c r="EN1175" s="3"/>
      <c r="EO1175" s="3"/>
      <c r="EP1175" s="3"/>
      <c r="EQ1175" s="3"/>
      <c r="ER1175" s="3"/>
      <c r="ES1175" s="3"/>
      <c r="ET1175" s="3"/>
      <c r="EU1175" s="3"/>
      <c r="EV1175" s="3"/>
      <c r="EW1175" s="3"/>
      <c r="EX1175" s="3"/>
      <c r="EY1175" s="3"/>
      <c r="EZ1175" s="3"/>
      <c r="FA1175" s="3"/>
      <c r="FB1175" s="3"/>
      <c r="FC1175" s="3"/>
      <c r="FD1175" s="3"/>
      <c r="FE1175" s="3"/>
      <c r="FF1175" s="3"/>
      <c r="FG1175" s="3"/>
      <c r="FH1175" s="3"/>
      <c r="FI1175" s="3"/>
      <c r="FJ1175" s="3"/>
      <c r="FK1175" s="3"/>
      <c r="FL1175" s="3"/>
      <c r="FM1175" s="3"/>
      <c r="FN1175" s="3"/>
      <c r="FO1175" s="3"/>
      <c r="FP1175" s="3"/>
      <c r="FQ1175" s="3"/>
      <c r="FR1175" s="3"/>
      <c r="FS1175" s="3"/>
      <c r="FT1175" s="3"/>
      <c r="FU1175" s="3"/>
      <c r="FV1175" s="3"/>
      <c r="FW1175" s="3"/>
      <c r="FX1175" s="3"/>
      <c r="FY1175" s="3"/>
    </row>
    <row r="1176" spans="7:181" ht="15" x14ac:dyDescent="0.25">
      <c r="G1176" s="2"/>
      <c r="H1176" s="2"/>
      <c r="I1176" s="2"/>
      <c r="J1176" s="2"/>
      <c r="K1176" s="2"/>
      <c r="L1176" s="3"/>
      <c r="M1176" s="3"/>
      <c r="N1176" s="3"/>
      <c r="O1176" s="3"/>
      <c r="P1176" s="3"/>
      <c r="Q1176" s="3"/>
      <c r="R1176" s="3"/>
      <c r="S1176" s="3"/>
      <c r="T1176" s="3"/>
      <c r="U1176" s="4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4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4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4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/>
      <c r="BZ1176" s="3"/>
      <c r="CA1176" s="3"/>
      <c r="CB1176" s="3"/>
      <c r="CC1176" s="3"/>
      <c r="CD1176" s="3"/>
      <c r="CE1176" s="3"/>
      <c r="CF1176" s="3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  <c r="DS1176" s="3"/>
      <c r="DT1176" s="3"/>
      <c r="DU1176" s="3"/>
      <c r="DV1176" s="3"/>
      <c r="DW1176" s="3"/>
      <c r="DX1176" s="3"/>
      <c r="DY1176" s="3"/>
      <c r="DZ1176" s="3"/>
      <c r="EA1176" s="3"/>
      <c r="EB1176" s="3"/>
      <c r="EC1176" s="3"/>
      <c r="ED1176" s="3"/>
      <c r="EE1176" s="3"/>
      <c r="EF1176" s="3"/>
      <c r="EG1176" s="3"/>
      <c r="EH1176" s="3"/>
      <c r="EI1176" s="3"/>
      <c r="EJ1176" s="3"/>
      <c r="EK1176" s="3"/>
      <c r="EL1176" s="3"/>
      <c r="EM1176" s="3"/>
      <c r="EN1176" s="3"/>
      <c r="EO1176" s="3"/>
      <c r="EP1176" s="3"/>
      <c r="EQ1176" s="3"/>
      <c r="ER1176" s="3"/>
      <c r="ES1176" s="3"/>
      <c r="ET1176" s="3"/>
      <c r="EU1176" s="3"/>
      <c r="EV1176" s="3"/>
      <c r="EW1176" s="3"/>
      <c r="EX1176" s="3"/>
      <c r="EY1176" s="3"/>
      <c r="EZ1176" s="3"/>
      <c r="FA1176" s="3"/>
      <c r="FB1176" s="3"/>
      <c r="FC1176" s="3"/>
      <c r="FD1176" s="3"/>
      <c r="FE1176" s="3"/>
      <c r="FF1176" s="3"/>
      <c r="FG1176" s="3"/>
      <c r="FH1176" s="3"/>
      <c r="FI1176" s="3"/>
      <c r="FJ1176" s="3"/>
      <c r="FK1176" s="3"/>
      <c r="FL1176" s="3"/>
      <c r="FM1176" s="3"/>
      <c r="FN1176" s="3"/>
      <c r="FO1176" s="3"/>
      <c r="FP1176" s="3"/>
      <c r="FQ1176" s="3"/>
      <c r="FR1176" s="3"/>
      <c r="FS1176" s="3"/>
      <c r="FT1176" s="3"/>
      <c r="FU1176" s="3"/>
      <c r="FV1176" s="3"/>
      <c r="FW1176" s="3"/>
      <c r="FX1176" s="3"/>
      <c r="FY1176" s="3"/>
    </row>
    <row r="1177" spans="7:181" ht="15" x14ac:dyDescent="0.25">
      <c r="G1177" s="2"/>
      <c r="H1177" s="2"/>
      <c r="I1177" s="2"/>
      <c r="J1177" s="2"/>
      <c r="K1177" s="2"/>
      <c r="L1177" s="3"/>
      <c r="M1177" s="3"/>
      <c r="N1177" s="3"/>
      <c r="O1177" s="3"/>
      <c r="P1177" s="3"/>
      <c r="Q1177" s="3"/>
      <c r="R1177" s="3"/>
      <c r="S1177" s="3"/>
      <c r="T1177" s="3"/>
      <c r="U1177" s="4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4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4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4"/>
      <c r="BI1177" s="3"/>
      <c r="BJ1177" s="3"/>
      <c r="BK1177" s="3"/>
      <c r="BL1177" s="3"/>
      <c r="BM1177" s="3"/>
      <c r="BN1177" s="3"/>
      <c r="BO1177" s="3"/>
      <c r="BP1177" s="3"/>
      <c r="BQ1177" s="3"/>
      <c r="BR1177" s="3"/>
      <c r="BS1177" s="3"/>
      <c r="BT1177" s="3"/>
      <c r="BU1177" s="3"/>
      <c r="BV1177" s="3"/>
      <c r="BW1177" s="3"/>
      <c r="BX1177" s="3"/>
      <c r="BY1177" s="3"/>
      <c r="BZ1177" s="3"/>
      <c r="CA1177" s="3"/>
      <c r="CB1177" s="3"/>
      <c r="CC1177" s="3"/>
      <c r="CD1177" s="3"/>
      <c r="CE1177" s="3"/>
      <c r="CF1177" s="3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  <c r="DS1177" s="3"/>
      <c r="DT1177" s="3"/>
      <c r="DU1177" s="3"/>
      <c r="DV1177" s="3"/>
      <c r="DW1177" s="3"/>
      <c r="DX1177" s="3"/>
      <c r="DY1177" s="3"/>
      <c r="DZ1177" s="3"/>
      <c r="EA1177" s="3"/>
      <c r="EB1177" s="3"/>
      <c r="EC1177" s="3"/>
      <c r="ED1177" s="3"/>
      <c r="EE1177" s="3"/>
      <c r="EF1177" s="3"/>
      <c r="EG1177" s="3"/>
      <c r="EH1177" s="3"/>
      <c r="EI1177" s="3"/>
      <c r="EJ1177" s="3"/>
      <c r="EK1177" s="3"/>
      <c r="EL1177" s="3"/>
      <c r="EM1177" s="3"/>
      <c r="EN1177" s="3"/>
      <c r="EO1177" s="3"/>
      <c r="EP1177" s="3"/>
      <c r="EQ1177" s="3"/>
      <c r="ER1177" s="3"/>
      <c r="ES1177" s="3"/>
      <c r="ET1177" s="3"/>
      <c r="EU1177" s="3"/>
      <c r="EV1177" s="3"/>
      <c r="EW1177" s="3"/>
      <c r="EX1177" s="3"/>
      <c r="EY1177" s="3"/>
      <c r="EZ1177" s="3"/>
      <c r="FA1177" s="3"/>
      <c r="FB1177" s="3"/>
      <c r="FC1177" s="3"/>
      <c r="FD1177" s="3"/>
      <c r="FE1177" s="3"/>
      <c r="FF1177" s="3"/>
      <c r="FG1177" s="3"/>
      <c r="FH1177" s="3"/>
      <c r="FI1177" s="3"/>
      <c r="FJ1177" s="3"/>
      <c r="FK1177" s="3"/>
      <c r="FL1177" s="3"/>
      <c r="FM1177" s="3"/>
      <c r="FN1177" s="3"/>
      <c r="FO1177" s="3"/>
      <c r="FP1177" s="3"/>
      <c r="FQ1177" s="3"/>
      <c r="FR1177" s="3"/>
      <c r="FS1177" s="3"/>
      <c r="FT1177" s="3"/>
      <c r="FU1177" s="3"/>
      <c r="FV1177" s="3"/>
      <c r="FW1177" s="3"/>
      <c r="FX1177" s="3"/>
      <c r="FY1177" s="3"/>
    </row>
    <row r="1178" spans="7:181" ht="15" x14ac:dyDescent="0.25">
      <c r="G1178" s="2"/>
      <c r="H1178" s="2"/>
      <c r="I1178" s="2"/>
      <c r="J1178" s="2"/>
      <c r="K1178" s="2"/>
      <c r="L1178" s="3"/>
      <c r="M1178" s="3"/>
      <c r="N1178" s="3"/>
      <c r="O1178" s="3"/>
      <c r="P1178" s="3"/>
      <c r="Q1178" s="3"/>
      <c r="R1178" s="3"/>
      <c r="S1178" s="3"/>
      <c r="T1178" s="3"/>
      <c r="U1178" s="4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4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4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4"/>
      <c r="BI1178" s="3"/>
      <c r="BJ1178" s="3"/>
      <c r="BK1178" s="3"/>
      <c r="BL1178" s="3"/>
      <c r="BM1178" s="3"/>
      <c r="BN1178" s="3"/>
      <c r="BO1178" s="3"/>
      <c r="BP1178" s="3"/>
      <c r="BQ1178" s="3"/>
      <c r="BR1178" s="3"/>
      <c r="BS1178" s="3"/>
      <c r="BT1178" s="3"/>
      <c r="BU1178" s="3"/>
      <c r="BV1178" s="3"/>
      <c r="BW1178" s="3"/>
      <c r="BX1178" s="3"/>
      <c r="BY1178" s="3"/>
      <c r="BZ1178" s="3"/>
      <c r="CA1178" s="3"/>
      <c r="CB1178" s="3"/>
      <c r="CC1178" s="3"/>
      <c r="CD1178" s="3"/>
      <c r="CE1178" s="3"/>
      <c r="CF1178" s="3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  <c r="DS1178" s="3"/>
      <c r="DT1178" s="3"/>
      <c r="DU1178" s="3"/>
      <c r="DV1178" s="3"/>
      <c r="DW1178" s="3"/>
      <c r="DX1178" s="3"/>
      <c r="DY1178" s="3"/>
      <c r="DZ1178" s="3"/>
      <c r="EA1178" s="3"/>
      <c r="EB1178" s="3"/>
      <c r="EC1178" s="3"/>
      <c r="ED1178" s="3"/>
      <c r="EE1178" s="3"/>
      <c r="EF1178" s="3"/>
      <c r="EG1178" s="3"/>
      <c r="EH1178" s="3"/>
      <c r="EI1178" s="3"/>
      <c r="EJ1178" s="3"/>
      <c r="EK1178" s="3"/>
      <c r="EL1178" s="3"/>
      <c r="EM1178" s="3"/>
      <c r="EN1178" s="3"/>
      <c r="EO1178" s="3"/>
      <c r="EP1178" s="3"/>
      <c r="EQ1178" s="3"/>
      <c r="ER1178" s="3"/>
      <c r="ES1178" s="3"/>
      <c r="ET1178" s="3"/>
      <c r="EU1178" s="3"/>
      <c r="EV1178" s="3"/>
      <c r="EW1178" s="3"/>
      <c r="EX1178" s="3"/>
      <c r="EY1178" s="3"/>
      <c r="EZ1178" s="3"/>
      <c r="FA1178" s="3"/>
      <c r="FB1178" s="3"/>
      <c r="FC1178" s="3"/>
      <c r="FD1178" s="3"/>
      <c r="FE1178" s="3"/>
      <c r="FF1178" s="3"/>
      <c r="FG1178" s="3"/>
      <c r="FH1178" s="3"/>
      <c r="FI1178" s="3"/>
      <c r="FJ1178" s="3"/>
      <c r="FK1178" s="3"/>
      <c r="FL1178" s="3"/>
      <c r="FM1178" s="3"/>
      <c r="FN1178" s="3"/>
      <c r="FO1178" s="3"/>
      <c r="FP1178" s="3"/>
      <c r="FQ1178" s="3"/>
      <c r="FR1178" s="3"/>
      <c r="FS1178" s="3"/>
      <c r="FT1178" s="3"/>
      <c r="FU1178" s="3"/>
      <c r="FV1178" s="3"/>
      <c r="FW1178" s="3"/>
      <c r="FX1178" s="3"/>
      <c r="FY1178" s="3"/>
    </row>
    <row r="1179" spans="7:181" ht="15" x14ac:dyDescent="0.25">
      <c r="G1179" s="2"/>
      <c r="H1179" s="2"/>
      <c r="I1179" s="2"/>
      <c r="J1179" s="2"/>
      <c r="K1179" s="2"/>
      <c r="L1179" s="3"/>
      <c r="M1179" s="3"/>
      <c r="N1179" s="3"/>
      <c r="O1179" s="3"/>
      <c r="P1179" s="3"/>
      <c r="Q1179" s="3"/>
      <c r="R1179" s="3"/>
      <c r="S1179" s="3"/>
      <c r="T1179" s="3"/>
      <c r="U1179" s="4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4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4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4"/>
      <c r="BI1179" s="3"/>
      <c r="BJ1179" s="3"/>
      <c r="BK1179" s="3"/>
      <c r="BL1179" s="3"/>
      <c r="BM1179" s="3"/>
      <c r="BN1179" s="3"/>
      <c r="BO1179" s="3"/>
      <c r="BP1179" s="3"/>
      <c r="BQ1179" s="3"/>
      <c r="BR1179" s="3"/>
      <c r="BS1179" s="3"/>
      <c r="BT1179" s="3"/>
      <c r="BU1179" s="3"/>
      <c r="BV1179" s="3"/>
      <c r="BW1179" s="3"/>
      <c r="BX1179" s="3"/>
      <c r="BY1179" s="3"/>
      <c r="BZ1179" s="3"/>
      <c r="CA1179" s="3"/>
      <c r="CB1179" s="3"/>
      <c r="CC1179" s="3"/>
      <c r="CD1179" s="3"/>
      <c r="CE1179" s="3"/>
      <c r="CF1179" s="3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  <c r="DS1179" s="3"/>
      <c r="DT1179" s="3"/>
      <c r="DU1179" s="3"/>
      <c r="DV1179" s="3"/>
      <c r="DW1179" s="3"/>
      <c r="DX1179" s="3"/>
      <c r="DY1179" s="3"/>
      <c r="DZ1179" s="3"/>
      <c r="EA1179" s="3"/>
      <c r="EB1179" s="3"/>
      <c r="EC1179" s="3"/>
      <c r="ED1179" s="3"/>
      <c r="EE1179" s="3"/>
      <c r="EF1179" s="3"/>
      <c r="EG1179" s="3"/>
      <c r="EH1179" s="3"/>
      <c r="EI1179" s="3"/>
      <c r="EJ1179" s="3"/>
      <c r="EK1179" s="3"/>
      <c r="EL1179" s="3"/>
      <c r="EM1179" s="3"/>
      <c r="EN1179" s="3"/>
      <c r="EO1179" s="3"/>
      <c r="EP1179" s="3"/>
      <c r="EQ1179" s="3"/>
      <c r="ER1179" s="3"/>
      <c r="ES1179" s="3"/>
      <c r="ET1179" s="3"/>
      <c r="EU1179" s="3"/>
      <c r="EV1179" s="3"/>
      <c r="EW1179" s="3"/>
      <c r="EX1179" s="3"/>
      <c r="EY1179" s="3"/>
      <c r="EZ1179" s="3"/>
      <c r="FA1179" s="3"/>
      <c r="FB1179" s="3"/>
      <c r="FC1179" s="3"/>
      <c r="FD1179" s="3"/>
      <c r="FE1179" s="3"/>
      <c r="FF1179" s="3"/>
      <c r="FG1179" s="3"/>
      <c r="FH1179" s="3"/>
      <c r="FI1179" s="3"/>
      <c r="FJ1179" s="3"/>
      <c r="FK1179" s="3"/>
      <c r="FL1179" s="3"/>
      <c r="FM1179" s="3"/>
      <c r="FN1179" s="3"/>
      <c r="FO1179" s="3"/>
      <c r="FP1179" s="3"/>
      <c r="FQ1179" s="3"/>
      <c r="FR1179" s="3"/>
      <c r="FS1179" s="3"/>
      <c r="FT1179" s="3"/>
      <c r="FU1179" s="3"/>
      <c r="FV1179" s="3"/>
      <c r="FW1179" s="3"/>
      <c r="FX1179" s="3"/>
      <c r="FY1179" s="3"/>
    </row>
    <row r="1180" spans="7:181" ht="15" x14ac:dyDescent="0.25">
      <c r="G1180" s="2"/>
      <c r="H1180" s="2"/>
      <c r="I1180" s="2"/>
      <c r="J1180" s="2"/>
      <c r="K1180" s="2"/>
      <c r="L1180" s="3"/>
      <c r="M1180" s="3"/>
      <c r="N1180" s="3"/>
      <c r="O1180" s="3"/>
      <c r="P1180" s="3"/>
      <c r="Q1180" s="3"/>
      <c r="R1180" s="3"/>
      <c r="S1180" s="3"/>
      <c r="T1180" s="3"/>
      <c r="U1180" s="4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4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4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4"/>
      <c r="BI1180" s="3"/>
      <c r="BJ1180" s="3"/>
      <c r="BK1180" s="3"/>
      <c r="BL1180" s="3"/>
      <c r="BM1180" s="3"/>
      <c r="BN1180" s="3"/>
      <c r="BO1180" s="3"/>
      <c r="BP1180" s="3"/>
      <c r="BQ1180" s="3"/>
      <c r="BR1180" s="3"/>
      <c r="BS1180" s="3"/>
      <c r="BT1180" s="3"/>
      <c r="BU1180" s="3"/>
      <c r="BV1180" s="3"/>
      <c r="BW1180" s="3"/>
      <c r="BX1180" s="3"/>
      <c r="BY1180" s="3"/>
      <c r="BZ1180" s="3"/>
      <c r="CA1180" s="3"/>
      <c r="CB1180" s="3"/>
      <c r="CC1180" s="3"/>
      <c r="CD1180" s="3"/>
      <c r="CE1180" s="3"/>
      <c r="CF1180" s="3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  <c r="DS1180" s="3"/>
      <c r="DT1180" s="3"/>
      <c r="DU1180" s="3"/>
      <c r="DV1180" s="3"/>
      <c r="DW1180" s="3"/>
      <c r="DX1180" s="3"/>
      <c r="DY1180" s="3"/>
      <c r="DZ1180" s="3"/>
      <c r="EA1180" s="3"/>
      <c r="EB1180" s="3"/>
      <c r="EC1180" s="3"/>
      <c r="ED1180" s="3"/>
      <c r="EE1180" s="3"/>
      <c r="EF1180" s="3"/>
      <c r="EG1180" s="3"/>
      <c r="EH1180" s="3"/>
      <c r="EI1180" s="3"/>
      <c r="EJ1180" s="3"/>
      <c r="EK1180" s="3"/>
      <c r="EL1180" s="3"/>
      <c r="EM1180" s="3"/>
      <c r="EN1180" s="3"/>
      <c r="EO1180" s="3"/>
      <c r="EP1180" s="3"/>
      <c r="EQ1180" s="3"/>
      <c r="ER1180" s="3"/>
      <c r="ES1180" s="3"/>
      <c r="ET1180" s="3"/>
      <c r="EU1180" s="3"/>
      <c r="EV1180" s="3"/>
      <c r="EW1180" s="3"/>
      <c r="EX1180" s="3"/>
      <c r="EY1180" s="3"/>
      <c r="EZ1180" s="3"/>
      <c r="FA1180" s="3"/>
      <c r="FB1180" s="3"/>
      <c r="FC1180" s="3"/>
      <c r="FD1180" s="3"/>
      <c r="FE1180" s="3"/>
      <c r="FF1180" s="3"/>
      <c r="FG1180" s="3"/>
      <c r="FH1180" s="3"/>
      <c r="FI1180" s="3"/>
      <c r="FJ1180" s="3"/>
      <c r="FK1180" s="3"/>
      <c r="FL1180" s="3"/>
      <c r="FM1180" s="3"/>
      <c r="FN1180" s="3"/>
      <c r="FO1180" s="3"/>
      <c r="FP1180" s="3"/>
      <c r="FQ1180" s="3"/>
      <c r="FR1180" s="3"/>
      <c r="FS1180" s="3"/>
      <c r="FT1180" s="3"/>
      <c r="FU1180" s="3"/>
      <c r="FV1180" s="3"/>
      <c r="FW1180" s="3"/>
      <c r="FX1180" s="3"/>
      <c r="FY1180" s="3"/>
    </row>
    <row r="1181" spans="7:181" ht="15" x14ac:dyDescent="0.25">
      <c r="G1181" s="2"/>
      <c r="H1181" s="2"/>
      <c r="I1181" s="2"/>
      <c r="J1181" s="2"/>
      <c r="K1181" s="2"/>
      <c r="L1181" s="3"/>
      <c r="M1181" s="3"/>
      <c r="N1181" s="3"/>
      <c r="O1181" s="3"/>
      <c r="P1181" s="3"/>
      <c r="Q1181" s="3"/>
      <c r="R1181" s="3"/>
      <c r="S1181" s="3"/>
      <c r="T1181" s="3"/>
      <c r="U1181" s="4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4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4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4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/>
      <c r="BZ1181" s="3"/>
      <c r="CA1181" s="3"/>
      <c r="CB1181" s="3"/>
      <c r="CC1181" s="3"/>
      <c r="CD1181" s="3"/>
      <c r="CE1181" s="3"/>
      <c r="CF1181" s="3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  <c r="DS1181" s="3"/>
      <c r="DT1181" s="3"/>
      <c r="DU1181" s="3"/>
      <c r="DV1181" s="3"/>
      <c r="DW1181" s="3"/>
      <c r="DX1181" s="3"/>
      <c r="DY1181" s="3"/>
      <c r="DZ1181" s="3"/>
      <c r="EA1181" s="3"/>
      <c r="EB1181" s="3"/>
      <c r="EC1181" s="3"/>
      <c r="ED1181" s="3"/>
      <c r="EE1181" s="3"/>
      <c r="EF1181" s="3"/>
      <c r="EG1181" s="3"/>
      <c r="EH1181" s="3"/>
      <c r="EI1181" s="3"/>
      <c r="EJ1181" s="3"/>
      <c r="EK1181" s="3"/>
      <c r="EL1181" s="3"/>
      <c r="EM1181" s="3"/>
      <c r="EN1181" s="3"/>
      <c r="EO1181" s="3"/>
      <c r="EP1181" s="3"/>
      <c r="EQ1181" s="3"/>
      <c r="ER1181" s="3"/>
      <c r="ES1181" s="3"/>
      <c r="ET1181" s="3"/>
      <c r="EU1181" s="3"/>
      <c r="EV1181" s="3"/>
      <c r="EW1181" s="3"/>
      <c r="EX1181" s="3"/>
      <c r="EY1181" s="3"/>
      <c r="EZ1181" s="3"/>
      <c r="FA1181" s="3"/>
      <c r="FB1181" s="3"/>
      <c r="FC1181" s="3"/>
      <c r="FD1181" s="3"/>
      <c r="FE1181" s="3"/>
      <c r="FF1181" s="3"/>
      <c r="FG1181" s="3"/>
      <c r="FH1181" s="3"/>
      <c r="FI1181" s="3"/>
      <c r="FJ1181" s="3"/>
      <c r="FK1181" s="3"/>
      <c r="FL1181" s="3"/>
      <c r="FM1181" s="3"/>
      <c r="FN1181" s="3"/>
      <c r="FO1181" s="3"/>
      <c r="FP1181" s="3"/>
      <c r="FQ1181" s="3"/>
      <c r="FR1181" s="3"/>
      <c r="FS1181" s="3"/>
      <c r="FT1181" s="3"/>
      <c r="FU1181" s="3"/>
      <c r="FV1181" s="3"/>
      <c r="FW1181" s="3"/>
      <c r="FX1181" s="3"/>
      <c r="FY1181" s="3"/>
    </row>
    <row r="1182" spans="7:181" ht="15" x14ac:dyDescent="0.25">
      <c r="G1182" s="2"/>
      <c r="H1182" s="2"/>
      <c r="I1182" s="2"/>
      <c r="J1182" s="2"/>
      <c r="K1182" s="2"/>
      <c r="L1182" s="3"/>
      <c r="M1182" s="3"/>
      <c r="N1182" s="3"/>
      <c r="O1182" s="3"/>
      <c r="P1182" s="3"/>
      <c r="Q1182" s="3"/>
      <c r="R1182" s="3"/>
      <c r="S1182" s="3"/>
      <c r="T1182" s="3"/>
      <c r="U1182" s="4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4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4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4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/>
      <c r="BZ1182" s="3"/>
      <c r="CA1182" s="3"/>
      <c r="CB1182" s="3"/>
      <c r="CC1182" s="3"/>
      <c r="CD1182" s="3"/>
      <c r="CE1182" s="3"/>
      <c r="CF1182" s="3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  <c r="DS1182" s="3"/>
      <c r="DT1182" s="3"/>
      <c r="DU1182" s="3"/>
      <c r="DV1182" s="3"/>
      <c r="DW1182" s="3"/>
      <c r="DX1182" s="3"/>
      <c r="DY1182" s="3"/>
      <c r="DZ1182" s="3"/>
      <c r="EA1182" s="3"/>
      <c r="EB1182" s="3"/>
      <c r="EC1182" s="3"/>
      <c r="ED1182" s="3"/>
      <c r="EE1182" s="3"/>
      <c r="EF1182" s="3"/>
      <c r="EG1182" s="3"/>
      <c r="EH1182" s="3"/>
      <c r="EI1182" s="3"/>
      <c r="EJ1182" s="3"/>
      <c r="EK1182" s="3"/>
      <c r="EL1182" s="3"/>
      <c r="EM1182" s="3"/>
      <c r="EN1182" s="3"/>
      <c r="EO1182" s="3"/>
      <c r="EP1182" s="3"/>
      <c r="EQ1182" s="3"/>
      <c r="ER1182" s="3"/>
      <c r="ES1182" s="3"/>
      <c r="ET1182" s="3"/>
      <c r="EU1182" s="3"/>
      <c r="EV1182" s="3"/>
      <c r="EW1182" s="3"/>
      <c r="EX1182" s="3"/>
      <c r="EY1182" s="3"/>
      <c r="EZ1182" s="3"/>
      <c r="FA1182" s="3"/>
      <c r="FB1182" s="3"/>
      <c r="FC1182" s="3"/>
      <c r="FD1182" s="3"/>
      <c r="FE1182" s="3"/>
      <c r="FF1182" s="3"/>
      <c r="FG1182" s="3"/>
      <c r="FH1182" s="3"/>
      <c r="FI1182" s="3"/>
      <c r="FJ1182" s="3"/>
      <c r="FK1182" s="3"/>
      <c r="FL1182" s="3"/>
      <c r="FM1182" s="3"/>
      <c r="FN1182" s="3"/>
      <c r="FO1182" s="3"/>
      <c r="FP1182" s="3"/>
      <c r="FQ1182" s="3"/>
      <c r="FR1182" s="3"/>
      <c r="FS1182" s="3"/>
      <c r="FT1182" s="3"/>
      <c r="FU1182" s="3"/>
      <c r="FV1182" s="3"/>
      <c r="FW1182" s="3"/>
      <c r="FX1182" s="3"/>
      <c r="FY1182" s="3"/>
    </row>
    <row r="1183" spans="7:181" ht="15" x14ac:dyDescent="0.25">
      <c r="G1183" s="2"/>
      <c r="H1183" s="2"/>
      <c r="I1183" s="2"/>
      <c r="J1183" s="2"/>
      <c r="K1183" s="2"/>
      <c r="L1183" s="3"/>
      <c r="M1183" s="3"/>
      <c r="N1183" s="3"/>
      <c r="O1183" s="3"/>
      <c r="P1183" s="3"/>
      <c r="Q1183" s="3"/>
      <c r="R1183" s="3"/>
      <c r="S1183" s="3"/>
      <c r="T1183" s="3"/>
      <c r="U1183" s="4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4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4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4"/>
      <c r="BI1183" s="3"/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/>
      <c r="BU1183" s="3"/>
      <c r="BV1183" s="3"/>
      <c r="BW1183" s="3"/>
      <c r="BX1183" s="3"/>
      <c r="BY1183" s="3"/>
      <c r="BZ1183" s="3"/>
      <c r="CA1183" s="3"/>
      <c r="CB1183" s="3"/>
      <c r="CC1183" s="3"/>
      <c r="CD1183" s="3"/>
      <c r="CE1183" s="3"/>
      <c r="CF1183" s="3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  <c r="DS1183" s="3"/>
      <c r="DT1183" s="3"/>
      <c r="DU1183" s="3"/>
      <c r="DV1183" s="3"/>
      <c r="DW1183" s="3"/>
      <c r="DX1183" s="3"/>
      <c r="DY1183" s="3"/>
      <c r="DZ1183" s="3"/>
      <c r="EA1183" s="3"/>
      <c r="EB1183" s="3"/>
      <c r="EC1183" s="3"/>
      <c r="ED1183" s="3"/>
      <c r="EE1183" s="3"/>
      <c r="EF1183" s="3"/>
      <c r="EG1183" s="3"/>
      <c r="EH1183" s="3"/>
      <c r="EI1183" s="3"/>
      <c r="EJ1183" s="3"/>
      <c r="EK1183" s="3"/>
      <c r="EL1183" s="3"/>
      <c r="EM1183" s="3"/>
      <c r="EN1183" s="3"/>
      <c r="EO1183" s="3"/>
      <c r="EP1183" s="3"/>
      <c r="EQ1183" s="3"/>
      <c r="ER1183" s="3"/>
      <c r="ES1183" s="3"/>
      <c r="ET1183" s="3"/>
      <c r="EU1183" s="3"/>
      <c r="EV1183" s="3"/>
      <c r="EW1183" s="3"/>
      <c r="EX1183" s="3"/>
      <c r="EY1183" s="3"/>
      <c r="EZ1183" s="3"/>
      <c r="FA1183" s="3"/>
      <c r="FB1183" s="3"/>
      <c r="FC1183" s="3"/>
      <c r="FD1183" s="3"/>
      <c r="FE1183" s="3"/>
      <c r="FF1183" s="3"/>
      <c r="FG1183" s="3"/>
      <c r="FH1183" s="3"/>
      <c r="FI1183" s="3"/>
      <c r="FJ1183" s="3"/>
      <c r="FK1183" s="3"/>
      <c r="FL1183" s="3"/>
      <c r="FM1183" s="3"/>
      <c r="FN1183" s="3"/>
      <c r="FO1183" s="3"/>
      <c r="FP1183" s="3"/>
      <c r="FQ1183" s="3"/>
      <c r="FR1183" s="3"/>
      <c r="FS1183" s="3"/>
      <c r="FT1183" s="3"/>
      <c r="FU1183" s="3"/>
      <c r="FV1183" s="3"/>
      <c r="FW1183" s="3"/>
      <c r="FX1183" s="3"/>
      <c r="FY1183" s="3"/>
    </row>
    <row r="1184" spans="7:181" ht="15" x14ac:dyDescent="0.25">
      <c r="G1184" s="2"/>
      <c r="H1184" s="2"/>
      <c r="I1184" s="2"/>
      <c r="J1184" s="2"/>
      <c r="K1184" s="2"/>
      <c r="L1184" s="3"/>
      <c r="M1184" s="3"/>
      <c r="N1184" s="3"/>
      <c r="O1184" s="3"/>
      <c r="P1184" s="3"/>
      <c r="Q1184" s="3"/>
      <c r="R1184" s="3"/>
      <c r="S1184" s="3"/>
      <c r="T1184" s="3"/>
      <c r="U1184" s="4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4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4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4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  <c r="DS1184" s="3"/>
      <c r="DT1184" s="3"/>
      <c r="DU1184" s="3"/>
      <c r="DV1184" s="3"/>
      <c r="DW1184" s="3"/>
      <c r="DX1184" s="3"/>
      <c r="DY1184" s="3"/>
      <c r="DZ1184" s="3"/>
      <c r="EA1184" s="3"/>
      <c r="EB1184" s="3"/>
      <c r="EC1184" s="3"/>
      <c r="ED1184" s="3"/>
      <c r="EE1184" s="3"/>
      <c r="EF1184" s="3"/>
      <c r="EG1184" s="3"/>
      <c r="EH1184" s="3"/>
      <c r="EI1184" s="3"/>
      <c r="EJ1184" s="3"/>
      <c r="EK1184" s="3"/>
      <c r="EL1184" s="3"/>
      <c r="EM1184" s="3"/>
      <c r="EN1184" s="3"/>
      <c r="EO1184" s="3"/>
      <c r="EP1184" s="3"/>
      <c r="EQ1184" s="3"/>
      <c r="ER1184" s="3"/>
      <c r="ES1184" s="3"/>
      <c r="ET1184" s="3"/>
      <c r="EU1184" s="3"/>
      <c r="EV1184" s="3"/>
      <c r="EW1184" s="3"/>
      <c r="EX1184" s="3"/>
      <c r="EY1184" s="3"/>
      <c r="EZ1184" s="3"/>
      <c r="FA1184" s="3"/>
      <c r="FB1184" s="3"/>
      <c r="FC1184" s="3"/>
      <c r="FD1184" s="3"/>
      <c r="FE1184" s="3"/>
      <c r="FF1184" s="3"/>
      <c r="FG1184" s="3"/>
      <c r="FH1184" s="3"/>
      <c r="FI1184" s="3"/>
      <c r="FJ1184" s="3"/>
      <c r="FK1184" s="3"/>
      <c r="FL1184" s="3"/>
      <c r="FM1184" s="3"/>
      <c r="FN1184" s="3"/>
      <c r="FO1184" s="3"/>
      <c r="FP1184" s="3"/>
      <c r="FQ1184" s="3"/>
      <c r="FR1184" s="3"/>
      <c r="FS1184" s="3"/>
      <c r="FT1184" s="3"/>
      <c r="FU1184" s="3"/>
      <c r="FV1184" s="3"/>
      <c r="FW1184" s="3"/>
      <c r="FX1184" s="3"/>
      <c r="FY1184" s="3"/>
    </row>
    <row r="1185" spans="7:181" ht="15" x14ac:dyDescent="0.25">
      <c r="G1185" s="2"/>
      <c r="H1185" s="2"/>
      <c r="I1185" s="2"/>
      <c r="J1185" s="2"/>
      <c r="K1185" s="2"/>
      <c r="L1185" s="3"/>
      <c r="M1185" s="3"/>
      <c r="N1185" s="3"/>
      <c r="O1185" s="3"/>
      <c r="P1185" s="3"/>
      <c r="Q1185" s="3"/>
      <c r="R1185" s="3"/>
      <c r="S1185" s="3"/>
      <c r="T1185" s="3"/>
      <c r="U1185" s="4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4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4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4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  <c r="DS1185" s="3"/>
      <c r="DT1185" s="3"/>
      <c r="DU1185" s="3"/>
      <c r="DV1185" s="3"/>
      <c r="DW1185" s="3"/>
      <c r="DX1185" s="3"/>
      <c r="DY1185" s="3"/>
      <c r="DZ1185" s="3"/>
      <c r="EA1185" s="3"/>
      <c r="EB1185" s="3"/>
      <c r="EC1185" s="3"/>
      <c r="ED1185" s="3"/>
      <c r="EE1185" s="3"/>
      <c r="EF1185" s="3"/>
      <c r="EG1185" s="3"/>
      <c r="EH1185" s="3"/>
      <c r="EI1185" s="3"/>
      <c r="EJ1185" s="3"/>
      <c r="EK1185" s="3"/>
      <c r="EL1185" s="3"/>
      <c r="EM1185" s="3"/>
      <c r="EN1185" s="3"/>
      <c r="EO1185" s="3"/>
      <c r="EP1185" s="3"/>
      <c r="EQ1185" s="3"/>
      <c r="ER1185" s="3"/>
      <c r="ES1185" s="3"/>
      <c r="ET1185" s="3"/>
      <c r="EU1185" s="3"/>
      <c r="EV1185" s="3"/>
      <c r="EW1185" s="3"/>
      <c r="EX1185" s="3"/>
      <c r="EY1185" s="3"/>
      <c r="EZ1185" s="3"/>
      <c r="FA1185" s="3"/>
      <c r="FB1185" s="3"/>
      <c r="FC1185" s="3"/>
      <c r="FD1185" s="3"/>
      <c r="FE1185" s="3"/>
      <c r="FF1185" s="3"/>
      <c r="FG1185" s="3"/>
      <c r="FH1185" s="3"/>
      <c r="FI1185" s="3"/>
      <c r="FJ1185" s="3"/>
      <c r="FK1185" s="3"/>
      <c r="FL1185" s="3"/>
      <c r="FM1185" s="3"/>
      <c r="FN1185" s="3"/>
      <c r="FO1185" s="3"/>
      <c r="FP1185" s="3"/>
      <c r="FQ1185" s="3"/>
      <c r="FR1185" s="3"/>
      <c r="FS1185" s="3"/>
      <c r="FT1185" s="3"/>
      <c r="FU1185" s="3"/>
      <c r="FV1185" s="3"/>
      <c r="FW1185" s="3"/>
      <c r="FX1185" s="3"/>
      <c r="FY1185" s="3"/>
    </row>
    <row r="1186" spans="7:181" ht="15" x14ac:dyDescent="0.25">
      <c r="G1186" s="2"/>
      <c r="H1186" s="2"/>
      <c r="I1186" s="2"/>
      <c r="J1186" s="2"/>
      <c r="K1186" s="2"/>
      <c r="L1186" s="3"/>
      <c r="M1186" s="3"/>
      <c r="N1186" s="3"/>
      <c r="O1186" s="3"/>
      <c r="P1186" s="3"/>
      <c r="Q1186" s="3"/>
      <c r="R1186" s="3"/>
      <c r="S1186" s="3"/>
      <c r="T1186" s="3"/>
      <c r="U1186" s="4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4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4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4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  <c r="DS1186" s="3"/>
      <c r="DT1186" s="3"/>
      <c r="DU1186" s="3"/>
      <c r="DV1186" s="3"/>
      <c r="DW1186" s="3"/>
      <c r="DX1186" s="3"/>
      <c r="DY1186" s="3"/>
      <c r="DZ1186" s="3"/>
      <c r="EA1186" s="3"/>
      <c r="EB1186" s="3"/>
      <c r="EC1186" s="3"/>
      <c r="ED1186" s="3"/>
      <c r="EE1186" s="3"/>
      <c r="EF1186" s="3"/>
      <c r="EG1186" s="3"/>
      <c r="EH1186" s="3"/>
      <c r="EI1186" s="3"/>
      <c r="EJ1186" s="3"/>
      <c r="EK1186" s="3"/>
      <c r="EL1186" s="3"/>
      <c r="EM1186" s="3"/>
      <c r="EN1186" s="3"/>
      <c r="EO1186" s="3"/>
      <c r="EP1186" s="3"/>
      <c r="EQ1186" s="3"/>
      <c r="ER1186" s="3"/>
      <c r="ES1186" s="3"/>
      <c r="ET1186" s="3"/>
      <c r="EU1186" s="3"/>
      <c r="EV1186" s="3"/>
      <c r="EW1186" s="3"/>
      <c r="EX1186" s="3"/>
      <c r="EY1186" s="3"/>
      <c r="EZ1186" s="3"/>
      <c r="FA1186" s="3"/>
      <c r="FB1186" s="3"/>
      <c r="FC1186" s="3"/>
      <c r="FD1186" s="3"/>
      <c r="FE1186" s="3"/>
      <c r="FF1186" s="3"/>
      <c r="FG1186" s="3"/>
      <c r="FH1186" s="3"/>
      <c r="FI1186" s="3"/>
      <c r="FJ1186" s="3"/>
      <c r="FK1186" s="3"/>
      <c r="FL1186" s="3"/>
      <c r="FM1186" s="3"/>
      <c r="FN1186" s="3"/>
      <c r="FO1186" s="3"/>
      <c r="FP1186" s="3"/>
      <c r="FQ1186" s="3"/>
      <c r="FR1186" s="3"/>
      <c r="FS1186" s="3"/>
      <c r="FT1186" s="3"/>
      <c r="FU1186" s="3"/>
      <c r="FV1186" s="3"/>
      <c r="FW1186" s="3"/>
      <c r="FX1186" s="3"/>
      <c r="FY1186" s="3"/>
    </row>
    <row r="1187" spans="7:181" ht="15" x14ac:dyDescent="0.25">
      <c r="G1187" s="2"/>
      <c r="H1187" s="2"/>
      <c r="I1187" s="2"/>
      <c r="J1187" s="2"/>
      <c r="K1187" s="2"/>
      <c r="L1187" s="3"/>
      <c r="M1187" s="3"/>
      <c r="N1187" s="3"/>
      <c r="O1187" s="3"/>
      <c r="P1187" s="3"/>
      <c r="Q1187" s="3"/>
      <c r="R1187" s="3"/>
      <c r="S1187" s="3"/>
      <c r="T1187" s="3"/>
      <c r="U1187" s="4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4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4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4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  <c r="DS1187" s="3"/>
      <c r="DT1187" s="3"/>
      <c r="DU1187" s="3"/>
      <c r="DV1187" s="3"/>
      <c r="DW1187" s="3"/>
      <c r="DX1187" s="3"/>
      <c r="DY1187" s="3"/>
      <c r="DZ1187" s="3"/>
      <c r="EA1187" s="3"/>
      <c r="EB1187" s="3"/>
      <c r="EC1187" s="3"/>
      <c r="ED1187" s="3"/>
      <c r="EE1187" s="3"/>
      <c r="EF1187" s="3"/>
      <c r="EG1187" s="3"/>
      <c r="EH1187" s="3"/>
      <c r="EI1187" s="3"/>
      <c r="EJ1187" s="3"/>
      <c r="EK1187" s="3"/>
      <c r="EL1187" s="3"/>
      <c r="EM1187" s="3"/>
      <c r="EN1187" s="3"/>
      <c r="EO1187" s="3"/>
      <c r="EP1187" s="3"/>
      <c r="EQ1187" s="3"/>
      <c r="ER1187" s="3"/>
      <c r="ES1187" s="3"/>
      <c r="ET1187" s="3"/>
      <c r="EU1187" s="3"/>
      <c r="EV1187" s="3"/>
      <c r="EW1187" s="3"/>
      <c r="EX1187" s="3"/>
      <c r="EY1187" s="3"/>
      <c r="EZ1187" s="3"/>
      <c r="FA1187" s="3"/>
      <c r="FB1187" s="3"/>
      <c r="FC1187" s="3"/>
      <c r="FD1187" s="3"/>
      <c r="FE1187" s="3"/>
      <c r="FF1187" s="3"/>
      <c r="FG1187" s="3"/>
      <c r="FH1187" s="3"/>
      <c r="FI1187" s="3"/>
      <c r="FJ1187" s="3"/>
      <c r="FK1187" s="3"/>
      <c r="FL1187" s="3"/>
      <c r="FM1187" s="3"/>
      <c r="FN1187" s="3"/>
      <c r="FO1187" s="3"/>
      <c r="FP1187" s="3"/>
      <c r="FQ1187" s="3"/>
      <c r="FR1187" s="3"/>
      <c r="FS1187" s="3"/>
      <c r="FT1187" s="3"/>
      <c r="FU1187" s="3"/>
      <c r="FV1187" s="3"/>
      <c r="FW1187" s="3"/>
      <c r="FX1187" s="3"/>
      <c r="FY1187" s="3"/>
    </row>
    <row r="1188" spans="7:181" ht="15" x14ac:dyDescent="0.25">
      <c r="G1188" s="2"/>
      <c r="H1188" s="2"/>
      <c r="I1188" s="2"/>
      <c r="J1188" s="2"/>
      <c r="K1188" s="2"/>
      <c r="L1188" s="3"/>
      <c r="M1188" s="3"/>
      <c r="N1188" s="3"/>
      <c r="O1188" s="3"/>
      <c r="P1188" s="3"/>
      <c r="Q1188" s="3"/>
      <c r="R1188" s="3"/>
      <c r="S1188" s="3"/>
      <c r="T1188" s="3"/>
      <c r="U1188" s="4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4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4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4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  <c r="DS1188" s="3"/>
      <c r="DT1188" s="3"/>
      <c r="DU1188" s="3"/>
      <c r="DV1188" s="3"/>
      <c r="DW1188" s="3"/>
      <c r="DX1188" s="3"/>
      <c r="DY1188" s="3"/>
      <c r="DZ1188" s="3"/>
      <c r="EA1188" s="3"/>
      <c r="EB1188" s="3"/>
      <c r="EC1188" s="3"/>
      <c r="ED1188" s="3"/>
      <c r="EE1188" s="3"/>
      <c r="EF1188" s="3"/>
      <c r="EG1188" s="3"/>
      <c r="EH1188" s="3"/>
      <c r="EI1188" s="3"/>
      <c r="EJ1188" s="3"/>
      <c r="EK1188" s="3"/>
      <c r="EL1188" s="3"/>
      <c r="EM1188" s="3"/>
      <c r="EN1188" s="3"/>
      <c r="EO1188" s="3"/>
      <c r="EP1188" s="3"/>
      <c r="EQ1188" s="3"/>
      <c r="ER1188" s="3"/>
      <c r="ES1188" s="3"/>
      <c r="ET1188" s="3"/>
      <c r="EU1188" s="3"/>
      <c r="EV1188" s="3"/>
      <c r="EW1188" s="3"/>
      <c r="EX1188" s="3"/>
      <c r="EY1188" s="3"/>
      <c r="EZ1188" s="3"/>
      <c r="FA1188" s="3"/>
      <c r="FB1188" s="3"/>
      <c r="FC1188" s="3"/>
      <c r="FD1188" s="3"/>
      <c r="FE1188" s="3"/>
      <c r="FF1188" s="3"/>
      <c r="FG1188" s="3"/>
      <c r="FH1188" s="3"/>
      <c r="FI1188" s="3"/>
      <c r="FJ1188" s="3"/>
      <c r="FK1188" s="3"/>
      <c r="FL1188" s="3"/>
      <c r="FM1188" s="3"/>
      <c r="FN1188" s="3"/>
      <c r="FO1188" s="3"/>
      <c r="FP1188" s="3"/>
      <c r="FQ1188" s="3"/>
      <c r="FR1188" s="3"/>
      <c r="FS1188" s="3"/>
      <c r="FT1188" s="3"/>
      <c r="FU1188" s="3"/>
      <c r="FV1188" s="3"/>
      <c r="FW1188" s="3"/>
      <c r="FX1188" s="3"/>
      <c r="FY1188" s="3"/>
    </row>
    <row r="1189" spans="7:181" ht="15" x14ac:dyDescent="0.25">
      <c r="G1189" s="2"/>
      <c r="H1189" s="2"/>
      <c r="I1189" s="2"/>
      <c r="J1189" s="2"/>
      <c r="K1189" s="2"/>
      <c r="L1189" s="3"/>
      <c r="M1189" s="3"/>
      <c r="N1189" s="3"/>
      <c r="O1189" s="3"/>
      <c r="P1189" s="3"/>
      <c r="Q1189" s="3"/>
      <c r="R1189" s="3"/>
      <c r="S1189" s="3"/>
      <c r="T1189" s="3"/>
      <c r="U1189" s="4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4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4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4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  <c r="DS1189" s="3"/>
      <c r="DT1189" s="3"/>
      <c r="DU1189" s="3"/>
      <c r="DV1189" s="3"/>
      <c r="DW1189" s="3"/>
      <c r="DX1189" s="3"/>
      <c r="DY1189" s="3"/>
      <c r="DZ1189" s="3"/>
      <c r="EA1189" s="3"/>
      <c r="EB1189" s="3"/>
      <c r="EC1189" s="3"/>
      <c r="ED1189" s="3"/>
      <c r="EE1189" s="3"/>
      <c r="EF1189" s="3"/>
      <c r="EG1189" s="3"/>
      <c r="EH1189" s="3"/>
      <c r="EI1189" s="3"/>
      <c r="EJ1189" s="3"/>
      <c r="EK1189" s="3"/>
      <c r="EL1189" s="3"/>
      <c r="EM1189" s="3"/>
      <c r="EN1189" s="3"/>
      <c r="EO1189" s="3"/>
      <c r="EP1189" s="3"/>
      <c r="EQ1189" s="3"/>
      <c r="ER1189" s="3"/>
      <c r="ES1189" s="3"/>
      <c r="ET1189" s="3"/>
      <c r="EU1189" s="3"/>
      <c r="EV1189" s="3"/>
      <c r="EW1189" s="3"/>
      <c r="EX1189" s="3"/>
      <c r="EY1189" s="3"/>
      <c r="EZ1189" s="3"/>
      <c r="FA1189" s="3"/>
      <c r="FB1189" s="3"/>
      <c r="FC1189" s="3"/>
      <c r="FD1189" s="3"/>
      <c r="FE1189" s="3"/>
      <c r="FF1189" s="3"/>
      <c r="FG1189" s="3"/>
      <c r="FH1189" s="3"/>
      <c r="FI1189" s="3"/>
      <c r="FJ1189" s="3"/>
      <c r="FK1189" s="3"/>
      <c r="FL1189" s="3"/>
      <c r="FM1189" s="3"/>
      <c r="FN1189" s="3"/>
      <c r="FO1189" s="3"/>
      <c r="FP1189" s="3"/>
      <c r="FQ1189" s="3"/>
      <c r="FR1189" s="3"/>
      <c r="FS1189" s="3"/>
      <c r="FT1189" s="3"/>
      <c r="FU1189" s="3"/>
      <c r="FV1189" s="3"/>
      <c r="FW1189" s="3"/>
      <c r="FX1189" s="3"/>
      <c r="FY1189" s="3"/>
    </row>
    <row r="1190" spans="7:181" ht="15" x14ac:dyDescent="0.25">
      <c r="G1190" s="2"/>
      <c r="H1190" s="2"/>
      <c r="I1190" s="2"/>
      <c r="J1190" s="2"/>
      <c r="K1190" s="2"/>
      <c r="L1190" s="3"/>
      <c r="M1190" s="3"/>
      <c r="N1190" s="3"/>
      <c r="O1190" s="3"/>
      <c r="P1190" s="3"/>
      <c r="Q1190" s="3"/>
      <c r="R1190" s="3"/>
      <c r="S1190" s="3"/>
      <c r="T1190" s="3"/>
      <c r="U1190" s="4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4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4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4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  <c r="DS1190" s="3"/>
      <c r="DT1190" s="3"/>
      <c r="DU1190" s="3"/>
      <c r="DV1190" s="3"/>
      <c r="DW1190" s="3"/>
      <c r="DX1190" s="3"/>
      <c r="DY1190" s="3"/>
      <c r="DZ1190" s="3"/>
      <c r="EA1190" s="3"/>
      <c r="EB1190" s="3"/>
      <c r="EC1190" s="3"/>
      <c r="ED1190" s="3"/>
      <c r="EE1190" s="3"/>
      <c r="EF1190" s="3"/>
      <c r="EG1190" s="3"/>
      <c r="EH1190" s="3"/>
      <c r="EI1190" s="3"/>
      <c r="EJ1190" s="3"/>
      <c r="EK1190" s="3"/>
      <c r="EL1190" s="3"/>
      <c r="EM1190" s="3"/>
      <c r="EN1190" s="3"/>
      <c r="EO1190" s="3"/>
      <c r="EP1190" s="3"/>
      <c r="EQ1190" s="3"/>
      <c r="ER1190" s="3"/>
      <c r="ES1190" s="3"/>
      <c r="ET1190" s="3"/>
      <c r="EU1190" s="3"/>
      <c r="EV1190" s="3"/>
      <c r="EW1190" s="3"/>
      <c r="EX1190" s="3"/>
      <c r="EY1190" s="3"/>
      <c r="EZ1190" s="3"/>
      <c r="FA1190" s="3"/>
      <c r="FB1190" s="3"/>
      <c r="FC1190" s="3"/>
      <c r="FD1190" s="3"/>
      <c r="FE1190" s="3"/>
      <c r="FF1190" s="3"/>
      <c r="FG1190" s="3"/>
      <c r="FH1190" s="3"/>
      <c r="FI1190" s="3"/>
      <c r="FJ1190" s="3"/>
      <c r="FK1190" s="3"/>
      <c r="FL1190" s="3"/>
      <c r="FM1190" s="3"/>
      <c r="FN1190" s="3"/>
      <c r="FO1190" s="3"/>
      <c r="FP1190" s="3"/>
      <c r="FQ1190" s="3"/>
      <c r="FR1190" s="3"/>
      <c r="FS1190" s="3"/>
      <c r="FT1190" s="3"/>
      <c r="FU1190" s="3"/>
      <c r="FV1190" s="3"/>
      <c r="FW1190" s="3"/>
      <c r="FX1190" s="3"/>
      <c r="FY1190" s="3"/>
    </row>
    <row r="1191" spans="7:181" ht="15" x14ac:dyDescent="0.25">
      <c r="G1191" s="2"/>
      <c r="H1191" s="2"/>
      <c r="I1191" s="2"/>
      <c r="J1191" s="2"/>
      <c r="K1191" s="2"/>
      <c r="L1191" s="3"/>
      <c r="M1191" s="3"/>
      <c r="N1191" s="3"/>
      <c r="O1191" s="3"/>
      <c r="P1191" s="3"/>
      <c r="Q1191" s="3"/>
      <c r="R1191" s="3"/>
      <c r="S1191" s="3"/>
      <c r="T1191" s="3"/>
      <c r="U1191" s="4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4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4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4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  <c r="DS1191" s="3"/>
      <c r="DT1191" s="3"/>
      <c r="DU1191" s="3"/>
      <c r="DV1191" s="3"/>
      <c r="DW1191" s="3"/>
      <c r="DX1191" s="3"/>
      <c r="DY1191" s="3"/>
      <c r="DZ1191" s="3"/>
      <c r="EA1191" s="3"/>
      <c r="EB1191" s="3"/>
      <c r="EC1191" s="3"/>
      <c r="ED1191" s="3"/>
      <c r="EE1191" s="3"/>
      <c r="EF1191" s="3"/>
      <c r="EG1191" s="3"/>
      <c r="EH1191" s="3"/>
      <c r="EI1191" s="3"/>
      <c r="EJ1191" s="3"/>
      <c r="EK1191" s="3"/>
      <c r="EL1191" s="3"/>
      <c r="EM1191" s="3"/>
      <c r="EN1191" s="3"/>
      <c r="EO1191" s="3"/>
      <c r="EP1191" s="3"/>
      <c r="EQ1191" s="3"/>
      <c r="ER1191" s="3"/>
      <c r="ES1191" s="3"/>
      <c r="ET1191" s="3"/>
      <c r="EU1191" s="3"/>
      <c r="EV1191" s="3"/>
      <c r="EW1191" s="3"/>
      <c r="EX1191" s="3"/>
      <c r="EY1191" s="3"/>
      <c r="EZ1191" s="3"/>
      <c r="FA1191" s="3"/>
      <c r="FB1191" s="3"/>
      <c r="FC1191" s="3"/>
      <c r="FD1191" s="3"/>
      <c r="FE1191" s="3"/>
      <c r="FF1191" s="3"/>
      <c r="FG1191" s="3"/>
      <c r="FH1191" s="3"/>
      <c r="FI1191" s="3"/>
      <c r="FJ1191" s="3"/>
      <c r="FK1191" s="3"/>
      <c r="FL1191" s="3"/>
      <c r="FM1191" s="3"/>
      <c r="FN1191" s="3"/>
      <c r="FO1191" s="3"/>
      <c r="FP1191" s="3"/>
      <c r="FQ1191" s="3"/>
      <c r="FR1191" s="3"/>
      <c r="FS1191" s="3"/>
      <c r="FT1191" s="3"/>
      <c r="FU1191" s="3"/>
      <c r="FV1191" s="3"/>
      <c r="FW1191" s="3"/>
      <c r="FX1191" s="3"/>
      <c r="FY1191" s="3"/>
    </row>
    <row r="1192" spans="7:181" ht="15" x14ac:dyDescent="0.25">
      <c r="G1192" s="2"/>
      <c r="H1192" s="2"/>
      <c r="I1192" s="2"/>
      <c r="J1192" s="2"/>
      <c r="K1192" s="2"/>
      <c r="L1192" s="3"/>
      <c r="M1192" s="3"/>
      <c r="N1192" s="3"/>
      <c r="O1192" s="3"/>
      <c r="P1192" s="3"/>
      <c r="Q1192" s="3"/>
      <c r="R1192" s="3"/>
      <c r="S1192" s="3"/>
      <c r="T1192" s="3"/>
      <c r="U1192" s="4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4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4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4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  <c r="DS1192" s="3"/>
      <c r="DT1192" s="3"/>
      <c r="DU1192" s="3"/>
      <c r="DV1192" s="3"/>
      <c r="DW1192" s="3"/>
      <c r="DX1192" s="3"/>
      <c r="DY1192" s="3"/>
      <c r="DZ1192" s="3"/>
      <c r="EA1192" s="3"/>
      <c r="EB1192" s="3"/>
      <c r="EC1192" s="3"/>
      <c r="ED1192" s="3"/>
      <c r="EE1192" s="3"/>
      <c r="EF1192" s="3"/>
      <c r="EG1192" s="3"/>
      <c r="EH1192" s="3"/>
      <c r="EI1192" s="3"/>
      <c r="EJ1192" s="3"/>
      <c r="EK1192" s="3"/>
      <c r="EL1192" s="3"/>
      <c r="EM1192" s="3"/>
      <c r="EN1192" s="3"/>
      <c r="EO1192" s="3"/>
      <c r="EP1192" s="3"/>
      <c r="EQ1192" s="3"/>
      <c r="ER1192" s="3"/>
      <c r="ES1192" s="3"/>
      <c r="ET1192" s="3"/>
      <c r="EU1192" s="3"/>
      <c r="EV1192" s="3"/>
      <c r="EW1192" s="3"/>
      <c r="EX1192" s="3"/>
      <c r="EY1192" s="3"/>
      <c r="EZ1192" s="3"/>
      <c r="FA1192" s="3"/>
      <c r="FB1192" s="3"/>
      <c r="FC1192" s="3"/>
      <c r="FD1192" s="3"/>
      <c r="FE1192" s="3"/>
      <c r="FF1192" s="3"/>
      <c r="FG1192" s="3"/>
      <c r="FH1192" s="3"/>
      <c r="FI1192" s="3"/>
      <c r="FJ1192" s="3"/>
      <c r="FK1192" s="3"/>
      <c r="FL1192" s="3"/>
      <c r="FM1192" s="3"/>
      <c r="FN1192" s="3"/>
      <c r="FO1192" s="3"/>
      <c r="FP1192" s="3"/>
      <c r="FQ1192" s="3"/>
      <c r="FR1192" s="3"/>
      <c r="FS1192" s="3"/>
      <c r="FT1192" s="3"/>
      <c r="FU1192" s="3"/>
      <c r="FV1192" s="3"/>
      <c r="FW1192" s="3"/>
      <c r="FX1192" s="3"/>
      <c r="FY1192" s="3"/>
    </row>
    <row r="1193" spans="7:181" ht="15" x14ac:dyDescent="0.25">
      <c r="G1193" s="2"/>
      <c r="H1193" s="2"/>
      <c r="I1193" s="2"/>
      <c r="J1193" s="2"/>
      <c r="K1193" s="2"/>
      <c r="L1193" s="3"/>
      <c r="M1193" s="3"/>
      <c r="N1193" s="3"/>
      <c r="O1193" s="3"/>
      <c r="P1193" s="3"/>
      <c r="Q1193" s="3"/>
      <c r="R1193" s="3"/>
      <c r="S1193" s="3"/>
      <c r="T1193" s="3"/>
      <c r="U1193" s="4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4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4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4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  <c r="DS1193" s="3"/>
      <c r="DT1193" s="3"/>
      <c r="DU1193" s="3"/>
      <c r="DV1193" s="3"/>
      <c r="DW1193" s="3"/>
      <c r="DX1193" s="3"/>
      <c r="DY1193" s="3"/>
      <c r="DZ1193" s="3"/>
      <c r="EA1193" s="3"/>
      <c r="EB1193" s="3"/>
      <c r="EC1193" s="3"/>
      <c r="ED1193" s="3"/>
      <c r="EE1193" s="3"/>
      <c r="EF1193" s="3"/>
      <c r="EG1193" s="3"/>
      <c r="EH1193" s="3"/>
      <c r="EI1193" s="3"/>
      <c r="EJ1193" s="3"/>
      <c r="EK1193" s="3"/>
      <c r="EL1193" s="3"/>
      <c r="EM1193" s="3"/>
      <c r="EN1193" s="3"/>
      <c r="EO1193" s="3"/>
      <c r="EP1193" s="3"/>
      <c r="EQ1193" s="3"/>
      <c r="ER1193" s="3"/>
      <c r="ES1193" s="3"/>
      <c r="ET1193" s="3"/>
      <c r="EU1193" s="3"/>
      <c r="EV1193" s="3"/>
      <c r="EW1193" s="3"/>
      <c r="EX1193" s="3"/>
      <c r="EY1193" s="3"/>
      <c r="EZ1193" s="3"/>
      <c r="FA1193" s="3"/>
      <c r="FB1193" s="3"/>
      <c r="FC1193" s="3"/>
      <c r="FD1193" s="3"/>
      <c r="FE1193" s="3"/>
      <c r="FF1193" s="3"/>
      <c r="FG1193" s="3"/>
      <c r="FH1193" s="3"/>
      <c r="FI1193" s="3"/>
      <c r="FJ1193" s="3"/>
      <c r="FK1193" s="3"/>
      <c r="FL1193" s="3"/>
      <c r="FM1193" s="3"/>
      <c r="FN1193" s="3"/>
      <c r="FO1193" s="3"/>
      <c r="FP1193" s="3"/>
      <c r="FQ1193" s="3"/>
      <c r="FR1193" s="3"/>
      <c r="FS1193" s="3"/>
      <c r="FT1193" s="3"/>
      <c r="FU1193" s="3"/>
      <c r="FV1193" s="3"/>
      <c r="FW1193" s="3"/>
      <c r="FX1193" s="3"/>
      <c r="FY1193" s="3"/>
    </row>
    <row r="1194" spans="7:181" ht="15" x14ac:dyDescent="0.25">
      <c r="G1194" s="2"/>
      <c r="H1194" s="2"/>
      <c r="I1194" s="2"/>
      <c r="J1194" s="2"/>
      <c r="K1194" s="2"/>
      <c r="L1194" s="3"/>
      <c r="M1194" s="3"/>
      <c r="N1194" s="3"/>
      <c r="O1194" s="3"/>
      <c r="P1194" s="3"/>
      <c r="Q1194" s="3"/>
      <c r="R1194" s="3"/>
      <c r="S1194" s="3"/>
      <c r="T1194" s="3"/>
      <c r="U1194" s="4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4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4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4"/>
      <c r="BI1194" s="3"/>
      <c r="BJ1194" s="3"/>
      <c r="BK1194" s="3"/>
      <c r="BL1194" s="3"/>
      <c r="BM1194" s="3"/>
      <c r="BN1194" s="3"/>
      <c r="BO1194" s="3"/>
      <c r="BP1194" s="3"/>
      <c r="BQ1194" s="3"/>
      <c r="BR1194" s="3"/>
      <c r="BS1194" s="3"/>
      <c r="BT1194" s="3"/>
      <c r="BU1194" s="3"/>
      <c r="BV1194" s="3"/>
      <c r="BW1194" s="3"/>
      <c r="BX1194" s="3"/>
      <c r="BY1194" s="3"/>
      <c r="BZ1194" s="3"/>
      <c r="CA1194" s="3"/>
      <c r="CB1194" s="3"/>
      <c r="CC1194" s="3"/>
      <c r="CD1194" s="3"/>
      <c r="CE1194" s="3"/>
      <c r="CF1194" s="3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  <c r="DS1194" s="3"/>
      <c r="DT1194" s="3"/>
      <c r="DU1194" s="3"/>
      <c r="DV1194" s="3"/>
      <c r="DW1194" s="3"/>
      <c r="DX1194" s="3"/>
      <c r="DY1194" s="3"/>
      <c r="DZ1194" s="3"/>
      <c r="EA1194" s="3"/>
      <c r="EB1194" s="3"/>
      <c r="EC1194" s="3"/>
      <c r="ED1194" s="3"/>
      <c r="EE1194" s="3"/>
      <c r="EF1194" s="3"/>
      <c r="EG1194" s="3"/>
      <c r="EH1194" s="3"/>
      <c r="EI1194" s="3"/>
      <c r="EJ1194" s="3"/>
      <c r="EK1194" s="3"/>
      <c r="EL1194" s="3"/>
      <c r="EM1194" s="3"/>
      <c r="EN1194" s="3"/>
      <c r="EO1194" s="3"/>
      <c r="EP1194" s="3"/>
      <c r="EQ1194" s="3"/>
      <c r="ER1194" s="3"/>
      <c r="ES1194" s="3"/>
      <c r="ET1194" s="3"/>
      <c r="EU1194" s="3"/>
      <c r="EV1194" s="3"/>
      <c r="EW1194" s="3"/>
      <c r="EX1194" s="3"/>
      <c r="EY1194" s="3"/>
      <c r="EZ1194" s="3"/>
      <c r="FA1194" s="3"/>
      <c r="FB1194" s="3"/>
      <c r="FC1194" s="3"/>
      <c r="FD1194" s="3"/>
      <c r="FE1194" s="3"/>
      <c r="FF1194" s="3"/>
      <c r="FG1194" s="3"/>
      <c r="FH1194" s="3"/>
      <c r="FI1194" s="3"/>
      <c r="FJ1194" s="3"/>
      <c r="FK1194" s="3"/>
      <c r="FL1194" s="3"/>
      <c r="FM1194" s="3"/>
      <c r="FN1194" s="3"/>
      <c r="FO1194" s="3"/>
      <c r="FP1194" s="3"/>
      <c r="FQ1194" s="3"/>
      <c r="FR1194" s="3"/>
      <c r="FS1194" s="3"/>
      <c r="FT1194" s="3"/>
      <c r="FU1194" s="3"/>
      <c r="FV1194" s="3"/>
      <c r="FW1194" s="3"/>
      <c r="FX1194" s="3"/>
      <c r="FY1194" s="3"/>
    </row>
    <row r="1195" spans="7:181" ht="15" x14ac:dyDescent="0.25">
      <c r="G1195" s="2"/>
      <c r="H1195" s="2"/>
      <c r="I1195" s="2"/>
      <c r="J1195" s="2"/>
      <c r="K1195" s="2"/>
      <c r="L1195" s="3"/>
      <c r="M1195" s="3"/>
      <c r="N1195" s="3"/>
      <c r="O1195" s="3"/>
      <c r="P1195" s="3"/>
      <c r="Q1195" s="3"/>
      <c r="R1195" s="3"/>
      <c r="S1195" s="3"/>
      <c r="T1195" s="3"/>
      <c r="U1195" s="4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4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4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4"/>
      <c r="BI1195" s="3"/>
      <c r="BJ1195" s="3"/>
      <c r="BK1195" s="3"/>
      <c r="BL1195" s="3"/>
      <c r="BM1195" s="3"/>
      <c r="BN1195" s="3"/>
      <c r="BO1195" s="3"/>
      <c r="BP1195" s="3"/>
      <c r="BQ1195" s="3"/>
      <c r="BR1195" s="3"/>
      <c r="BS1195" s="3"/>
      <c r="BT1195" s="3"/>
      <c r="BU1195" s="3"/>
      <c r="BV1195" s="3"/>
      <c r="BW1195" s="3"/>
      <c r="BX1195" s="3"/>
      <c r="BY1195" s="3"/>
      <c r="BZ1195" s="3"/>
      <c r="CA1195" s="3"/>
      <c r="CB1195" s="3"/>
      <c r="CC1195" s="3"/>
      <c r="CD1195" s="3"/>
      <c r="CE1195" s="3"/>
      <c r="CF1195" s="3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  <c r="DS1195" s="3"/>
      <c r="DT1195" s="3"/>
      <c r="DU1195" s="3"/>
      <c r="DV1195" s="3"/>
      <c r="DW1195" s="3"/>
      <c r="DX1195" s="3"/>
      <c r="DY1195" s="3"/>
      <c r="DZ1195" s="3"/>
      <c r="EA1195" s="3"/>
      <c r="EB1195" s="3"/>
      <c r="EC1195" s="3"/>
      <c r="ED1195" s="3"/>
      <c r="EE1195" s="3"/>
      <c r="EF1195" s="3"/>
      <c r="EG1195" s="3"/>
      <c r="EH1195" s="3"/>
      <c r="EI1195" s="3"/>
      <c r="EJ1195" s="3"/>
      <c r="EK1195" s="3"/>
      <c r="EL1195" s="3"/>
      <c r="EM1195" s="3"/>
      <c r="EN1195" s="3"/>
      <c r="EO1195" s="3"/>
      <c r="EP1195" s="3"/>
      <c r="EQ1195" s="3"/>
      <c r="ER1195" s="3"/>
      <c r="ES1195" s="3"/>
      <c r="ET1195" s="3"/>
      <c r="EU1195" s="3"/>
      <c r="EV1195" s="3"/>
      <c r="EW1195" s="3"/>
      <c r="EX1195" s="3"/>
      <c r="EY1195" s="3"/>
      <c r="EZ1195" s="3"/>
      <c r="FA1195" s="3"/>
      <c r="FB1195" s="3"/>
      <c r="FC1195" s="3"/>
      <c r="FD1195" s="3"/>
      <c r="FE1195" s="3"/>
      <c r="FF1195" s="3"/>
      <c r="FG1195" s="3"/>
      <c r="FH1195" s="3"/>
      <c r="FI1195" s="3"/>
      <c r="FJ1195" s="3"/>
      <c r="FK1195" s="3"/>
      <c r="FL1195" s="3"/>
      <c r="FM1195" s="3"/>
      <c r="FN1195" s="3"/>
      <c r="FO1195" s="3"/>
      <c r="FP1195" s="3"/>
      <c r="FQ1195" s="3"/>
      <c r="FR1195" s="3"/>
      <c r="FS1195" s="3"/>
      <c r="FT1195" s="3"/>
      <c r="FU1195" s="3"/>
      <c r="FV1195" s="3"/>
      <c r="FW1195" s="3"/>
      <c r="FX1195" s="3"/>
      <c r="FY1195" s="3"/>
    </row>
    <row r="1196" spans="7:181" ht="15" x14ac:dyDescent="0.25">
      <c r="G1196" s="2"/>
      <c r="H1196" s="2"/>
      <c r="I1196" s="2"/>
      <c r="J1196" s="2"/>
      <c r="K1196" s="2"/>
      <c r="L1196" s="3"/>
      <c r="M1196" s="3"/>
      <c r="N1196" s="3"/>
      <c r="O1196" s="3"/>
      <c r="P1196" s="3"/>
      <c r="Q1196" s="3"/>
      <c r="R1196" s="3"/>
      <c r="S1196" s="3"/>
      <c r="T1196" s="3"/>
      <c r="U1196" s="4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4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4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4"/>
      <c r="BI1196" s="3"/>
      <c r="BJ1196" s="3"/>
      <c r="BK1196" s="3"/>
      <c r="BL1196" s="3"/>
      <c r="BM1196" s="3"/>
      <c r="BN1196" s="3"/>
      <c r="BO1196" s="3"/>
      <c r="BP1196" s="3"/>
      <c r="BQ1196" s="3"/>
      <c r="BR1196" s="3"/>
      <c r="BS1196" s="3"/>
      <c r="BT1196" s="3"/>
      <c r="BU1196" s="3"/>
      <c r="BV1196" s="3"/>
      <c r="BW1196" s="3"/>
      <c r="BX1196" s="3"/>
      <c r="BY1196" s="3"/>
      <c r="BZ1196" s="3"/>
      <c r="CA1196" s="3"/>
      <c r="CB1196" s="3"/>
      <c r="CC1196" s="3"/>
      <c r="CD1196" s="3"/>
      <c r="CE1196" s="3"/>
      <c r="CF1196" s="3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  <c r="DS1196" s="3"/>
      <c r="DT1196" s="3"/>
      <c r="DU1196" s="3"/>
      <c r="DV1196" s="3"/>
      <c r="DW1196" s="3"/>
      <c r="DX1196" s="3"/>
      <c r="DY1196" s="3"/>
      <c r="DZ1196" s="3"/>
      <c r="EA1196" s="3"/>
      <c r="EB1196" s="3"/>
      <c r="EC1196" s="3"/>
      <c r="ED1196" s="3"/>
      <c r="EE1196" s="3"/>
      <c r="EF1196" s="3"/>
      <c r="EG1196" s="3"/>
      <c r="EH1196" s="3"/>
      <c r="EI1196" s="3"/>
      <c r="EJ1196" s="3"/>
      <c r="EK1196" s="3"/>
      <c r="EL1196" s="3"/>
      <c r="EM1196" s="3"/>
      <c r="EN1196" s="3"/>
      <c r="EO1196" s="3"/>
      <c r="EP1196" s="3"/>
      <c r="EQ1196" s="3"/>
      <c r="ER1196" s="3"/>
      <c r="ES1196" s="3"/>
      <c r="ET1196" s="3"/>
      <c r="EU1196" s="3"/>
      <c r="EV1196" s="3"/>
      <c r="EW1196" s="3"/>
      <c r="EX1196" s="3"/>
      <c r="EY1196" s="3"/>
      <c r="EZ1196" s="3"/>
      <c r="FA1196" s="3"/>
      <c r="FB1196" s="3"/>
      <c r="FC1196" s="3"/>
      <c r="FD1196" s="3"/>
      <c r="FE1196" s="3"/>
      <c r="FF1196" s="3"/>
      <c r="FG1196" s="3"/>
      <c r="FH1196" s="3"/>
      <c r="FI1196" s="3"/>
      <c r="FJ1196" s="3"/>
      <c r="FK1196" s="3"/>
      <c r="FL1196" s="3"/>
      <c r="FM1196" s="3"/>
      <c r="FN1196" s="3"/>
      <c r="FO1196" s="3"/>
      <c r="FP1196" s="3"/>
      <c r="FQ1196" s="3"/>
      <c r="FR1196" s="3"/>
      <c r="FS1196" s="3"/>
      <c r="FT1196" s="3"/>
      <c r="FU1196" s="3"/>
      <c r="FV1196" s="3"/>
      <c r="FW1196" s="3"/>
      <c r="FX1196" s="3"/>
      <c r="FY1196" s="3"/>
    </row>
    <row r="1197" spans="7:181" ht="15" x14ac:dyDescent="0.25">
      <c r="G1197" s="2"/>
      <c r="H1197" s="2"/>
      <c r="I1197" s="2"/>
      <c r="J1197" s="2"/>
      <c r="K1197" s="2"/>
      <c r="L1197" s="3"/>
      <c r="M1197" s="3"/>
      <c r="N1197" s="3"/>
      <c r="O1197" s="3"/>
      <c r="P1197" s="3"/>
      <c r="Q1197" s="3"/>
      <c r="R1197" s="3"/>
      <c r="S1197" s="3"/>
      <c r="T1197" s="3"/>
      <c r="U1197" s="4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4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4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4"/>
      <c r="BI1197" s="3"/>
      <c r="BJ1197" s="3"/>
      <c r="BK1197" s="3"/>
      <c r="BL1197" s="3"/>
      <c r="BM1197" s="3"/>
      <c r="BN1197" s="3"/>
      <c r="BO1197" s="3"/>
      <c r="BP1197" s="3"/>
      <c r="BQ1197" s="3"/>
      <c r="BR1197" s="3"/>
      <c r="BS1197" s="3"/>
      <c r="BT1197" s="3"/>
      <c r="BU1197" s="3"/>
      <c r="BV1197" s="3"/>
      <c r="BW1197" s="3"/>
      <c r="BX1197" s="3"/>
      <c r="BY1197" s="3"/>
      <c r="BZ1197" s="3"/>
      <c r="CA1197" s="3"/>
      <c r="CB1197" s="3"/>
      <c r="CC1197" s="3"/>
      <c r="CD1197" s="3"/>
      <c r="CE1197" s="3"/>
      <c r="CF1197" s="3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  <c r="DS1197" s="3"/>
      <c r="DT1197" s="3"/>
      <c r="DU1197" s="3"/>
      <c r="DV1197" s="3"/>
      <c r="DW1197" s="3"/>
      <c r="DX1197" s="3"/>
      <c r="DY1197" s="3"/>
      <c r="DZ1197" s="3"/>
      <c r="EA1197" s="3"/>
      <c r="EB1197" s="3"/>
      <c r="EC1197" s="3"/>
      <c r="ED1197" s="3"/>
      <c r="EE1197" s="3"/>
      <c r="EF1197" s="3"/>
      <c r="EG1197" s="3"/>
      <c r="EH1197" s="3"/>
      <c r="EI1197" s="3"/>
      <c r="EJ1197" s="3"/>
      <c r="EK1197" s="3"/>
      <c r="EL1197" s="3"/>
      <c r="EM1197" s="3"/>
      <c r="EN1197" s="3"/>
      <c r="EO1197" s="3"/>
      <c r="EP1197" s="3"/>
      <c r="EQ1197" s="3"/>
      <c r="ER1197" s="3"/>
      <c r="ES1197" s="3"/>
      <c r="ET1197" s="3"/>
      <c r="EU1197" s="3"/>
      <c r="EV1197" s="3"/>
      <c r="EW1197" s="3"/>
      <c r="EX1197" s="3"/>
      <c r="EY1197" s="3"/>
      <c r="EZ1197" s="3"/>
      <c r="FA1197" s="3"/>
      <c r="FB1197" s="3"/>
      <c r="FC1197" s="3"/>
      <c r="FD1197" s="3"/>
      <c r="FE1197" s="3"/>
      <c r="FF1197" s="3"/>
      <c r="FG1197" s="3"/>
      <c r="FH1197" s="3"/>
      <c r="FI1197" s="3"/>
      <c r="FJ1197" s="3"/>
      <c r="FK1197" s="3"/>
      <c r="FL1197" s="3"/>
      <c r="FM1197" s="3"/>
      <c r="FN1197" s="3"/>
      <c r="FO1197" s="3"/>
      <c r="FP1197" s="3"/>
      <c r="FQ1197" s="3"/>
      <c r="FR1197" s="3"/>
      <c r="FS1197" s="3"/>
      <c r="FT1197" s="3"/>
      <c r="FU1197" s="3"/>
      <c r="FV1197" s="3"/>
      <c r="FW1197" s="3"/>
      <c r="FX1197" s="3"/>
      <c r="FY1197" s="3"/>
    </row>
    <row r="1198" spans="7:181" ht="15" x14ac:dyDescent="0.25">
      <c r="G1198" s="2"/>
      <c r="H1198" s="2"/>
      <c r="I1198" s="2"/>
      <c r="J1198" s="2"/>
      <c r="K1198" s="2"/>
      <c r="L1198" s="3"/>
      <c r="M1198" s="3"/>
      <c r="N1198" s="3"/>
      <c r="O1198" s="3"/>
      <c r="P1198" s="3"/>
      <c r="Q1198" s="3"/>
      <c r="R1198" s="3"/>
      <c r="S1198" s="3"/>
      <c r="T1198" s="3"/>
      <c r="U1198" s="4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4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4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4"/>
      <c r="BI1198" s="3"/>
      <c r="BJ1198" s="3"/>
      <c r="BK1198" s="3"/>
      <c r="BL1198" s="3"/>
      <c r="BM1198" s="3"/>
      <c r="BN1198" s="3"/>
      <c r="BO1198" s="3"/>
      <c r="BP1198" s="3"/>
      <c r="BQ1198" s="3"/>
      <c r="BR1198" s="3"/>
      <c r="BS1198" s="3"/>
      <c r="BT1198" s="3"/>
      <c r="BU1198" s="3"/>
      <c r="BV1198" s="3"/>
      <c r="BW1198" s="3"/>
      <c r="BX1198" s="3"/>
      <c r="BY1198" s="3"/>
      <c r="BZ1198" s="3"/>
      <c r="CA1198" s="3"/>
      <c r="CB1198" s="3"/>
      <c r="CC1198" s="3"/>
      <c r="CD1198" s="3"/>
      <c r="CE1198" s="3"/>
      <c r="CF1198" s="3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  <c r="DS1198" s="3"/>
      <c r="DT1198" s="3"/>
      <c r="DU1198" s="3"/>
      <c r="DV1198" s="3"/>
      <c r="DW1198" s="3"/>
      <c r="DX1198" s="3"/>
      <c r="DY1198" s="3"/>
      <c r="DZ1198" s="3"/>
      <c r="EA1198" s="3"/>
      <c r="EB1198" s="3"/>
      <c r="EC1198" s="3"/>
      <c r="ED1198" s="3"/>
      <c r="EE1198" s="3"/>
      <c r="EF1198" s="3"/>
      <c r="EG1198" s="3"/>
      <c r="EH1198" s="3"/>
      <c r="EI1198" s="3"/>
      <c r="EJ1198" s="3"/>
      <c r="EK1198" s="3"/>
      <c r="EL1198" s="3"/>
      <c r="EM1198" s="3"/>
      <c r="EN1198" s="3"/>
      <c r="EO1198" s="3"/>
      <c r="EP1198" s="3"/>
      <c r="EQ1198" s="3"/>
      <c r="ER1198" s="3"/>
      <c r="ES1198" s="3"/>
      <c r="ET1198" s="3"/>
      <c r="EU1198" s="3"/>
      <c r="EV1198" s="3"/>
      <c r="EW1198" s="3"/>
      <c r="EX1198" s="3"/>
      <c r="EY1198" s="3"/>
      <c r="EZ1198" s="3"/>
      <c r="FA1198" s="3"/>
      <c r="FB1198" s="3"/>
      <c r="FC1198" s="3"/>
      <c r="FD1198" s="3"/>
      <c r="FE1198" s="3"/>
      <c r="FF1198" s="3"/>
      <c r="FG1198" s="3"/>
      <c r="FH1198" s="3"/>
      <c r="FI1198" s="3"/>
      <c r="FJ1198" s="3"/>
      <c r="FK1198" s="3"/>
      <c r="FL1198" s="3"/>
      <c r="FM1198" s="3"/>
      <c r="FN1198" s="3"/>
      <c r="FO1198" s="3"/>
      <c r="FP1198" s="3"/>
      <c r="FQ1198" s="3"/>
      <c r="FR1198" s="3"/>
      <c r="FS1198" s="3"/>
      <c r="FT1198" s="3"/>
      <c r="FU1198" s="3"/>
      <c r="FV1198" s="3"/>
      <c r="FW1198" s="3"/>
      <c r="FX1198" s="3"/>
      <c r="FY1198" s="3"/>
    </row>
  </sheetData>
  <autoFilter ref="A1:FY5" xr:uid="{00000000-0009-0000-0000-000000000000}"/>
  <mergeCells count="4">
    <mergeCell ref="G3:K3"/>
    <mergeCell ref="A122:F122"/>
    <mergeCell ref="A180:F180"/>
    <mergeCell ref="A301:F301"/>
  </mergeCells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t32948</cp:lastModifiedBy>
  <dcterms:modified xsi:type="dcterms:W3CDTF">2025-12-19T07:48:18Z</dcterms:modified>
</cp:coreProperties>
</file>